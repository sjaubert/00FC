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du_lean_manufacturing/"/>
    </mc:Choice>
  </mc:AlternateContent>
  <xr:revisionPtr revIDLastSave="81" documentId="13_ncr:1_{8B36CB23-4493-4B11-B332-DA89B4F93BF2}" xr6:coauthVersionLast="47" xr6:coauthVersionMax="47" xr10:uidLastSave="{86CB44A1-4035-4F68-944F-2A610B75C923}"/>
  <bookViews>
    <workbookView xWindow="-96" yWindow="-96" windowWidth="17472" windowHeight="10992" tabRatio="713" activeTab="5" xr2:uid="{00000000-000D-0000-FFFF-FFFF00000000}"/>
  </bookViews>
  <sheets>
    <sheet name="Sommaire" sheetId="13" r:id="rId1"/>
    <sheet name="Données Simulation 1" sheetId="23" r:id="rId2"/>
    <sheet name="Qualité" sheetId="1" r:id="rId3"/>
    <sheet name="Performances Simul. 1" sheetId="27" r:id="rId4"/>
    <sheet name="Takt Time" sheetId="28" r:id="rId5"/>
    <sheet name="Feuil1" sheetId="32" r:id="rId6"/>
    <sheet name="TRG" sheetId="29" r:id="rId7"/>
    <sheet name="Productivité" sheetId="30" r:id="rId8"/>
    <sheet name="Graphique des flux" sheetId="20" r:id="rId9"/>
    <sheet name="Enquête motivation" sheetId="21" r:id="rId10"/>
    <sheet name="Performances Simul. 2" sheetId="31" r:id="rId11"/>
  </sheets>
  <definedNames>
    <definedName name="caseA" localSheetId="4">#REF!</definedName>
    <definedName name="Diagnostic" localSheetId="8">#REF!</definedName>
    <definedName name="Diagnostic" localSheetId="4">#REF!</definedName>
    <definedName name="Importance" localSheetId="8">#REF!</definedName>
    <definedName name="Importance" localSheetId="4">#REF!</definedName>
    <definedName name="titre" localSheetId="4">#REF!</definedName>
    <definedName name="titre2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2" i="23" l="1"/>
  <c r="E48" i="31" l="1"/>
  <c r="E37" i="31"/>
  <c r="E26" i="31"/>
  <c r="E44" i="31"/>
  <c r="E33" i="31"/>
  <c r="E22" i="31"/>
  <c r="D12" i="20"/>
  <c r="D10" i="20"/>
  <c r="D8" i="20"/>
  <c r="D6" i="20"/>
  <c r="D14" i="21"/>
  <c r="E14" i="21"/>
  <c r="F14" i="21"/>
  <c r="G14" i="21"/>
  <c r="J12" i="31"/>
  <c r="H12" i="31"/>
  <c r="F12" i="31"/>
  <c r="D12" i="31"/>
  <c r="J11" i="31"/>
  <c r="H11" i="31"/>
  <c r="F11" i="31"/>
  <c r="D11" i="31"/>
  <c r="J10" i="31"/>
  <c r="H10" i="31"/>
  <c r="F10" i="31"/>
  <c r="D10" i="31"/>
  <c r="J8" i="31"/>
  <c r="H8" i="31"/>
  <c r="F8" i="31"/>
  <c r="D8" i="31"/>
  <c r="J6" i="31"/>
  <c r="H6" i="31"/>
  <c r="F6" i="31"/>
  <c r="D6" i="31"/>
  <c r="J5" i="31"/>
  <c r="H5" i="31"/>
  <c r="F5" i="31"/>
  <c r="D5" i="31"/>
  <c r="H4" i="30"/>
  <c r="S15" i="23"/>
  <c r="I7" i="27" s="1"/>
  <c r="J7" i="27" s="1"/>
  <c r="H12" i="28"/>
  <c r="G12" i="28"/>
  <c r="F12" i="28"/>
  <c r="E12" i="28"/>
  <c r="D12" i="28"/>
  <c r="C12" i="28"/>
  <c r="C8" i="28"/>
  <c r="B41" i="28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J6" i="27"/>
  <c r="J5" i="27"/>
  <c r="H6" i="27"/>
  <c r="H5" i="27"/>
  <c r="D6" i="27"/>
  <c r="D5" i="27"/>
  <c r="F6" i="27"/>
  <c r="F5" i="27"/>
  <c r="K9" i="23"/>
  <c r="D18" i="23" s="1"/>
  <c r="E13" i="23"/>
  <c r="D4" i="1" s="1"/>
  <c r="F13" i="23"/>
  <c r="E4" i="1" s="1"/>
  <c r="G13" i="23"/>
  <c r="F4" i="1" s="1"/>
  <c r="H13" i="23"/>
  <c r="G4" i="1" s="1"/>
  <c r="I13" i="23"/>
  <c r="H4" i="1" s="1"/>
  <c r="D13" i="23"/>
  <c r="C4" i="1" s="1"/>
  <c r="P8" i="23"/>
  <c r="Q8" i="23" s="1"/>
  <c r="P9" i="23"/>
  <c r="Q9" i="23" s="1"/>
  <c r="C9" i="20" s="1"/>
  <c r="P10" i="23"/>
  <c r="Q10" i="23" s="1"/>
  <c r="P11" i="23"/>
  <c r="P7" i="23"/>
  <c r="Q7" i="23" s="1"/>
  <c r="E14" i="23"/>
  <c r="D7" i="29" s="1"/>
  <c r="D8" i="29" s="1"/>
  <c r="F14" i="23"/>
  <c r="E7" i="29" s="1"/>
  <c r="E8" i="29" s="1"/>
  <c r="G14" i="23"/>
  <c r="F7" i="29" s="1"/>
  <c r="F8" i="29" s="1"/>
  <c r="H14" i="23"/>
  <c r="G7" i="29" s="1"/>
  <c r="G8" i="29" s="1"/>
  <c r="I14" i="23"/>
  <c r="AT12" i="20"/>
  <c r="AL12" i="20"/>
  <c r="AD12" i="20"/>
  <c r="V12" i="20"/>
  <c r="N12" i="20"/>
  <c r="B18" i="23"/>
  <c r="C9" i="29" s="1"/>
  <c r="J13" i="23"/>
  <c r="G7" i="31" s="1"/>
  <c r="H7" i="31" s="1"/>
  <c r="D14" i="23"/>
  <c r="C7" i="29" s="1"/>
  <c r="C8" i="29" s="1"/>
  <c r="AV10" i="20"/>
  <c r="AV9" i="20" s="1"/>
  <c r="AV8" i="20" s="1"/>
  <c r="AV7" i="20" s="1"/>
  <c r="AV6" i="20" s="1"/>
  <c r="AV5" i="20" s="1"/>
  <c r="AV4" i="20" s="1"/>
  <c r="AS10" i="20"/>
  <c r="AS9" i="20" s="1"/>
  <c r="AS8" i="20" s="1"/>
  <c r="AS7" i="20" s="1"/>
  <c r="AS6" i="20" s="1"/>
  <c r="AS5" i="20" s="1"/>
  <c r="AS4" i="20" s="1"/>
  <c r="AN10" i="20"/>
  <c r="AN9" i="20" s="1"/>
  <c r="AN8" i="20" s="1"/>
  <c r="AN7" i="20" s="1"/>
  <c r="AN6" i="20" s="1"/>
  <c r="AN5" i="20" s="1"/>
  <c r="AN4" i="20" s="1"/>
  <c r="AK10" i="20"/>
  <c r="AK9" i="20" s="1"/>
  <c r="AK8" i="20" s="1"/>
  <c r="AK7" i="20" s="1"/>
  <c r="AK6" i="20" s="1"/>
  <c r="AK5" i="20" s="1"/>
  <c r="AK4" i="20" s="1"/>
  <c r="AF10" i="20"/>
  <c r="AC10" i="20"/>
  <c r="AC9" i="20"/>
  <c r="AC8" i="20" s="1"/>
  <c r="AC7" i="20" s="1"/>
  <c r="AC6" i="20" s="1"/>
  <c r="AC5" i="20" s="1"/>
  <c r="AC4" i="20" s="1"/>
  <c r="X10" i="20"/>
  <c r="X9" i="20" s="1"/>
  <c r="X8" i="20" s="1"/>
  <c r="X7" i="20" s="1"/>
  <c r="X6" i="20" s="1"/>
  <c r="X5" i="20" s="1"/>
  <c r="X4" i="20" s="1"/>
  <c r="U10" i="20"/>
  <c r="U9" i="20"/>
  <c r="U8" i="20" s="1"/>
  <c r="U7" i="20" s="1"/>
  <c r="U6" i="20" s="1"/>
  <c r="U5" i="20" s="1"/>
  <c r="U4" i="20" s="1"/>
  <c r="P10" i="20"/>
  <c r="P9" i="20" s="1"/>
  <c r="P8" i="20" s="1"/>
  <c r="P7" i="20" s="1"/>
  <c r="P6" i="20" s="1"/>
  <c r="P5" i="20" s="1"/>
  <c r="P4" i="20" s="1"/>
  <c r="M10" i="20"/>
  <c r="M9" i="20" s="1"/>
  <c r="M8" i="20" s="1"/>
  <c r="M7" i="20" s="1"/>
  <c r="M6" i="20" s="1"/>
  <c r="M5" i="20" s="1"/>
  <c r="M4" i="20" s="1"/>
  <c r="AF9" i="20"/>
  <c r="AF8" i="20" s="1"/>
  <c r="AF7" i="20" s="1"/>
  <c r="AF6" i="20" s="1"/>
  <c r="AF5" i="20" s="1"/>
  <c r="AF4" i="20" s="1"/>
  <c r="AR5" i="20"/>
  <c r="AO5" i="20"/>
  <c r="AJ5" i="20"/>
  <c r="AG5" i="20"/>
  <c r="AB5" i="20"/>
  <c r="Y5" i="20"/>
  <c r="T5" i="20"/>
  <c r="Q5" i="20"/>
  <c r="L5" i="20"/>
  <c r="I5" i="20"/>
  <c r="H7" i="29"/>
  <c r="H8" i="29" s="1"/>
  <c r="J14" i="23"/>
  <c r="F18" i="23" s="1"/>
  <c r="G7" i="27" l="1"/>
  <c r="H7" i="27" s="1"/>
  <c r="D15" i="20"/>
  <c r="AC21" i="20" s="1"/>
  <c r="D9" i="29"/>
  <c r="D10" i="29" s="1"/>
  <c r="I4" i="1"/>
  <c r="E16" i="21"/>
  <c r="H9" i="29"/>
  <c r="H10" i="29" s="1"/>
  <c r="F9" i="29"/>
  <c r="F10" i="29" s="1"/>
  <c r="H20" i="23"/>
  <c r="C7" i="27" s="1"/>
  <c r="D7" i="27" s="1"/>
  <c r="C13" i="28"/>
  <c r="H15" i="28" s="1"/>
  <c r="H16" i="28" s="1"/>
  <c r="E9" i="29"/>
  <c r="E10" i="29" s="1"/>
  <c r="C10" i="29"/>
  <c r="C38" i="28"/>
  <c r="C3" i="28" s="1"/>
  <c r="C7" i="28" s="1"/>
  <c r="Q11" i="23"/>
  <c r="C13" i="20" s="1"/>
  <c r="C5" i="20"/>
  <c r="D5" i="20" s="1"/>
  <c r="I7" i="31"/>
  <c r="J7" i="31" s="1"/>
  <c r="G9" i="29"/>
  <c r="G10" i="29" s="1"/>
  <c r="C7" i="20"/>
  <c r="C11" i="20"/>
  <c r="D11" i="20" s="1"/>
  <c r="C15" i="28" l="1"/>
  <c r="C16" i="28" s="1"/>
  <c r="F15" i="28"/>
  <c r="F16" i="28" s="1"/>
  <c r="D7" i="20"/>
  <c r="D20" i="23"/>
  <c r="F20" i="23" s="1"/>
  <c r="E15" i="28"/>
  <c r="E16" i="28" s="1"/>
  <c r="C7" i="31"/>
  <c r="D7" i="31" s="1"/>
  <c r="G15" i="28"/>
  <c r="G16" i="28" s="1"/>
  <c r="D15" i="28"/>
  <c r="D16" i="28" s="1"/>
  <c r="F7" i="28"/>
  <c r="F9" i="28" s="1"/>
  <c r="H7" i="28"/>
  <c r="H9" i="28" s="1"/>
  <c r="G7" i="28"/>
  <c r="G9" i="28" s="1"/>
  <c r="E7" i="28"/>
  <c r="E9" i="28" s="1"/>
  <c r="D7" i="28"/>
  <c r="D9" i="28" s="1"/>
  <c r="E7" i="27"/>
  <c r="F7" i="27" s="1"/>
  <c r="E7" i="31"/>
  <c r="F7" i="31" s="1"/>
  <c r="C9" i="28"/>
  <c r="D9" i="20"/>
  <c r="D13" i="20"/>
  <c r="D16" i="20" l="1"/>
  <c r="AC23" i="20" s="1"/>
  <c r="AC2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michelg</author>
  </authors>
  <commentList>
    <comment ref="J1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Cette valeur n'est pas la somme de la ligne : c'est la quantité produite par l'usine.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michelg</author>
  </authors>
  <commentList>
    <comment ref="D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Le temps gamme du lancement - découpe n'a pas été mesuré. Pour les besoins de l'exercice, on prend une valeur de 5 secondes.</t>
        </r>
      </text>
    </comment>
    <comment ref="D14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Le temps gamme du Contrôle n'a pas été mesuré. Pour les besoins de l'exercice, on prend une valeur de 5 secondes.</t>
        </r>
      </text>
    </comment>
  </commentList>
</comments>
</file>

<file path=xl/sharedStrings.xml><?xml version="1.0" encoding="utf-8"?>
<sst xmlns="http://schemas.openxmlformats.org/spreadsheetml/2006/main" count="261" uniqueCount="154">
  <si>
    <t>Croix</t>
  </si>
  <si>
    <t>Etoile</t>
  </si>
  <si>
    <t>Ovale</t>
  </si>
  <si>
    <t>Triangle</t>
  </si>
  <si>
    <t>Vague</t>
  </si>
  <si>
    <t>% non conformes</t>
  </si>
  <si>
    <t>Temps d'ouverture</t>
  </si>
  <si>
    <t>Contrôle</t>
  </si>
  <si>
    <t>Takt Time</t>
  </si>
  <si>
    <t>Ventes / an</t>
  </si>
  <si>
    <t>Rect.</t>
  </si>
  <si>
    <t>Tri.</t>
  </si>
  <si>
    <r>
      <t xml:space="preserve">2. Une fois dans l'onglet, cliquet sur le titre en </t>
    </r>
    <r>
      <rPr>
        <b/>
        <sz val="11"/>
        <color indexed="30"/>
        <rFont val="Arial"/>
        <family val="2"/>
      </rPr>
      <t>BLEU</t>
    </r>
    <r>
      <rPr>
        <sz val="11"/>
        <rFont val="Arial"/>
        <family val="2"/>
      </rPr>
      <t xml:space="preserve"> pour revenir au sommaire</t>
    </r>
  </si>
  <si>
    <t>Protection</t>
  </si>
  <si>
    <t>Les feuilles sont protégées contre l'effacement des zones autres que celles destinées à la saisie.</t>
  </si>
  <si>
    <t>En cas de besoin, il est facile de les " déprotéger " (il n'y a  pas de mot de passe)</t>
  </si>
  <si>
    <t>Conseil</t>
  </si>
  <si>
    <t>Pour mieux visualiser un onglet, utiliser le mode Affichage / Plein écran</t>
  </si>
  <si>
    <t xml:space="preserve">Je dispose du matériel et des informations nécessaires pour bien faire mon travail. </t>
  </si>
  <si>
    <t>Les conditions de travail (siège, éclairage, sécurité, etc.) sont bonnes.</t>
  </si>
  <si>
    <t xml:space="preserve">Je connais les objectifs sur lesquels je suis évalué.  </t>
  </si>
  <si>
    <t xml:space="preserve">Je suis informé de la qualité de mon travail </t>
  </si>
  <si>
    <t xml:space="preserve">J’ai des remerciements quand je fais du bon travail.  </t>
  </si>
  <si>
    <t>Je suis fier d’appartenir à mon entreprise, j’ai le sentiment de contribuer à sa réussite.</t>
  </si>
  <si>
    <t>Effectif</t>
  </si>
  <si>
    <r>
      <t>1. Cliquez sur la case</t>
    </r>
    <r>
      <rPr>
        <sz val="11"/>
        <color indexed="10"/>
        <rFont val="Arial"/>
        <family val="2"/>
      </rPr>
      <t xml:space="preserve"> colorée </t>
    </r>
    <r>
      <rPr>
        <sz val="11"/>
        <rFont val="Arial"/>
        <family val="2"/>
      </rPr>
      <t>pour atteindre l'onglet correspondant</t>
    </r>
  </si>
  <si>
    <t>Attente</t>
  </si>
  <si>
    <t>Délai total</t>
  </si>
  <si>
    <t>Tps. Gam.</t>
  </si>
  <si>
    <r>
      <t xml:space="preserve">      </t>
    </r>
    <r>
      <rPr>
        <sz val="12"/>
        <color indexed="8"/>
        <rFont val="Arial"/>
        <family val="2"/>
      </rPr>
      <t xml:space="preserve">Question </t>
    </r>
    <r>
      <rPr>
        <sz val="11"/>
        <color indexed="8"/>
        <rFont val="Arial"/>
        <family val="2"/>
      </rPr>
      <t xml:space="preserve"> </t>
    </r>
  </si>
  <si>
    <t xml:space="preserve">1. </t>
  </si>
  <si>
    <t xml:space="preserve">2. </t>
  </si>
  <si>
    <t xml:space="preserve">3.  </t>
  </si>
  <si>
    <t>4.</t>
  </si>
  <si>
    <t xml:space="preserve">J’ai le sentiment de travailler en équipe, j’ai de bons contacts avec les autres ateliers. </t>
  </si>
  <si>
    <t xml:space="preserve">Je comprends à quoi servent les produits que je fabrique et je connais les conséquences d’un défaut sur l’utilisation du produit. </t>
  </si>
  <si>
    <t>non</t>
  </si>
  <si>
    <t>assez peu</t>
  </si>
  <si>
    <t>assez bien</t>
  </si>
  <si>
    <t>oui</t>
  </si>
  <si>
    <t>Note</t>
  </si>
  <si>
    <t>USINE</t>
  </si>
  <si>
    <t>Paleo</t>
  </si>
  <si>
    <t>Délais</t>
  </si>
  <si>
    <t>Qualité</t>
  </si>
  <si>
    <t>Stocks</t>
  </si>
  <si>
    <t>Non conformes</t>
  </si>
  <si>
    <t>Qté bonne</t>
  </si>
  <si>
    <t>TOTAL</t>
  </si>
  <si>
    <t>Délai OF traceur</t>
  </si>
  <si>
    <t>Absolu</t>
  </si>
  <si>
    <t>Relatif</t>
  </si>
  <si>
    <t>Productivité</t>
  </si>
  <si>
    <t>Temps gamme</t>
  </si>
  <si>
    <t>minutes</t>
  </si>
  <si>
    <t>secondes</t>
  </si>
  <si>
    <t>Opération surperflue</t>
  </si>
  <si>
    <t>Rebuts, reprises</t>
  </si>
  <si>
    <t>Valeur ajoutée</t>
  </si>
  <si>
    <t>min.</t>
  </si>
  <si>
    <t>sec.</t>
  </si>
  <si>
    <t>Indicateurs de performance</t>
  </si>
  <si>
    <t>Simulation 2</t>
  </si>
  <si>
    <t>Lanct.</t>
  </si>
  <si>
    <t>Effectifs</t>
  </si>
  <si>
    <t>valeur décimale</t>
  </si>
  <si>
    <t>Temps x homme par produit bon</t>
  </si>
  <si>
    <t>Tps. ouverture</t>
  </si>
  <si>
    <t>Qté. bonne</t>
  </si>
  <si>
    <t>Qté produite</t>
  </si>
  <si>
    <t>Concur.</t>
  </si>
  <si>
    <t>Atel. 1</t>
  </si>
  <si>
    <t>Atel. 2</t>
  </si>
  <si>
    <t>Atel. 3</t>
  </si>
  <si>
    <t>Productivité / Coûts</t>
  </si>
  <si>
    <t>Obj.</t>
  </si>
  <si>
    <t>Sim. 1</t>
  </si>
  <si>
    <t>Entrez les valeurs dans les cases blanches du tableau</t>
  </si>
  <si>
    <r>
      <t xml:space="preserve">Pour la simulation 2, rentrez les résultats de </t>
    </r>
    <r>
      <rPr>
        <sz val="11"/>
        <color indexed="10"/>
        <rFont val="Arial"/>
        <family val="2"/>
      </rPr>
      <t>chaque atelier sur une ligne.</t>
    </r>
  </si>
  <si>
    <t>Ventes</t>
  </si>
  <si>
    <t>Effectif actuel</t>
  </si>
  <si>
    <t>Opérations / an</t>
  </si>
  <si>
    <t>Tps travail par an</t>
  </si>
  <si>
    <t>Takt time</t>
  </si>
  <si>
    <t>Tps de cycle</t>
  </si>
  <si>
    <t>Calcul du temps de cycle</t>
  </si>
  <si>
    <t>Calcul du Takt time</t>
  </si>
  <si>
    <t>Table de calcul des ventes</t>
  </si>
  <si>
    <t>voir table de calcul plus bas</t>
  </si>
  <si>
    <t>table de calcul des ventes</t>
  </si>
  <si>
    <t>Production atelier</t>
  </si>
  <si>
    <t>%  de charge</t>
  </si>
  <si>
    <t>Temps de charge</t>
  </si>
  <si>
    <t>Temps utile</t>
  </si>
  <si>
    <t>Données Simulation 1</t>
  </si>
  <si>
    <t>Enquête Motivation</t>
  </si>
  <si>
    <t>Total temps opératoires (a)</t>
  </si>
  <si>
    <t>Délai total (b)</t>
  </si>
  <si>
    <t>Ratio a / b</t>
  </si>
  <si>
    <t>Transfert</t>
  </si>
  <si>
    <t>attente</t>
  </si>
  <si>
    <t>Transports, déplacements</t>
  </si>
  <si>
    <t>Total</t>
  </si>
  <si>
    <t>Sur-production</t>
  </si>
  <si>
    <t>Enquête de motivation</t>
  </si>
  <si>
    <t>Pour saisir les résultats de la simulation 1</t>
  </si>
  <si>
    <t>Pour calculer le takt time</t>
  </si>
  <si>
    <t>Pour visualiser les résultats Qualité de la première simulation</t>
  </si>
  <si>
    <t>Pour illustrer l'exposé fait par l'équipe projet FLUX</t>
  </si>
  <si>
    <t>Pour illustrer l'exposé fait par l'équipe projet PRODUCTIVITE</t>
  </si>
  <si>
    <t>Pour illustrer l'exposé fait par l'équipe projet QUALITE - RH</t>
  </si>
  <si>
    <t>Illustration des exposés</t>
  </si>
  <si>
    <t>Graphiques</t>
  </si>
  <si>
    <t>Ils sont illisibles à l'ouverture du Fichier. Il faut rentrer des données pour qu'ils apparaissent.</t>
  </si>
  <si>
    <t>Mesure et analyse de la simulation 1</t>
  </si>
  <si>
    <t>Tria.</t>
  </si>
  <si>
    <t>Pour visualiser le tableau de bord de l'entreprise à l'issue de la Simulation 1</t>
  </si>
  <si>
    <t>Performances Simulation 1</t>
  </si>
  <si>
    <t>Performances Simulation 2</t>
  </si>
  <si>
    <t>Pour visualiser le tableau de bord de l'entreprise à l'issue de la Simulation 2</t>
  </si>
  <si>
    <r>
      <t xml:space="preserve">Comment vous </t>
    </r>
    <r>
      <rPr>
        <sz val="11"/>
        <color indexed="10"/>
        <rFont val="Arial"/>
        <family val="2"/>
      </rPr>
      <t>déplacer</t>
    </r>
    <r>
      <rPr>
        <sz val="11"/>
        <color indexed="30"/>
        <rFont val="Arial"/>
        <family val="2"/>
      </rPr>
      <t xml:space="preserve"> dans le classeur ?</t>
    </r>
  </si>
  <si>
    <t>Quantité produite bonne par poste</t>
  </si>
  <si>
    <t>Contr.</t>
  </si>
  <si>
    <t>Trian.</t>
  </si>
  <si>
    <t>Att.</t>
  </si>
  <si>
    <t>Total tps. Gam.</t>
  </si>
  <si>
    <t>Graphique de Flux</t>
  </si>
  <si>
    <t>Graphique des flux</t>
  </si>
  <si>
    <t>Rentrez les valeurs de Transfert ici</t>
  </si>
  <si>
    <t>Temps brut de fonctionnement</t>
  </si>
  <si>
    <t>Temps net de fonctionnement</t>
  </si>
  <si>
    <t>TRG</t>
  </si>
  <si>
    <t>Pour calculer le TRG (et saisir les temps gamme)</t>
  </si>
  <si>
    <t>Calcul du TRG</t>
  </si>
  <si>
    <t>QUALITÉ</t>
  </si>
  <si>
    <t>PRODUCTIVITÉ</t>
  </si>
  <si>
    <r>
      <t>Quantité produite totale</t>
    </r>
    <r>
      <rPr>
        <i/>
        <sz val="12"/>
        <color rgb="FF000000"/>
        <rFont val="Calibri"/>
        <family val="2"/>
      </rPr>
      <t xml:space="preserve"> (dans votre atelier)</t>
    </r>
  </si>
  <si>
    <r>
      <t xml:space="preserve">Quantité produite bonne  </t>
    </r>
    <r>
      <rPr>
        <b/>
        <sz val="12"/>
        <color rgb="FF33CC33"/>
        <rFont val="Calibri"/>
        <family val="2"/>
      </rPr>
      <t>Q</t>
    </r>
  </si>
  <si>
    <r>
      <t>Effectif (</t>
    </r>
    <r>
      <rPr>
        <b/>
        <sz val="12"/>
        <color rgb="FFFF0000"/>
        <rFont val="Calibri"/>
        <family val="2"/>
      </rPr>
      <t>E</t>
    </r>
    <r>
      <rPr>
        <sz val="12"/>
        <color rgb="FF000000"/>
        <rFont val="Calibri"/>
        <family val="2"/>
      </rPr>
      <t xml:space="preserve">) </t>
    </r>
    <r>
      <rPr>
        <i/>
        <sz val="12"/>
        <color rgb="FF000000"/>
        <rFont val="Calibri"/>
        <family val="2"/>
      </rPr>
      <t>(de votre atelier)</t>
    </r>
  </si>
  <si>
    <r>
      <t xml:space="preserve">Productivité = </t>
    </r>
    <r>
      <rPr>
        <b/>
        <sz val="12"/>
        <color rgb="FFFF0000"/>
        <rFont val="Calibri"/>
        <family val="2"/>
      </rPr>
      <t>E</t>
    </r>
    <r>
      <rPr>
        <sz val="12"/>
        <color rgb="FF000000"/>
        <rFont val="Calibri"/>
        <family val="2"/>
      </rPr>
      <t xml:space="preserve"> x </t>
    </r>
    <r>
      <rPr>
        <b/>
        <sz val="12"/>
        <color rgb="FF0033CC"/>
        <rFont val="Calibri"/>
        <family val="2"/>
      </rPr>
      <t>TO</t>
    </r>
    <r>
      <rPr>
        <sz val="12"/>
        <color rgb="FF000000"/>
        <rFont val="Calibri"/>
        <family val="2"/>
      </rPr>
      <t xml:space="preserve"> / </t>
    </r>
    <r>
      <rPr>
        <b/>
        <sz val="12"/>
        <color rgb="FF33CC33"/>
        <rFont val="Calibri"/>
        <family val="2"/>
      </rPr>
      <t xml:space="preserve">Q </t>
    </r>
    <r>
      <rPr>
        <i/>
        <sz val="12"/>
        <color rgb="FF000000"/>
        <rFont val="Calibri"/>
        <family val="2"/>
      </rPr>
      <t>(min. / produit fini)</t>
    </r>
  </si>
  <si>
    <r>
      <t>Temps d’ouverture
(</t>
    </r>
    <r>
      <rPr>
        <b/>
        <sz val="12"/>
        <color rgb="FF0033CC"/>
        <rFont val="Calibri"/>
        <family val="2"/>
      </rPr>
      <t>TO</t>
    </r>
    <r>
      <rPr>
        <i/>
        <sz val="12"/>
        <color rgb="FF000000"/>
        <rFont val="Calibri"/>
        <family val="2"/>
      </rPr>
      <t>, en min.</t>
    </r>
    <r>
      <rPr>
        <sz val="12"/>
        <color rgb="FF000000"/>
        <rFont val="Calibri"/>
        <family val="2"/>
      </rPr>
      <t>)</t>
    </r>
  </si>
  <si>
    <r>
      <t xml:space="preserve">DÉLAI
</t>
    </r>
    <r>
      <rPr>
        <sz val="12"/>
        <color rgb="FF000000"/>
        <rFont val="Calibri"/>
        <family val="2"/>
      </rPr>
      <t>de l'OF traceur</t>
    </r>
  </si>
  <si>
    <r>
      <t>STOCKS</t>
    </r>
    <r>
      <rPr>
        <sz val="12"/>
        <color rgb="FF000000"/>
        <rFont val="Calibri"/>
        <family val="2"/>
      </rPr>
      <t xml:space="preserve"> (total des en-cours)</t>
    </r>
  </si>
  <si>
    <t>Résultats Atelier 1</t>
  </si>
  <si>
    <t>Résultats Atelier 2</t>
  </si>
  <si>
    <t>Résultats Atelier 3</t>
  </si>
  <si>
    <t>C</t>
  </si>
  <si>
    <t>E</t>
  </si>
  <si>
    <t>O</t>
  </si>
  <si>
    <t>R</t>
  </si>
  <si>
    <t>T</t>
  </si>
  <si>
    <t>V</t>
  </si>
  <si>
    <t>TaktTime</t>
  </si>
  <si>
    <t>Temps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</si>
</sst>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&quot; min.&quot;"/>
    <numFmt numFmtId="165" formatCode="0&quot; s.&quot;"/>
    <numFmt numFmtId="166" formatCode="0.0&quot; min.&quot;"/>
    <numFmt numFmtId="167" formatCode="0&quot; jrs.&quot;"/>
    <numFmt numFmtId="168" formatCode="0.0&quot; K€&quot;"/>
    <numFmt numFmtId="169" formatCode="0&quot; M€&quot;"/>
    <numFmt numFmtId="170" formatCode="0&quot; p.&quot;"/>
    <numFmt numFmtId="171" formatCode="0&quot; produits&quot;"/>
    <numFmt numFmtId="172" formatCode="#,##0&quot; s.&quot;"/>
    <numFmt numFmtId="173" formatCode="0&quot;s. (Co.)&quot;"/>
    <numFmt numFmtId="174" formatCode="0&quot;s. (Rec.)&quot;"/>
    <numFmt numFmtId="175" formatCode="0&quot;s. (Eto.)&quot;"/>
    <numFmt numFmtId="176" formatCode="0&quot;s. (Vag.)&quot;"/>
    <numFmt numFmtId="177" formatCode="0&quot;s. (Tri.)&quot;"/>
    <numFmt numFmtId="178" formatCode="0.0"/>
  </numFmts>
  <fonts count="68" x14ac:knownFonts="1">
    <font>
      <sz val="11"/>
      <color theme="1"/>
      <name val="Calibri"/>
      <family val="2"/>
      <scheme val="minor"/>
    </font>
    <font>
      <sz val="11"/>
      <color indexed="10"/>
      <name val="Arial"/>
      <family val="2"/>
    </font>
    <font>
      <sz val="11"/>
      <color indexed="30"/>
      <name val="Arial"/>
      <family val="2"/>
    </font>
    <font>
      <sz val="11"/>
      <name val="Arial"/>
      <family val="2"/>
    </font>
    <font>
      <b/>
      <sz val="11"/>
      <color indexed="3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1"/>
      <color rgb="FF0066CC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sz val="8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8"/>
      <color theme="1"/>
      <name val="Arial"/>
      <family val="2"/>
    </font>
    <font>
      <sz val="10"/>
      <color rgb="FF0066CC"/>
      <name val="Arial"/>
      <family val="2"/>
    </font>
    <font>
      <sz val="12"/>
      <color rgb="FF0033CC"/>
      <name val="Arial"/>
      <family val="2"/>
    </font>
    <font>
      <sz val="11"/>
      <color rgb="FF0033CC"/>
      <name val="Arial"/>
      <family val="2"/>
    </font>
    <font>
      <i/>
      <sz val="10"/>
      <color rgb="FF0033CC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9"/>
      <color rgb="FF008000"/>
      <name val="Arial"/>
      <family val="2"/>
    </font>
    <font>
      <b/>
      <sz val="9"/>
      <color rgb="FFFF0000"/>
      <name val="Arial"/>
      <family val="2"/>
    </font>
    <font>
      <b/>
      <sz val="8"/>
      <color theme="0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4"/>
      <color rgb="FF0033CC"/>
      <name val="Arial"/>
      <family val="2"/>
    </font>
    <font>
      <sz val="13"/>
      <color theme="1"/>
      <name val="Arial"/>
      <family val="2"/>
    </font>
    <font>
      <b/>
      <sz val="12"/>
      <color rgb="FFFF0000"/>
      <name val="Arial"/>
      <family val="2"/>
    </font>
    <font>
      <i/>
      <sz val="10"/>
      <color theme="1"/>
      <name val="Arial"/>
      <family val="2"/>
    </font>
    <font>
      <sz val="9"/>
      <color theme="1" tint="0.499984740745262"/>
      <name val="Arial"/>
      <family val="2"/>
    </font>
    <font>
      <sz val="8"/>
      <color rgb="FFE68900"/>
      <name val="Arial"/>
      <family val="2"/>
    </font>
    <font>
      <sz val="18"/>
      <color rgb="FFFF0000"/>
      <name val="Arial"/>
      <family val="2"/>
    </font>
    <font>
      <b/>
      <sz val="18"/>
      <color theme="0"/>
      <name val="Arial"/>
      <family val="2"/>
    </font>
    <font>
      <b/>
      <sz val="18"/>
      <color theme="1"/>
      <name val="Arial"/>
      <family val="2"/>
    </font>
    <font>
      <b/>
      <sz val="16"/>
      <color theme="0"/>
      <name val="Arial"/>
      <family val="2"/>
    </font>
    <font>
      <b/>
      <sz val="12"/>
      <color rgb="FF000000"/>
      <name val="Calibri"/>
      <family val="2"/>
    </font>
    <font>
      <sz val="12"/>
      <name val="Arial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33CC33"/>
      <name val="Calibri"/>
      <family val="2"/>
    </font>
    <font>
      <b/>
      <sz val="12"/>
      <color rgb="FFFF0000"/>
      <name val="Calibri"/>
      <family val="2"/>
    </font>
    <font>
      <b/>
      <sz val="12"/>
      <color rgb="FF0033CC"/>
      <name val="Calibri"/>
      <family val="2"/>
    </font>
    <font>
      <b/>
      <sz val="9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FFE3"/>
        <bgColor indexed="64"/>
      </patternFill>
    </fill>
    <fill>
      <patternFill patternType="solid">
        <fgColor rgb="FFFDE2CB"/>
        <bgColor indexed="64"/>
      </patternFill>
    </fill>
    <fill>
      <patternFill patternType="solid">
        <fgColor rgb="FFFFE181"/>
        <bgColor indexed="64"/>
      </patternFill>
    </fill>
    <fill>
      <patternFill patternType="solid">
        <fgColor rgb="FF97FF9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7FF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B3D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93FF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EB6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C9E8FB"/>
        <bgColor indexed="64"/>
      </patternFill>
    </fill>
    <fill>
      <patternFill patternType="solid">
        <fgColor rgb="FF3F9FFF"/>
        <bgColor indexed="64"/>
      </patternFill>
    </fill>
    <fill>
      <patternFill patternType="solid">
        <fgColor rgb="FFEEB50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A7FFA7"/>
        <bgColor indexed="64"/>
      </patternFill>
    </fill>
    <fill>
      <patternFill patternType="solid">
        <fgColor rgb="FFFFEEE5"/>
        <bgColor indexed="64"/>
      </patternFill>
    </fill>
    <fill>
      <patternFill patternType="solid">
        <fgColor rgb="FFF8FBFC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9" tint="-0.2499465926084170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9" tint="-0.24994659260841701"/>
      </right>
      <top/>
      <bottom style="thin">
        <color auto="1"/>
      </bottom>
      <diagonal/>
    </border>
    <border>
      <left style="medium">
        <color theme="9" tint="-0.24994659260841701"/>
      </left>
      <right style="thin">
        <color auto="1"/>
      </right>
      <top style="thin">
        <color auto="1"/>
      </top>
      <bottom style="medium">
        <color theme="9" tint="-0.24994659260841701"/>
      </bottom>
      <diagonal/>
    </border>
    <border>
      <left style="thin">
        <color auto="1"/>
      </left>
      <right style="medium">
        <color theme="9" tint="-0.24994659260841701"/>
      </right>
      <top style="thin">
        <color auto="1"/>
      </top>
      <bottom style="medium">
        <color theme="9" tint="-0.24994659260841701"/>
      </bottom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</borders>
  <cellStyleXfs count="5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16" fillId="0" borderId="0" applyFont="0" applyFill="0" applyBorder="0" applyAlignment="0" applyProtection="0"/>
  </cellStyleXfs>
  <cellXfs count="256">
    <xf numFmtId="0" fontId="0" fillId="0" borderId="0" xfId="0"/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 wrapText="1"/>
      <protection locked="0"/>
    </xf>
    <xf numFmtId="9" fontId="18" fillId="0" borderId="1" xfId="4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164" fontId="18" fillId="0" borderId="1" xfId="0" applyNumberFormat="1" applyFont="1" applyBorder="1" applyAlignment="1" applyProtection="1">
      <alignment horizontal="center" vertical="center"/>
      <protection locked="0"/>
    </xf>
    <xf numFmtId="165" fontId="18" fillId="0" borderId="1" xfId="0" applyNumberFormat="1" applyFont="1" applyBorder="1" applyAlignment="1" applyProtection="1">
      <alignment horizontal="center" vertical="center"/>
      <protection locked="0"/>
    </xf>
    <xf numFmtId="164" fontId="18" fillId="2" borderId="1" xfId="0" applyNumberFormat="1" applyFont="1" applyFill="1" applyBorder="1" applyAlignment="1">
      <alignment horizontal="center" vertical="center"/>
    </xf>
    <xf numFmtId="165" fontId="18" fillId="2" borderId="1" xfId="0" applyNumberFormat="1" applyFont="1" applyFill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indent="4"/>
    </xf>
    <xf numFmtId="166" fontId="18" fillId="0" borderId="1" xfId="0" applyNumberFormat="1" applyFont="1" applyBorder="1" applyAlignment="1" applyProtection="1">
      <alignment horizontal="center" vertical="center"/>
      <protection locked="0"/>
    </xf>
    <xf numFmtId="0" fontId="20" fillId="5" borderId="1" xfId="0" applyFont="1" applyFill="1" applyBorder="1" applyAlignment="1">
      <alignment horizontal="righ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 applyProtection="1">
      <alignment horizontal="center" vertical="center" wrapText="1"/>
      <protection locked="0"/>
    </xf>
    <xf numFmtId="9" fontId="18" fillId="2" borderId="2" xfId="4" applyFont="1" applyFill="1" applyBorder="1" applyAlignment="1" applyProtection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9" fontId="25" fillId="2" borderId="2" xfId="4" applyFont="1" applyFill="1" applyBorder="1" applyAlignment="1" applyProtection="1">
      <alignment horizontal="center" vertical="center" wrapText="1"/>
    </xf>
    <xf numFmtId="171" fontId="18" fillId="0" borderId="2" xfId="0" applyNumberFormat="1" applyFont="1" applyBorder="1" applyAlignment="1" applyProtection="1">
      <alignment horizontal="center" vertical="center" wrapText="1"/>
      <protection locked="0"/>
    </xf>
    <xf numFmtId="171" fontId="23" fillId="2" borderId="2" xfId="0" applyNumberFormat="1" applyFont="1" applyFill="1" applyBorder="1" applyAlignment="1">
      <alignment horizontal="center" vertical="center" wrapText="1"/>
    </xf>
    <xf numFmtId="170" fontId="23" fillId="2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6" fontId="18" fillId="0" borderId="5" xfId="0" applyNumberFormat="1" applyFont="1" applyBorder="1" applyAlignment="1" applyProtection="1">
      <alignment horizontal="center" vertical="center"/>
      <protection locked="0"/>
    </xf>
    <xf numFmtId="9" fontId="18" fillId="0" borderId="1" xfId="0" applyNumberFormat="1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164" fontId="18" fillId="6" borderId="1" xfId="0" applyNumberFormat="1" applyFont="1" applyFill="1" applyBorder="1" applyAlignment="1">
      <alignment horizontal="center" vertical="center"/>
    </xf>
    <xf numFmtId="168" fontId="18" fillId="6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9" fontId="18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69" fontId="18" fillId="6" borderId="1" xfId="0" applyNumberFormat="1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center" vertical="center"/>
    </xf>
    <xf numFmtId="168" fontId="18" fillId="7" borderId="1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9" fontId="18" fillId="7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9" fontId="18" fillId="7" borderId="1" xfId="0" applyNumberFormat="1" applyFont="1" applyFill="1" applyBorder="1" applyAlignment="1">
      <alignment horizontal="center" vertical="center"/>
    </xf>
    <xf numFmtId="166" fontId="18" fillId="8" borderId="1" xfId="0" applyNumberFormat="1" applyFont="1" applyFill="1" applyBorder="1" applyAlignment="1">
      <alignment horizontal="center" vertical="center"/>
    </xf>
    <xf numFmtId="168" fontId="18" fillId="8" borderId="1" xfId="0" applyNumberFormat="1" applyFont="1" applyFill="1" applyBorder="1" applyAlignment="1">
      <alignment horizontal="center" vertical="center"/>
    </xf>
    <xf numFmtId="167" fontId="18" fillId="8" borderId="1" xfId="0" applyNumberFormat="1" applyFont="1" applyFill="1" applyBorder="1" applyAlignment="1">
      <alignment horizontal="center" vertical="center"/>
    </xf>
    <xf numFmtId="9" fontId="18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9" fontId="18" fillId="8" borderId="1" xfId="0" applyNumberFormat="1" applyFont="1" applyFill="1" applyBorder="1" applyAlignment="1">
      <alignment horizontal="center" vertical="center"/>
    </xf>
    <xf numFmtId="168" fontId="26" fillId="9" borderId="3" xfId="0" applyNumberFormat="1" applyFont="1" applyFill="1" applyBorder="1" applyAlignment="1">
      <alignment horizontal="center" vertical="center"/>
    </xf>
    <xf numFmtId="168" fontId="26" fillId="9" borderId="1" xfId="0" applyNumberFormat="1" applyFont="1" applyFill="1" applyBorder="1" applyAlignment="1">
      <alignment horizontal="center" vertical="center"/>
    </xf>
    <xf numFmtId="167" fontId="26" fillId="9" borderId="1" xfId="0" applyNumberFormat="1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169" fontId="26" fillId="9" borderId="1" xfId="0" applyNumberFormat="1" applyFont="1" applyFill="1" applyBorder="1" applyAlignment="1">
      <alignment horizontal="center" vertical="center"/>
    </xf>
    <xf numFmtId="166" fontId="18" fillId="10" borderId="1" xfId="0" applyNumberFormat="1" applyFont="1" applyFill="1" applyBorder="1" applyAlignment="1">
      <alignment horizontal="center" vertical="center"/>
    </xf>
    <xf numFmtId="168" fontId="18" fillId="10" borderId="1" xfId="0" applyNumberFormat="1" applyFont="1" applyFill="1" applyBorder="1" applyAlignment="1">
      <alignment horizontal="center" vertical="center"/>
    </xf>
    <xf numFmtId="167" fontId="18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69" fontId="18" fillId="10" borderId="1" xfId="0" applyNumberFormat="1" applyFont="1" applyFill="1" applyBorder="1" applyAlignment="1">
      <alignment horizontal="center" vertical="center"/>
    </xf>
    <xf numFmtId="166" fontId="26" fillId="11" borderId="1" xfId="0" applyNumberFormat="1" applyFont="1" applyFill="1" applyBorder="1" applyAlignment="1">
      <alignment horizontal="center" vertical="center"/>
    </xf>
    <xf numFmtId="168" fontId="26" fillId="11" borderId="1" xfId="0" applyNumberFormat="1" applyFont="1" applyFill="1" applyBorder="1" applyAlignment="1">
      <alignment horizontal="center" vertical="center"/>
    </xf>
    <xf numFmtId="167" fontId="26" fillId="11" borderId="1" xfId="0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169" fontId="26" fillId="11" borderId="1" xfId="0" applyNumberFormat="1" applyFont="1" applyFill="1" applyBorder="1" applyAlignment="1">
      <alignment horizontal="center" vertical="center"/>
    </xf>
    <xf numFmtId="166" fontId="18" fillId="12" borderId="1" xfId="0" applyNumberFormat="1" applyFont="1" applyFill="1" applyBorder="1" applyAlignment="1">
      <alignment horizontal="center" vertical="center"/>
    </xf>
    <xf numFmtId="168" fontId="18" fillId="12" borderId="1" xfId="0" applyNumberFormat="1" applyFont="1" applyFill="1" applyBorder="1" applyAlignment="1">
      <alignment horizontal="center" vertical="center"/>
    </xf>
    <xf numFmtId="167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9" fontId="18" fillId="12" borderId="1" xfId="0" applyNumberFormat="1" applyFont="1" applyFill="1" applyBorder="1" applyAlignment="1">
      <alignment horizontal="center" vertical="center"/>
    </xf>
    <xf numFmtId="170" fontId="23" fillId="2" borderId="1" xfId="0" applyNumberFormat="1" applyFont="1" applyFill="1" applyBorder="1" applyAlignment="1">
      <alignment horizontal="center" vertical="center" wrapText="1"/>
    </xf>
    <xf numFmtId="165" fontId="18" fillId="0" borderId="2" xfId="0" applyNumberFormat="1" applyFont="1" applyBorder="1" applyAlignment="1" applyProtection="1">
      <alignment horizontal="center" vertical="center" wrapText="1"/>
      <protection locked="0"/>
    </xf>
    <xf numFmtId="3" fontId="18" fillId="2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3" fontId="25" fillId="2" borderId="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0" fontId="28" fillId="0" borderId="0" xfId="0" applyFont="1" applyAlignment="1">
      <alignment horizontal="left" vertical="center" indent="1"/>
    </xf>
    <xf numFmtId="3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 indent="1"/>
    </xf>
    <xf numFmtId="165" fontId="25" fillId="2" borderId="1" xfId="0" applyNumberFormat="1" applyFont="1" applyFill="1" applyBorder="1" applyAlignment="1">
      <alignment horizontal="center" vertical="center" wrapText="1"/>
    </xf>
    <xf numFmtId="165" fontId="18" fillId="2" borderId="2" xfId="0" applyNumberFormat="1" applyFont="1" applyFill="1" applyBorder="1" applyAlignment="1">
      <alignment horizontal="center" vertical="center" wrapText="1"/>
    </xf>
    <xf numFmtId="165" fontId="27" fillId="2" borderId="2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3" fontId="18" fillId="10" borderId="1" xfId="0" applyNumberFormat="1" applyFont="1" applyFill="1" applyBorder="1" applyAlignment="1">
      <alignment horizontal="center" vertical="center"/>
    </xf>
    <xf numFmtId="3" fontId="18" fillId="13" borderId="1" xfId="0" applyNumberFormat="1" applyFont="1" applyFill="1" applyBorder="1" applyAlignment="1">
      <alignment horizontal="center" vertical="center"/>
    </xf>
    <xf numFmtId="3" fontId="26" fillId="11" borderId="1" xfId="0" applyNumberFormat="1" applyFont="1" applyFill="1" applyBorder="1" applyAlignment="1">
      <alignment horizontal="center" vertical="center"/>
    </xf>
    <xf numFmtId="9" fontId="26" fillId="11" borderId="1" xfId="4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32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 applyProtection="1">
      <alignment horizontal="center" vertical="center" wrapText="1"/>
      <protection locked="0"/>
    </xf>
    <xf numFmtId="0" fontId="34" fillId="0" borderId="1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5" fillId="0" borderId="13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 readingOrder="1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 readingOrder="1"/>
    </xf>
    <xf numFmtId="0" fontId="37" fillId="0" borderId="11" xfId="0" applyFont="1" applyBorder="1" applyAlignment="1">
      <alignment horizontal="left" vertical="center" wrapText="1" readingOrder="1"/>
    </xf>
    <xf numFmtId="0" fontId="36" fillId="0" borderId="14" xfId="0" applyFont="1" applyBorder="1" applyAlignment="1">
      <alignment horizontal="center" vertical="center" wrapText="1" readingOrder="1"/>
    </xf>
    <xf numFmtId="0" fontId="37" fillId="0" borderId="14" xfId="0" applyFont="1" applyBorder="1" applyAlignment="1">
      <alignment horizontal="left" vertical="center" wrapText="1" readingOrder="1"/>
    </xf>
    <xf numFmtId="0" fontId="33" fillId="0" borderId="1" xfId="0" applyFont="1" applyBorder="1" applyAlignment="1">
      <alignment horizontal="center"/>
    </xf>
    <xf numFmtId="0" fontId="30" fillId="0" borderId="0" xfId="0" applyFont="1" applyAlignment="1">
      <alignment horizontal="center" wrapText="1"/>
    </xf>
    <xf numFmtId="0" fontId="33" fillId="0" borderId="0" xfId="0" applyFont="1" applyAlignment="1">
      <alignment horizontal="right"/>
    </xf>
    <xf numFmtId="0" fontId="30" fillId="5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29" fillId="0" borderId="0" xfId="0" applyFont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6" fillId="14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25" fillId="0" borderId="0" xfId="0" applyFont="1" applyAlignment="1">
      <alignment horizontal="right" vertical="center"/>
    </xf>
    <xf numFmtId="0" fontId="3" fillId="16" borderId="5" xfId="1" applyFont="1" applyFill="1" applyBorder="1" applyAlignment="1" applyProtection="1">
      <alignment horizontal="center" vertical="center"/>
    </xf>
    <xf numFmtId="0" fontId="26" fillId="17" borderId="5" xfId="1" applyFont="1" applyFill="1" applyBorder="1" applyAlignment="1" applyProtection="1">
      <alignment horizontal="center" vertical="center"/>
    </xf>
    <xf numFmtId="0" fontId="3" fillId="18" borderId="5" xfId="1" applyFont="1" applyFill="1" applyBorder="1" applyAlignment="1" applyProtection="1">
      <alignment horizontal="center" vertical="center"/>
    </xf>
    <xf numFmtId="0" fontId="3" fillId="0" borderId="0" xfId="0" applyFont="1" applyAlignment="1">
      <alignment vertical="center" wrapText="1"/>
    </xf>
    <xf numFmtId="0" fontId="27" fillId="19" borderId="5" xfId="1" applyFont="1" applyFill="1" applyBorder="1" applyAlignment="1" applyProtection="1">
      <alignment horizontal="center" vertical="center"/>
    </xf>
    <xf numFmtId="0" fontId="3" fillId="3" borderId="5" xfId="1" applyFont="1" applyFill="1" applyBorder="1" applyAlignment="1" applyProtection="1">
      <alignment horizontal="center" vertical="center"/>
    </xf>
    <xf numFmtId="0" fontId="26" fillId="14" borderId="5" xfId="1" applyFont="1" applyFill="1" applyBorder="1" applyAlignment="1" applyProtection="1">
      <alignment horizontal="center" vertical="center"/>
    </xf>
    <xf numFmtId="0" fontId="26" fillId="20" borderId="5" xfId="1" applyFont="1" applyFill="1" applyBorder="1" applyAlignment="1" applyProtection="1">
      <alignment horizontal="center" vertical="center"/>
    </xf>
    <xf numFmtId="0" fontId="26" fillId="9" borderId="5" xfId="1" applyFont="1" applyFill="1" applyBorder="1" applyAlignment="1" applyProtection="1">
      <alignment horizontal="center" vertical="center"/>
    </xf>
    <xf numFmtId="165" fontId="30" fillId="2" borderId="2" xfId="0" applyNumberFormat="1" applyFont="1" applyFill="1" applyBorder="1" applyAlignment="1">
      <alignment horizontal="center" vertical="center" wrapText="1"/>
    </xf>
    <xf numFmtId="165" fontId="30" fillId="13" borderId="2" xfId="0" applyNumberFormat="1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vertical="center"/>
    </xf>
    <xf numFmtId="0" fontId="41" fillId="0" borderId="0" xfId="0" applyFont="1" applyAlignment="1">
      <alignment vertical="center"/>
    </xf>
    <xf numFmtId="0" fontId="15" fillId="0" borderId="0" xfId="0" applyFont="1" applyAlignment="1">
      <alignment horizontal="left" vertical="center" indent="1"/>
    </xf>
    <xf numFmtId="0" fontId="42" fillId="0" borderId="0" xfId="0" applyFont="1" applyAlignment="1">
      <alignment horizontal="left" vertical="center" indent="1"/>
    </xf>
    <xf numFmtId="3" fontId="18" fillId="10" borderId="1" xfId="0" applyNumberFormat="1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165" fontId="43" fillId="11" borderId="1" xfId="0" applyNumberFormat="1" applyFont="1" applyFill="1" applyBorder="1" applyAlignment="1" applyProtection="1">
      <alignment horizontal="center" vertical="center" wrapText="1"/>
      <protection locked="0"/>
    </xf>
    <xf numFmtId="165" fontId="44" fillId="21" borderId="5" xfId="0" applyNumberFormat="1" applyFont="1" applyFill="1" applyBorder="1" applyAlignment="1" applyProtection="1">
      <alignment horizontal="center" vertical="center" wrapText="1"/>
      <protection locked="0"/>
    </xf>
    <xf numFmtId="9" fontId="45" fillId="2" borderId="1" xfId="4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9" fontId="45" fillId="22" borderId="5" xfId="4" applyFont="1" applyFill="1" applyBorder="1" applyAlignment="1">
      <alignment horizontal="right" vertical="center" wrapText="1"/>
    </xf>
    <xf numFmtId="0" fontId="45" fillId="22" borderId="5" xfId="0" applyFont="1" applyFill="1" applyBorder="1" applyAlignment="1">
      <alignment horizontal="right" vertical="center" wrapText="1"/>
    </xf>
    <xf numFmtId="0" fontId="45" fillId="22" borderId="1" xfId="0" applyFont="1" applyFill="1" applyBorder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28" fillId="0" borderId="0" xfId="0" applyFont="1" applyAlignment="1">
      <alignment horizontal="right" vertical="center"/>
    </xf>
    <xf numFmtId="165" fontId="44" fillId="21" borderId="1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center" vertical="center" wrapText="1"/>
    </xf>
    <xf numFmtId="174" fontId="47" fillId="9" borderId="5" xfId="0" applyNumberFormat="1" applyFont="1" applyFill="1" applyBorder="1" applyAlignment="1">
      <alignment horizontal="center" vertical="center" wrapText="1"/>
    </xf>
    <xf numFmtId="175" fontId="47" fillId="9" borderId="5" xfId="0" applyNumberFormat="1" applyFont="1" applyFill="1" applyBorder="1" applyAlignment="1">
      <alignment horizontal="center" vertical="center" wrapText="1"/>
    </xf>
    <xf numFmtId="176" fontId="47" fillId="9" borderId="5" xfId="0" applyNumberFormat="1" applyFont="1" applyFill="1" applyBorder="1" applyAlignment="1">
      <alignment horizontal="center" vertical="center" wrapText="1"/>
    </xf>
    <xf numFmtId="177" fontId="47" fillId="9" borderId="5" xfId="0" applyNumberFormat="1" applyFont="1" applyFill="1" applyBorder="1" applyAlignment="1">
      <alignment horizontal="center" vertical="center" wrapText="1"/>
    </xf>
    <xf numFmtId="173" fontId="47" fillId="9" borderId="5" xfId="0" applyNumberFormat="1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9" fillId="0" borderId="0" xfId="0" applyFont="1" applyAlignment="1">
      <alignment horizontal="right" vertical="center" indent="1"/>
    </xf>
    <xf numFmtId="0" fontId="18" fillId="24" borderId="1" xfId="0" applyFont="1" applyFill="1" applyBorder="1" applyAlignment="1">
      <alignment horizontal="center" vertical="center" wrapText="1"/>
    </xf>
    <xf numFmtId="0" fontId="26" fillId="25" borderId="1" xfId="0" applyFont="1" applyFill="1" applyBorder="1" applyAlignment="1">
      <alignment horizontal="center" vertical="center" wrapText="1"/>
    </xf>
    <xf numFmtId="166" fontId="18" fillId="0" borderId="1" xfId="4" applyNumberFormat="1" applyFont="1" applyBorder="1" applyAlignment="1" applyProtection="1">
      <alignment horizontal="center" vertical="center"/>
      <protection locked="0"/>
    </xf>
    <xf numFmtId="0" fontId="26" fillId="26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26" fillId="28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61" fillId="0" borderId="0" xfId="0" applyFont="1" applyAlignment="1">
      <alignment horizontal="center" vertical="center" wrapText="1"/>
    </xf>
    <xf numFmtId="0" fontId="61" fillId="0" borderId="0" xfId="0" applyFont="1" applyAlignment="1">
      <alignment horizontal="left" vertical="center" wrapText="1" indent="1"/>
    </xf>
    <xf numFmtId="166" fontId="24" fillId="2" borderId="1" xfId="0" applyNumberFormat="1" applyFont="1" applyFill="1" applyBorder="1" applyAlignment="1">
      <alignment horizontal="center" vertical="center"/>
    </xf>
    <xf numFmtId="0" fontId="10" fillId="31" borderId="6" xfId="0" applyFont="1" applyFill="1" applyBorder="1" applyAlignment="1">
      <alignment horizontal="center" vertical="center"/>
    </xf>
    <xf numFmtId="0" fontId="10" fillId="31" borderId="8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32" fillId="11" borderId="0" xfId="1" applyFont="1" applyFill="1" applyAlignment="1" applyProtection="1">
      <alignment horizontal="center" vertical="center"/>
    </xf>
    <xf numFmtId="0" fontId="12" fillId="30" borderId="6" xfId="0" applyFont="1" applyFill="1" applyBorder="1" applyAlignment="1">
      <alignment horizontal="center" vertical="center" wrapText="1"/>
    </xf>
    <xf numFmtId="0" fontId="12" fillId="30" borderId="5" xfId="0" applyFont="1" applyFill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top"/>
    </xf>
    <xf numFmtId="165" fontId="22" fillId="2" borderId="1" xfId="0" applyNumberFormat="1" applyFont="1" applyFill="1" applyBorder="1" applyAlignment="1">
      <alignment horizontal="center" vertical="center"/>
    </xf>
    <xf numFmtId="165" fontId="22" fillId="2" borderId="6" xfId="0" applyNumberFormat="1" applyFont="1" applyFill="1" applyBorder="1" applyAlignment="1">
      <alignment horizontal="center" vertical="center"/>
    </xf>
    <xf numFmtId="171" fontId="22" fillId="2" borderId="6" xfId="0" applyNumberFormat="1" applyFont="1" applyFill="1" applyBorder="1" applyAlignment="1">
      <alignment horizontal="center" vertical="center" wrapText="1"/>
    </xf>
    <xf numFmtId="171" fontId="22" fillId="2" borderId="5" xfId="0" applyNumberFormat="1" applyFont="1" applyFill="1" applyBorder="1" applyAlignment="1">
      <alignment horizontal="center" vertical="center" wrapText="1"/>
    </xf>
    <xf numFmtId="164" fontId="22" fillId="2" borderId="1" xfId="0" applyNumberFormat="1" applyFont="1" applyFill="1" applyBorder="1" applyAlignment="1">
      <alignment horizontal="center" vertical="center"/>
    </xf>
    <xf numFmtId="170" fontId="22" fillId="2" borderId="6" xfId="0" applyNumberFormat="1" applyFont="1" applyFill="1" applyBorder="1" applyAlignment="1">
      <alignment horizontal="center" vertical="center" wrapText="1"/>
    </xf>
    <xf numFmtId="170" fontId="22" fillId="2" borderId="5" xfId="0" applyNumberFormat="1" applyFont="1" applyFill="1" applyBorder="1" applyAlignment="1">
      <alignment horizontal="center" vertical="center" wrapText="1"/>
    </xf>
    <xf numFmtId="165" fontId="22" fillId="2" borderId="5" xfId="0" applyNumberFormat="1" applyFont="1" applyFill="1" applyBorder="1" applyAlignment="1">
      <alignment horizontal="center" vertical="center"/>
    </xf>
    <xf numFmtId="0" fontId="20" fillId="30" borderId="6" xfId="0" applyFont="1" applyFill="1" applyBorder="1" applyAlignment="1">
      <alignment horizontal="center" vertical="center" wrapText="1"/>
    </xf>
    <xf numFmtId="0" fontId="20" fillId="30" borderId="9" xfId="0" applyFont="1" applyFill="1" applyBorder="1" applyAlignment="1">
      <alignment horizontal="center" vertical="center" wrapText="1"/>
    </xf>
    <xf numFmtId="0" fontId="51" fillId="30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52" fillId="3" borderId="6" xfId="0" applyFont="1" applyFill="1" applyBorder="1" applyAlignment="1">
      <alignment horizontal="center" vertical="center" wrapText="1"/>
    </xf>
    <xf numFmtId="0" fontId="52" fillId="3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0" fillId="29" borderId="6" xfId="0" applyFont="1" applyFill="1" applyBorder="1" applyAlignment="1">
      <alignment horizontal="center" vertical="center"/>
    </xf>
    <xf numFmtId="0" fontId="10" fillId="29" borderId="8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 applyProtection="1">
      <alignment horizontal="center" vertical="center"/>
      <protection locked="0"/>
    </xf>
    <xf numFmtId="165" fontId="20" fillId="0" borderId="1" xfId="0" applyNumberFormat="1" applyFont="1" applyBorder="1" applyAlignment="1" applyProtection="1">
      <alignment horizontal="center" vertical="center"/>
      <protection locked="0"/>
    </xf>
    <xf numFmtId="0" fontId="11" fillId="19" borderId="6" xfId="0" applyFont="1" applyFill="1" applyBorder="1" applyAlignment="1">
      <alignment horizontal="center" vertical="center"/>
    </xf>
    <xf numFmtId="0" fontId="11" fillId="19" borderId="8" xfId="0" applyFont="1" applyFill="1" applyBorder="1" applyAlignment="1">
      <alignment horizontal="center" vertical="center"/>
    </xf>
    <xf numFmtId="0" fontId="11" fillId="19" borderId="5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 textRotation="90" wrapText="1"/>
    </xf>
    <xf numFmtId="0" fontId="50" fillId="2" borderId="3" xfId="0" applyFont="1" applyFill="1" applyBorder="1" applyAlignment="1">
      <alignment horizontal="center" vertical="center" textRotation="90" wrapText="1"/>
    </xf>
    <xf numFmtId="0" fontId="50" fillId="2" borderId="7" xfId="0" applyFont="1" applyFill="1" applyBorder="1" applyAlignment="1">
      <alignment horizontal="center" vertical="center" textRotation="90" wrapText="1"/>
    </xf>
    <xf numFmtId="0" fontId="50" fillId="2" borderId="2" xfId="0" applyFont="1" applyFill="1" applyBorder="1" applyAlignment="1">
      <alignment horizontal="center" vertical="center" textRotation="90" wrapText="1"/>
    </xf>
    <xf numFmtId="0" fontId="32" fillId="11" borderId="0" xfId="1" applyFont="1" applyFill="1" applyAlignment="1" applyProtection="1">
      <alignment horizontal="center" vertical="center" wrapText="1"/>
    </xf>
    <xf numFmtId="0" fontId="32" fillId="32" borderId="4" xfId="0" applyFont="1" applyFill="1" applyBorder="1" applyAlignment="1">
      <alignment horizontal="center" vertical="center"/>
    </xf>
    <xf numFmtId="0" fontId="18" fillId="33" borderId="1" xfId="0" applyFont="1" applyFill="1" applyBorder="1" applyAlignment="1">
      <alignment horizontal="center" vertical="center"/>
    </xf>
    <xf numFmtId="0" fontId="18" fillId="33" borderId="6" xfId="0" applyFont="1" applyFill="1" applyBorder="1" applyAlignment="1">
      <alignment horizontal="center" vertical="center" wrapText="1"/>
    </xf>
    <xf numFmtId="0" fontId="18" fillId="33" borderId="5" xfId="0" applyFont="1" applyFill="1" applyBorder="1" applyAlignment="1">
      <alignment horizontal="center" vertical="center" wrapText="1"/>
    </xf>
    <xf numFmtId="172" fontId="18" fillId="2" borderId="3" xfId="0" applyNumberFormat="1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/>
    </xf>
    <xf numFmtId="0" fontId="38" fillId="23" borderId="3" xfId="0" applyFont="1" applyFill="1" applyBorder="1" applyAlignment="1">
      <alignment horizontal="center" vertical="center" textRotation="90" wrapText="1"/>
    </xf>
    <xf numFmtId="0" fontId="38" fillId="23" borderId="2" xfId="0" applyFont="1" applyFill="1" applyBorder="1" applyAlignment="1">
      <alignment horizontal="center" vertical="center" textRotation="90" wrapText="1"/>
    </xf>
    <xf numFmtId="0" fontId="54" fillId="0" borderId="21" xfId="0" applyFont="1" applyBorder="1" applyAlignment="1" applyProtection="1">
      <alignment horizontal="center" vertical="center"/>
      <protection locked="0"/>
    </xf>
    <xf numFmtId="0" fontId="54" fillId="0" borderId="22" xfId="0" applyFont="1" applyBorder="1" applyAlignment="1" applyProtection="1">
      <alignment horizontal="center" vertical="center"/>
      <protection locked="0"/>
    </xf>
    <xf numFmtId="0" fontId="28" fillId="19" borderId="19" xfId="0" applyFont="1" applyFill="1" applyBorder="1" applyAlignment="1">
      <alignment horizontal="center" vertical="center"/>
    </xf>
    <xf numFmtId="0" fontId="28" fillId="19" borderId="20" xfId="0" applyFont="1" applyFill="1" applyBorder="1" applyAlignment="1">
      <alignment horizontal="center" vertical="center"/>
    </xf>
    <xf numFmtId="9" fontId="56" fillId="0" borderId="1" xfId="0" applyNumberFormat="1" applyFont="1" applyBorder="1" applyAlignment="1">
      <alignment horizontal="center" vertical="center"/>
    </xf>
    <xf numFmtId="165" fontId="57" fillId="9" borderId="1" xfId="0" applyNumberFormat="1" applyFont="1" applyFill="1" applyBorder="1" applyAlignment="1" applyProtection="1">
      <alignment horizontal="center" vertical="center" wrapText="1"/>
      <protection locked="0"/>
    </xf>
    <xf numFmtId="165" fontId="58" fillId="21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5" fillId="0" borderId="0" xfId="0" applyFont="1" applyAlignment="1">
      <alignment horizontal="center"/>
    </xf>
    <xf numFmtId="165" fontId="26" fillId="9" borderId="3" xfId="0" applyNumberFormat="1" applyFont="1" applyFill="1" applyBorder="1" applyAlignment="1" applyProtection="1">
      <alignment horizontal="center" vertical="center" wrapText="1"/>
      <protection locked="0"/>
    </xf>
    <xf numFmtId="165" fontId="26" fillId="9" borderId="2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9" fontId="59" fillId="11" borderId="1" xfId="4" applyFont="1" applyFill="1" applyBorder="1" applyAlignment="1" applyProtection="1">
      <alignment horizontal="center"/>
    </xf>
    <xf numFmtId="0" fontId="32" fillId="11" borderId="0" xfId="1" applyFont="1" applyFill="1" applyAlignment="1" applyProtection="1">
      <alignment horizontal="center"/>
    </xf>
    <xf numFmtId="0" fontId="62" fillId="36" borderId="1" xfId="0" applyFont="1" applyFill="1" applyBorder="1" applyAlignment="1">
      <alignment horizontal="center" vertical="center" wrapText="1" readingOrder="1"/>
    </xf>
    <xf numFmtId="178" fontId="20" fillId="36" borderId="1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horizontal="left" vertical="center" wrapText="1" indent="1"/>
    </xf>
    <xf numFmtId="0" fontId="60" fillId="36" borderId="1" xfId="0" applyFont="1" applyFill="1" applyBorder="1" applyAlignment="1">
      <alignment horizontal="center" vertical="center" wrapText="1" readingOrder="1"/>
    </xf>
    <xf numFmtId="0" fontId="61" fillId="0" borderId="0" xfId="0" applyFont="1" applyAlignment="1">
      <alignment horizontal="center" vertical="center" wrapText="1"/>
    </xf>
    <xf numFmtId="0" fontId="20" fillId="0" borderId="1" xfId="0" applyFont="1" applyBorder="1" applyAlignment="1" applyProtection="1">
      <alignment horizontal="center" vertical="center"/>
      <protection locked="0"/>
    </xf>
    <xf numFmtId="0" fontId="62" fillId="2" borderId="1" xfId="0" applyFont="1" applyFill="1" applyBorder="1" applyAlignment="1">
      <alignment horizontal="center" vertical="center" wrapText="1" readingOrder="1"/>
    </xf>
    <xf numFmtId="0" fontId="60" fillId="35" borderId="1" xfId="0" applyFont="1" applyFill="1" applyBorder="1" applyAlignment="1">
      <alignment horizontal="center" vertical="center" wrapText="1" readingOrder="1"/>
    </xf>
    <xf numFmtId="9" fontId="20" fillId="2" borderId="1" xfId="4" applyFont="1" applyFill="1" applyBorder="1" applyAlignment="1" applyProtection="1">
      <alignment horizontal="center" vertical="center"/>
    </xf>
    <xf numFmtId="0" fontId="32" fillId="32" borderId="0" xfId="0" applyFont="1" applyFill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 readingOrder="1"/>
    </xf>
    <xf numFmtId="0" fontId="60" fillId="34" borderId="1" xfId="0" applyFont="1" applyFill="1" applyBorder="1" applyAlignment="1">
      <alignment horizontal="center" vertical="center" wrapText="1" readingOrder="1"/>
    </xf>
    <xf numFmtId="0" fontId="33" fillId="2" borderId="1" xfId="0" applyFont="1" applyFill="1" applyBorder="1" applyAlignment="1">
      <alignment horizontal="center" vertical="center"/>
    </xf>
  </cellXfs>
  <cellStyles count="5">
    <cellStyle name="Lien hypertexte" xfId="1" builtinId="8"/>
    <cellStyle name="Lien hypertexte 2" xfId="2" xr:uid="{00000000-0005-0000-0000-000001000000}"/>
    <cellStyle name="Normal" xfId="0" builtinId="0"/>
    <cellStyle name="Normal 2" xfId="3" xr:uid="{00000000-0005-0000-0000-000003000000}"/>
    <cellStyle name="Pourcentage" xfId="4" builtinId="5"/>
  </cellStyles>
  <dxfs count="10">
    <dxf>
      <fill>
        <patternFill>
          <bgColor rgb="FF00FF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0000FF"/>
      <color rgb="FFFFFF99"/>
      <color rgb="FFF8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% non conformes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8FFFD2"/>
              </a:solidFill>
            </c:spPr>
            <c:extLst>
              <c:ext xmlns:c16="http://schemas.microsoft.com/office/drawing/2014/chart" uri="{C3380CC4-5D6E-409C-BE32-E72D297353CC}">
                <c16:uniqueId val="{00000001-DA7B-DD4B-B631-2BAD5D748220}"/>
              </c:ext>
            </c:extLst>
          </c:dPt>
          <c:dPt>
            <c:idx val="1"/>
            <c:invertIfNegative val="0"/>
            <c:bubble3D val="0"/>
            <c:spPr>
              <a:solidFill>
                <a:srgbClr val="E68900"/>
              </a:solidFill>
            </c:spPr>
            <c:extLst>
              <c:ext xmlns:c16="http://schemas.microsoft.com/office/drawing/2014/chart" uri="{C3380CC4-5D6E-409C-BE32-E72D297353CC}">
                <c16:uniqueId val="{00000003-DA7B-DD4B-B631-2BAD5D748220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DA7B-DD4B-B631-2BAD5D748220}"/>
              </c:ext>
            </c:extLst>
          </c:dPt>
          <c:dPt>
            <c:idx val="4"/>
            <c:invertIfNegative val="0"/>
            <c:bubble3D val="0"/>
            <c:spPr>
              <a:solidFill>
                <a:srgbClr val="8FFFD2"/>
              </a:solidFill>
            </c:spPr>
            <c:extLst>
              <c:ext xmlns:c16="http://schemas.microsoft.com/office/drawing/2014/chart" uri="{C3380CC4-5D6E-409C-BE32-E72D297353CC}">
                <c16:uniqueId val="{00000007-DA7B-DD4B-B631-2BAD5D748220}"/>
              </c:ext>
            </c:extLst>
          </c:dPt>
          <c:dPt>
            <c:idx val="5"/>
            <c:invertIfNegative val="0"/>
            <c:bubble3D val="0"/>
            <c:spPr>
              <a:solidFill>
                <a:srgbClr val="E68900"/>
              </a:solidFill>
            </c:spPr>
            <c:extLst>
              <c:ext xmlns:c16="http://schemas.microsoft.com/office/drawing/2014/chart" uri="{C3380CC4-5D6E-409C-BE32-E72D297353CC}">
                <c16:uniqueId val="{00000009-DA7B-DD4B-B631-2BAD5D748220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DA7B-DD4B-B631-2BAD5D748220}"/>
              </c:ext>
            </c:extLst>
          </c:dPt>
          <c:dLbls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Qualité!$C$3:$I$3</c:f>
              <c:strCache>
                <c:ptCount val="7"/>
                <c:pt idx="0">
                  <c:v>Croix</c:v>
                </c:pt>
                <c:pt idx="1">
                  <c:v>Etoile</c:v>
                </c:pt>
                <c:pt idx="2">
                  <c:v>Ovale</c:v>
                </c:pt>
                <c:pt idx="3">
                  <c:v>Rect.</c:v>
                </c:pt>
                <c:pt idx="4">
                  <c:v>Tri.</c:v>
                </c:pt>
                <c:pt idx="5">
                  <c:v>Vague</c:v>
                </c:pt>
                <c:pt idx="6">
                  <c:v>USINE</c:v>
                </c:pt>
              </c:strCache>
            </c:strRef>
          </c:cat>
          <c:val>
            <c:numRef>
              <c:f>Qualité!$C$4:$I$4</c:f>
              <c:numCache>
                <c:formatCode>0%</c:formatCode>
                <c:ptCount val="7"/>
                <c:pt idx="0">
                  <c:v>0.12</c:v>
                </c:pt>
                <c:pt idx="1">
                  <c:v>4.6511627906976744E-2</c:v>
                </c:pt>
                <c:pt idx="2">
                  <c:v>0.10526315789473684</c:v>
                </c:pt>
                <c:pt idx="3">
                  <c:v>0</c:v>
                </c:pt>
                <c:pt idx="4">
                  <c:v>0.14705882352941177</c:v>
                </c:pt>
                <c:pt idx="5">
                  <c:v>0.125</c:v>
                </c:pt>
                <c:pt idx="6">
                  <c:v>0.20895522388059701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7B-DD4B-B631-2BAD5D748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106573824"/>
        <c:axId val="106575360"/>
      </c:barChart>
      <c:catAx>
        <c:axId val="10657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6575360"/>
        <c:crosses val="autoZero"/>
        <c:auto val="1"/>
        <c:lblAlgn val="ctr"/>
        <c:lblOffset val="100"/>
        <c:noMultiLvlLbl val="0"/>
      </c:catAx>
      <c:valAx>
        <c:axId val="106575360"/>
        <c:scaling>
          <c:orientation val="minMax"/>
          <c:max val="0.4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65738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Coûts (K€)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1CAA-8542-9275-CB10BC9B6106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1CAA-8542-9275-CB10BC9B6106}"/>
              </c:ext>
            </c:extLst>
          </c:dPt>
          <c:dLbls>
            <c:numFmt formatCode="#,##0.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'Performances Simul. 1'!$B$5:$B$7</c:f>
              <c:strCache>
                <c:ptCount val="3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</c:strCache>
            </c:strRef>
          </c:cat>
          <c:val>
            <c:numRef>
              <c:f>'Performances Simul. 1'!$D$5:$D$7</c:f>
              <c:numCache>
                <c:formatCode>0.0" K€"</c:formatCode>
                <c:ptCount val="3"/>
                <c:pt idx="0">
                  <c:v>14</c:v>
                </c:pt>
                <c:pt idx="1">
                  <c:v>12</c:v>
                </c:pt>
                <c:pt idx="2">
                  <c:v>12.037735849056604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A-8542-9275-CB10BC9B6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07393792"/>
        <c:axId val="107395328"/>
      </c:barChart>
      <c:catAx>
        <c:axId val="1073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395328"/>
        <c:crosses val="autoZero"/>
        <c:auto val="1"/>
        <c:lblAlgn val="ctr"/>
        <c:lblOffset val="100"/>
        <c:noMultiLvlLbl val="0"/>
      </c:catAx>
      <c:valAx>
        <c:axId val="107395328"/>
        <c:scaling>
          <c:orientation val="minMax"/>
          <c:max val="18"/>
          <c:min val="5"/>
        </c:scaling>
        <c:delete val="0"/>
        <c:axPos val="l"/>
        <c:majorGridlines/>
        <c:numFmt formatCode="0&quot; K€&quot;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393792"/>
        <c:crosses val="autoZero"/>
        <c:crossBetween val="between"/>
        <c:majorUnit val="5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Délai (jours)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7DE3-1744-9DDC-B40D1F2EBB6C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7DE3-1744-9DDC-B40D1F2EBB6C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'Performances Simul. 1'!$B$5:$B$7</c:f>
              <c:strCache>
                <c:ptCount val="3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</c:strCache>
            </c:strRef>
          </c:cat>
          <c:val>
            <c:numRef>
              <c:f>'Performances Simul. 1'!$F$5:$F$7</c:f>
              <c:numCache>
                <c:formatCode>0" jrs."</c:formatCode>
                <c:ptCount val="3"/>
                <c:pt idx="0">
                  <c:v>85</c:v>
                </c:pt>
                <c:pt idx="1">
                  <c:v>70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E3-1744-9DDC-B40D1F2E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07745664"/>
        <c:axId val="107747200"/>
      </c:barChart>
      <c:catAx>
        <c:axId val="10774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747200"/>
        <c:crosses val="autoZero"/>
        <c:auto val="1"/>
        <c:lblAlgn val="ctr"/>
        <c:lblOffset val="100"/>
        <c:noMultiLvlLbl val="0"/>
      </c:catAx>
      <c:valAx>
        <c:axId val="107747200"/>
        <c:scaling>
          <c:orientation val="minMax"/>
          <c:max val="100"/>
          <c:min val="20"/>
        </c:scaling>
        <c:delete val="0"/>
        <c:axPos val="l"/>
        <c:majorGridlines/>
        <c:numFmt formatCode="0&quot; jrs.&quot;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745664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Qualité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64AB-2049-ABE7-D5FAC1A7EAD3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64AB-2049-ABE7-D5FAC1A7EAD3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'Performances Simul. 1'!$B$5:$B$7</c:f>
              <c:strCache>
                <c:ptCount val="3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</c:strCache>
            </c:strRef>
          </c:cat>
          <c:val>
            <c:numRef>
              <c:f>'Performances Simul. 1'!$H$5:$H$7</c:f>
              <c:numCache>
                <c:formatCode>General</c:formatCode>
                <c:ptCount val="3"/>
                <c:pt idx="0">
                  <c:v>29.999999999999986</c:v>
                </c:pt>
                <c:pt idx="1">
                  <c:v>70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AB-2049-ABE7-D5FAC1A7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07786240"/>
        <c:axId val="107787776"/>
      </c:barChart>
      <c:catAx>
        <c:axId val="10778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787776"/>
        <c:crosses val="autoZero"/>
        <c:auto val="1"/>
        <c:lblAlgn val="ctr"/>
        <c:lblOffset val="100"/>
        <c:noMultiLvlLbl val="0"/>
      </c:catAx>
      <c:valAx>
        <c:axId val="107787776"/>
        <c:scaling>
          <c:orientation val="minMax"/>
          <c:max val="100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786240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Stocks (M€)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C5A9-9B48-AE29-5B54FBC40399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C5A9-9B48-AE29-5B54FBC40399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'Performances Simul. 1'!$B$5:$B$7</c:f>
              <c:strCache>
                <c:ptCount val="3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</c:strCache>
            </c:strRef>
          </c:cat>
          <c:val>
            <c:numRef>
              <c:f>'Performances Simul. 1'!$J$5:$J$7</c:f>
              <c:numCache>
                <c:formatCode>0" M€"</c:formatCode>
                <c:ptCount val="3"/>
                <c:pt idx="0">
                  <c:v>20</c:v>
                </c:pt>
                <c:pt idx="1">
                  <c:v>16</c:v>
                </c:pt>
                <c:pt idx="2">
                  <c:v>17.600000000000001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A9-9B48-AE29-5B54FBC40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07828736"/>
        <c:axId val="107830272"/>
      </c:barChart>
      <c:catAx>
        <c:axId val="10782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830272"/>
        <c:crosses val="autoZero"/>
        <c:auto val="1"/>
        <c:lblAlgn val="ctr"/>
        <c:lblOffset val="100"/>
        <c:noMultiLvlLbl val="0"/>
      </c:catAx>
      <c:valAx>
        <c:axId val="107830272"/>
        <c:scaling>
          <c:orientation val="minMax"/>
          <c:max val="35"/>
          <c:min val="5"/>
        </c:scaling>
        <c:delete val="0"/>
        <c:axPos val="l"/>
        <c:majorGridlines/>
        <c:numFmt formatCode="0&quot; M€&quot;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07828736"/>
        <c:crosses val="autoZero"/>
        <c:crossBetween val="between"/>
        <c:maj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'Takt Time'!$B$16</c:f>
              <c:strCache>
                <c:ptCount val="1"/>
                <c:pt idx="0">
                  <c:v>Tps de cycle</c:v>
                </c:pt>
              </c:strCache>
            </c:strRef>
          </c:tx>
          <c:invertIfNegative val="0"/>
          <c:cat>
            <c:strRef>
              <c:f>'Takt Time'!$C$6:$H$6</c:f>
              <c:strCache>
                <c:ptCount val="6"/>
                <c:pt idx="0">
                  <c:v>Croix</c:v>
                </c:pt>
                <c:pt idx="1">
                  <c:v>Etoile</c:v>
                </c:pt>
                <c:pt idx="2">
                  <c:v>Ovale</c:v>
                </c:pt>
                <c:pt idx="3">
                  <c:v>Rect.</c:v>
                </c:pt>
                <c:pt idx="4">
                  <c:v>Tri.</c:v>
                </c:pt>
                <c:pt idx="5">
                  <c:v>Vague</c:v>
                </c:pt>
              </c:strCache>
            </c:strRef>
          </c:cat>
          <c:val>
            <c:numRef>
              <c:f>'Takt Time'!$C$16:$H$16</c:f>
              <c:numCache>
                <c:formatCode>0" s."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8-794F-BBA3-AE1B4FF35754}"/>
            </c:ext>
          </c:extLst>
        </c:ser>
        <c:ser>
          <c:idx val="1"/>
          <c:order val="1"/>
          <c:tx>
            <c:strRef>
              <c:f>'Takt Time'!$B$9</c:f>
              <c:strCache>
                <c:ptCount val="1"/>
                <c:pt idx="0">
                  <c:v>Takt time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'Takt Time'!$C$6:$H$6</c:f>
              <c:strCache>
                <c:ptCount val="6"/>
                <c:pt idx="0">
                  <c:v>Croix</c:v>
                </c:pt>
                <c:pt idx="1">
                  <c:v>Etoile</c:v>
                </c:pt>
                <c:pt idx="2">
                  <c:v>Ovale</c:v>
                </c:pt>
                <c:pt idx="3">
                  <c:v>Rect.</c:v>
                </c:pt>
                <c:pt idx="4">
                  <c:v>Tri.</c:v>
                </c:pt>
                <c:pt idx="5">
                  <c:v>Vague</c:v>
                </c:pt>
              </c:strCache>
            </c:strRef>
          </c:cat>
          <c:val>
            <c:numRef>
              <c:f>'Takt Time'!$C$9:$H$9</c:f>
              <c:numCache>
                <c:formatCode>0" s."</c:formatCode>
                <c:ptCount val="6"/>
                <c:pt idx="0">
                  <c:v>30</c:v>
                </c:pt>
                <c:pt idx="1">
                  <c:v>15</c:v>
                </c:pt>
                <c:pt idx="2">
                  <c:v>40</c:v>
                </c:pt>
                <c:pt idx="3">
                  <c:v>30</c:v>
                </c:pt>
                <c:pt idx="4">
                  <c:v>15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8-794F-BBA3-AE1B4FF35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17770496"/>
        <c:axId val="117780480"/>
      </c:barChart>
      <c:catAx>
        <c:axId val="11777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7780480"/>
        <c:crosses val="autoZero"/>
        <c:auto val="1"/>
        <c:lblAlgn val="ctr"/>
        <c:lblOffset val="100"/>
        <c:noMultiLvlLbl val="0"/>
      </c:catAx>
      <c:valAx>
        <c:axId val="117780480"/>
        <c:scaling>
          <c:orientation val="minMax"/>
        </c:scaling>
        <c:delete val="0"/>
        <c:axPos val="l"/>
        <c:majorGridlines/>
        <c:numFmt formatCode="0&quot; s.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777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654520614214797"/>
          <c:y val="0.43414789258250502"/>
          <c:w val="0.17354235476074401"/>
          <c:h val="0.13658585384618099"/>
        </c:manualLayout>
      </c:layout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TRG</a:t>
            </a:r>
          </a:p>
        </c:rich>
      </c:tx>
      <c:overlay val="1"/>
      <c:spPr>
        <a:solidFill>
          <a:schemeClr val="bg1"/>
        </a:solidFill>
      </c:spPr>
    </c:title>
    <c:autoTitleDeleted val="0"/>
    <c:plotArea>
      <c:layout>
        <c:manualLayout>
          <c:layoutTarget val="inner"/>
          <c:xMode val="edge"/>
          <c:yMode val="edge"/>
          <c:x val="0.113037271432472"/>
          <c:y val="6.6403167221932693E-2"/>
          <c:w val="0.842403230563605"/>
          <c:h val="0.816914180768897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3FFFB1"/>
              </a:solidFill>
            </c:spPr>
            <c:extLst>
              <c:ext xmlns:c16="http://schemas.microsoft.com/office/drawing/2014/chart" uri="{C3380CC4-5D6E-409C-BE32-E72D297353CC}">
                <c16:uniqueId val="{00000001-9426-FD44-A892-F0135CF6CCBD}"/>
              </c:ext>
            </c:extLst>
          </c:dPt>
          <c:dPt>
            <c:idx val="1"/>
            <c:invertIfNegative val="0"/>
            <c:bubble3D val="0"/>
            <c:spPr>
              <a:solidFill>
                <a:srgbClr val="FF9966"/>
              </a:solidFill>
            </c:spPr>
            <c:extLst>
              <c:ext xmlns:c16="http://schemas.microsoft.com/office/drawing/2014/chart" uri="{C3380CC4-5D6E-409C-BE32-E72D297353CC}">
                <c16:uniqueId val="{00000003-9426-FD44-A892-F0135CF6CCBD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9426-FD44-A892-F0135CF6CCBD}"/>
              </c:ext>
            </c:extLst>
          </c:dPt>
          <c:dPt>
            <c:idx val="4"/>
            <c:invertIfNegative val="0"/>
            <c:bubble3D val="0"/>
            <c:spPr>
              <a:solidFill>
                <a:srgbClr val="3FFFB1"/>
              </a:solidFill>
            </c:spPr>
            <c:extLst>
              <c:ext xmlns:c16="http://schemas.microsoft.com/office/drawing/2014/chart" uri="{C3380CC4-5D6E-409C-BE32-E72D297353CC}">
                <c16:uniqueId val="{00000007-9426-FD44-A892-F0135CF6CCBD}"/>
              </c:ext>
            </c:extLst>
          </c:dPt>
          <c:dPt>
            <c:idx val="5"/>
            <c:invertIfNegative val="0"/>
            <c:bubble3D val="0"/>
            <c:spPr>
              <a:solidFill>
                <a:srgbClr val="FF9966"/>
              </a:solidFill>
            </c:spPr>
            <c:extLst>
              <c:ext xmlns:c16="http://schemas.microsoft.com/office/drawing/2014/chart" uri="{C3380CC4-5D6E-409C-BE32-E72D297353CC}">
                <c16:uniqueId val="{00000009-9426-FD44-A892-F0135CF6CC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TRG!$C$5:$H$5</c:f>
              <c:strCache>
                <c:ptCount val="6"/>
                <c:pt idx="0">
                  <c:v>Croix</c:v>
                </c:pt>
                <c:pt idx="1">
                  <c:v>Etoile</c:v>
                </c:pt>
                <c:pt idx="2">
                  <c:v>Ovale</c:v>
                </c:pt>
                <c:pt idx="3">
                  <c:v>Rect.</c:v>
                </c:pt>
                <c:pt idx="4">
                  <c:v>Tria.</c:v>
                </c:pt>
                <c:pt idx="5">
                  <c:v>Vague</c:v>
                </c:pt>
              </c:strCache>
            </c:strRef>
          </c:cat>
          <c:val>
            <c:numRef>
              <c:f>TRG!$C$10:$H$10</c:f>
              <c:numCache>
                <c:formatCode>0%</c:formatCode>
                <c:ptCount val="6"/>
                <c:pt idx="0">
                  <c:v>0.22916666666666666</c:v>
                </c:pt>
                <c:pt idx="1">
                  <c:v>0.46979166666666666</c:v>
                </c:pt>
                <c:pt idx="2">
                  <c:v>0.43680555555555556</c:v>
                </c:pt>
                <c:pt idx="3">
                  <c:v>0.35208333333333336</c:v>
                </c:pt>
                <c:pt idx="4">
                  <c:v>0.60416666666666663</c:v>
                </c:pt>
                <c:pt idx="5">
                  <c:v>0.22847222222222222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26-FD44-A892-F0135CF6C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19500160"/>
        <c:axId val="119501952"/>
      </c:barChart>
      <c:catAx>
        <c:axId val="11950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501952"/>
        <c:crosses val="autoZero"/>
        <c:auto val="1"/>
        <c:lblAlgn val="ctr"/>
        <c:lblOffset val="100"/>
        <c:noMultiLvlLbl val="0"/>
      </c:catAx>
      <c:valAx>
        <c:axId val="119501952"/>
        <c:scaling>
          <c:orientation val="minMax"/>
          <c:max val="1"/>
          <c:min val="0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9500160"/>
        <c:crosses val="autoZero"/>
        <c:crossBetween val="between"/>
        <c:majorUnit val="0.2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9DA8-5245-859E-91782F00DDA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DA8-5245-859E-91782F00DDA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5-9DA8-5245-859E-91782F00DDA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9DA8-5245-859E-91782F00DDA2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9-9DA8-5245-859E-91782F00DDA2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DA8-5245-859E-91782F00DDA2}"/>
              </c:ext>
            </c:extLst>
          </c:dPt>
          <c:dLbls>
            <c:dLbl>
              <c:idx val="0"/>
              <c:layout>
                <c:manualLayout>
                  <c:x val="0.16650627004957713"/>
                  <c:y val="0.61676292018362211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A8-5245-859E-91782F00DDA2}"/>
                </c:ext>
              </c:extLst>
            </c:dLbl>
            <c:dLbl>
              <c:idx val="1"/>
              <c:layout>
                <c:manualLayout>
                  <c:x val="-4.0230723075324396E-2"/>
                  <c:y val="1.840908269407239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A8-5245-859E-91782F00DDA2}"/>
                </c:ext>
              </c:extLst>
            </c:dLbl>
            <c:dLbl>
              <c:idx val="2"/>
              <c:layout>
                <c:manualLayout>
                  <c:x val="0.30885416142905492"/>
                  <c:y val="1.5548645046645935E-2"/>
                </c:manualLayout>
              </c:layout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A8-5245-859E-91782F00DDA2}"/>
                </c:ext>
              </c:extLst>
            </c:dLbl>
            <c:dLbl>
              <c:idx val="3"/>
              <c:layout>
                <c:manualLayout>
                  <c:x val="-2.6661118988478932E-2"/>
                  <c:y val="0.26432696579298087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A8-5245-859E-91782F00DDA2}"/>
                </c:ext>
              </c:extLst>
            </c:dLbl>
            <c:dLbl>
              <c:idx val="4"/>
              <c:layout>
                <c:manualLayout>
                  <c:x val="-0.33503685602518074"/>
                  <c:y val="1.8510291722197543E-2"/>
                </c:manualLayout>
              </c:layout>
              <c:spPr/>
              <c:txPr>
                <a:bodyPr/>
                <a:lstStyle/>
                <a:p>
                  <a:pPr>
                    <a:defRPr sz="14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A8-5245-859E-91782F00DDA2}"/>
                </c:ext>
              </c:extLst>
            </c:dLbl>
            <c:dLbl>
              <c:idx val="5"/>
              <c:layout>
                <c:manualLayout>
                  <c:x val="-0.21317665751551171"/>
                  <c:y val="0.31763660595290982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chemeClr val="bg1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A8-5245-859E-91782F00DD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Productivité!$B$3:$G$3</c:f>
              <c:strCache>
                <c:ptCount val="6"/>
                <c:pt idx="0">
                  <c:v>Valeur ajoutée</c:v>
                </c:pt>
                <c:pt idx="1">
                  <c:v>Attente</c:v>
                </c:pt>
                <c:pt idx="2">
                  <c:v>Transports, déplacements</c:v>
                </c:pt>
                <c:pt idx="3">
                  <c:v>Rebuts, reprises</c:v>
                </c:pt>
                <c:pt idx="4">
                  <c:v>Opération surperflue</c:v>
                </c:pt>
                <c:pt idx="5">
                  <c:v>Sur-production</c:v>
                </c:pt>
              </c:strCache>
            </c:strRef>
          </c:cat>
          <c:val>
            <c:numRef>
              <c:f>Productivité!$B$4:$G$4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9DA8-5245-859E-91782F00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200" b="1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1" l="0.70000000000000095" r="0.70000000000000095" t="0.750000000000001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33CC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BC5-0245-9C73-B1344A4DB5D7}"/>
              </c:ext>
            </c:extLst>
          </c:dPt>
          <c:dPt>
            <c:idx val="2"/>
            <c:invertIfNegative val="0"/>
            <c:bubble3D val="0"/>
            <c:spPr>
              <a:solidFill>
                <a:srgbClr val="C9E8FB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BC5-0245-9C73-B1344A4DB5D7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BC5-0245-9C73-B1344A4DB5D7}"/>
              </c:ext>
            </c:extLst>
          </c:dPt>
          <c:cat>
            <c:strRef>
              <c:f>Productivité!$B$6:$E$6</c:f>
              <c:strCache>
                <c:ptCount val="4"/>
                <c:pt idx="0">
                  <c:v>Temps d'ouverture</c:v>
                </c:pt>
                <c:pt idx="1">
                  <c:v>Temps brut de fonctionnement</c:v>
                </c:pt>
                <c:pt idx="2">
                  <c:v>Temps net de fonctionnement</c:v>
                </c:pt>
                <c:pt idx="3">
                  <c:v>Temps utile</c:v>
                </c:pt>
              </c:strCache>
            </c:strRef>
          </c:cat>
          <c:val>
            <c:numRef>
              <c:f>Productivité!$B$7:$E$7</c:f>
              <c:numCache>
                <c:formatCode>0.0" min."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EBC5-0245-9C73-B1344A4DB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19271424"/>
        <c:axId val="119272960"/>
      </c:barChart>
      <c:catAx>
        <c:axId val="11927142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Arial" pitchFamily="34" charset="0"/>
                <a:cs typeface="Arial" pitchFamily="34" charset="0"/>
              </a:defRPr>
            </a:pPr>
            <a:endParaRPr lang="fr-FR"/>
          </a:p>
        </c:txPr>
        <c:crossAx val="119272960"/>
        <c:crosses val="autoZero"/>
        <c:auto val="1"/>
        <c:lblAlgn val="ctr"/>
        <c:lblOffset val="100"/>
        <c:noMultiLvlLbl val="0"/>
      </c:catAx>
      <c:valAx>
        <c:axId val="119272960"/>
        <c:scaling>
          <c:orientation val="minMax"/>
        </c:scaling>
        <c:delete val="0"/>
        <c:axPos val="t"/>
        <c:majorGridlines/>
        <c:numFmt formatCode="0&quot; min.&quot;" sourceLinked="0"/>
        <c:majorTickMark val="out"/>
        <c:minorTickMark val="none"/>
        <c:tickLblPos val="nextTo"/>
        <c:txPr>
          <a:bodyPr/>
          <a:lstStyle/>
          <a:p>
            <a:pPr>
              <a:defRPr sz="1050">
                <a:latin typeface="Arial" pitchFamily="34" charset="0"/>
                <a:cs typeface="Arial" pitchFamily="34" charset="0"/>
              </a:defRPr>
            </a:pPr>
            <a:endParaRPr lang="fr-FR"/>
          </a:p>
        </c:txPr>
        <c:crossAx val="119271424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4920311970159399E-2"/>
          <c:y val="0.16410256410256399"/>
          <c:w val="0.97015937605968094"/>
          <c:h val="0.548717948717948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'Graphique des flux'!$B$4</c:f>
              <c:strCache>
                <c:ptCount val="1"/>
                <c:pt idx="0">
                  <c:v>Lanct.</c:v>
                </c:pt>
              </c:strCache>
            </c:strRef>
          </c:tx>
          <c:spPr>
            <a:solidFill>
              <a:srgbClr val="66FF33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flux'!$D$4</c:f>
              <c:numCache>
                <c:formatCode>0" s."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C-C44A-8F92-E79BC65AC534}"/>
            </c:ext>
          </c:extLst>
        </c:ser>
        <c:ser>
          <c:idx val="1"/>
          <c:order val="1"/>
          <c:tx>
            <c:strRef>
              <c:f>'Graphique des flux'!$B$5</c:f>
              <c:strCache>
                <c:ptCount val="1"/>
                <c:pt idx="0">
                  <c:v>Rect.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'Graphique des flux'!$D$5</c:f>
              <c:numCache>
                <c:formatCode>0"s. (Rec.)"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C-C44A-8F92-E79BC65AC534}"/>
            </c:ext>
          </c:extLst>
        </c:ser>
        <c:ser>
          <c:idx val="2"/>
          <c:order val="2"/>
          <c:spPr>
            <a:solidFill>
              <a:srgbClr val="66FF33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flux'!$D$6</c:f>
              <c:numCache>
                <c:formatCode>0" s."</c:formatCode>
                <c:ptCount val="1"/>
                <c:pt idx="0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EC-C44A-8F92-E79BC65AC534}"/>
            </c:ext>
          </c:extLst>
        </c:ser>
        <c:ser>
          <c:idx val="3"/>
          <c:order val="3"/>
          <c:spPr>
            <a:solidFill>
              <a:schemeClr val="bg1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flux'!$D$7</c:f>
              <c:numCache>
                <c:formatCode>0"s. (Eto.)"</c:formatCode>
                <c:ptCount val="1"/>
                <c:pt idx="0">
                  <c:v>230.25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EC-C44A-8F92-E79BC65AC534}"/>
            </c:ext>
          </c:extLst>
        </c:ser>
        <c:ser>
          <c:idx val="4"/>
          <c:order val="4"/>
          <c:spPr>
            <a:solidFill>
              <a:srgbClr val="66FF33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flux'!$D$8</c:f>
              <c:numCache>
                <c:formatCode>0" s."</c:formatCode>
                <c:ptCount val="1"/>
                <c:pt idx="0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EC-C44A-8F92-E79BC65AC534}"/>
            </c:ext>
          </c:extLst>
        </c:ser>
        <c:ser>
          <c:idx val="5"/>
          <c:order val="5"/>
          <c:spPr>
            <a:solidFill>
              <a:schemeClr val="bg1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flux'!$D$9</c:f>
              <c:numCache>
                <c:formatCode>0"s. (Vag.)"</c:formatCode>
                <c:ptCount val="1"/>
                <c:pt idx="0">
                  <c:v>103.5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EC-C44A-8F92-E79BC65AC534}"/>
            </c:ext>
          </c:extLst>
        </c:ser>
        <c:ser>
          <c:idx val="6"/>
          <c:order val="6"/>
          <c:spPr>
            <a:solidFill>
              <a:srgbClr val="66FF33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flux'!$D$10</c:f>
              <c:numCache>
                <c:formatCode>0" s."</c:formatCode>
                <c:ptCount val="1"/>
                <c:pt idx="0">
                  <c:v>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EC-C44A-8F92-E79BC65AC534}"/>
            </c:ext>
          </c:extLst>
        </c:ser>
        <c:ser>
          <c:idx val="7"/>
          <c:order val="7"/>
          <c:spPr>
            <a:solidFill>
              <a:schemeClr val="bg1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flux'!$D$11</c:f>
              <c:numCache>
                <c:formatCode>0"s. (Tri.)"</c:formatCode>
                <c:ptCount val="1"/>
                <c:pt idx="0">
                  <c:v>48.25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EC-C44A-8F92-E79BC65AC534}"/>
            </c:ext>
          </c:extLst>
        </c:ser>
        <c:ser>
          <c:idx val="8"/>
          <c:order val="8"/>
          <c:spPr>
            <a:solidFill>
              <a:srgbClr val="66FF33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flux'!$D$12</c:f>
              <c:numCache>
                <c:formatCode>0" s."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EC-C44A-8F92-E79BC65AC534}"/>
            </c:ext>
          </c:extLst>
        </c:ser>
        <c:ser>
          <c:idx val="9"/>
          <c:order val="9"/>
          <c:spPr>
            <a:solidFill>
              <a:schemeClr val="bg1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flux'!$D$13</c:f>
              <c:numCache>
                <c:formatCode>0"s. (Co.)"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EC-C44A-8F92-E79BC65AC534}"/>
            </c:ext>
          </c:extLst>
        </c:ser>
        <c:ser>
          <c:idx val="10"/>
          <c:order val="10"/>
          <c:spPr>
            <a:solidFill>
              <a:srgbClr val="66FF33"/>
            </a:solidFill>
            <a:ln>
              <a:solidFill>
                <a:prstClr val="black"/>
              </a:solidFill>
            </a:ln>
          </c:spPr>
          <c:invertIfNegative val="0"/>
          <c:val>
            <c:numRef>
              <c:f>'Graphique des flux'!$D$14</c:f>
              <c:numCache>
                <c:formatCode>0" s."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EC-C44A-8F92-E79BC65AC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29760"/>
        <c:axId val="119031296"/>
      </c:barChart>
      <c:catAx>
        <c:axId val="119029760"/>
        <c:scaling>
          <c:orientation val="minMax"/>
        </c:scaling>
        <c:delete val="1"/>
        <c:axPos val="l"/>
        <c:majorTickMark val="out"/>
        <c:minorTickMark val="none"/>
        <c:tickLblPos val="nextTo"/>
        <c:crossAx val="119031296"/>
        <c:crosses val="autoZero"/>
        <c:auto val="1"/>
        <c:lblAlgn val="ctr"/>
        <c:lblOffset val="100"/>
        <c:noMultiLvlLbl val="0"/>
      </c:catAx>
      <c:valAx>
        <c:axId val="119031296"/>
        <c:scaling>
          <c:orientation val="minMax"/>
        </c:scaling>
        <c:delete val="1"/>
        <c:axPos val="b"/>
        <c:numFmt formatCode="0&quot; s.&quot;" sourceLinked="1"/>
        <c:majorTickMark val="out"/>
        <c:minorTickMark val="none"/>
        <c:tickLblPos val="nextTo"/>
        <c:crossAx val="11902976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'Graphique des flux'!$B$4</c:f>
              <c:strCache>
                <c:ptCount val="1"/>
                <c:pt idx="0">
                  <c:v>Lanct.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</c:spPr>
          <c:invertIfNegative val="0"/>
          <c:val>
            <c:numRef>
              <c:f>'Graphique des flux'!$D$4</c:f>
              <c:numCache>
                <c:formatCode>0" s."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F-D94F-B838-24E8B4D03B7E}"/>
            </c:ext>
          </c:extLst>
        </c:ser>
        <c:ser>
          <c:idx val="1"/>
          <c:order val="1"/>
          <c:tx>
            <c:strRef>
              <c:f>'Graphique des flux'!$B$5</c:f>
              <c:strCache>
                <c:ptCount val="1"/>
                <c:pt idx="0">
                  <c:v>Rect.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anchor="b" anchorCtr="0"/>
              <a:lstStyle/>
              <a:p>
                <a:pPr>
                  <a:defRPr sz="1100" b="1">
                    <a:solidFill>
                      <a:schemeClr val="bg1"/>
                    </a:solidFill>
                    <a:latin typeface="Arial" pitchFamily="34" charset="0"/>
                    <a:cs typeface="Arial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'Graphique des flux'!$D$5</c:f>
              <c:numCache>
                <c:formatCode>0"s. (Rec.)"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F-D94F-B838-24E8B4D03B7E}"/>
            </c:ext>
          </c:extLst>
        </c:ser>
        <c:ser>
          <c:idx val="2"/>
          <c:order val="2"/>
          <c:spPr>
            <a:solidFill>
              <a:schemeClr val="bg1"/>
            </a:solidFill>
            <a:ln>
              <a:noFill/>
            </a:ln>
          </c:spPr>
          <c:invertIfNegative val="0"/>
          <c:val>
            <c:numRef>
              <c:f>'Graphique des flux'!$D$6</c:f>
              <c:numCache>
                <c:formatCode>0" s."</c:formatCode>
                <c:ptCount val="1"/>
                <c:pt idx="0">
                  <c:v>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F-D94F-B838-24E8B4D03B7E}"/>
            </c:ext>
          </c:extLst>
        </c:ser>
        <c:ser>
          <c:idx val="3"/>
          <c:order val="3"/>
          <c:spPr>
            <a:solidFill>
              <a:srgbClr val="FF0000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  <a:latin typeface="Arial" pitchFamily="34" charset="0"/>
                    <a:cs typeface="Arial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'Graphique des flux'!$D$7</c:f>
              <c:numCache>
                <c:formatCode>0"s. (Eto.)"</c:formatCode>
                <c:ptCount val="1"/>
                <c:pt idx="0">
                  <c:v>230.25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EF-D94F-B838-24E8B4D03B7E}"/>
            </c:ext>
          </c:extLst>
        </c:ser>
        <c:ser>
          <c:idx val="4"/>
          <c:order val="4"/>
          <c:spPr>
            <a:solidFill>
              <a:schemeClr val="bg1"/>
            </a:solidFill>
            <a:ln>
              <a:noFill/>
            </a:ln>
          </c:spPr>
          <c:invertIfNegative val="0"/>
          <c:val>
            <c:numRef>
              <c:f>'Graphique des flux'!$D$8</c:f>
              <c:numCache>
                <c:formatCode>0" s."</c:formatCode>
                <c:ptCount val="1"/>
                <c:pt idx="0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EF-D94F-B838-24E8B4D03B7E}"/>
            </c:ext>
          </c:extLst>
        </c:ser>
        <c:ser>
          <c:idx val="5"/>
          <c:order val="5"/>
          <c:spPr>
            <a:solidFill>
              <a:srgbClr val="FF0000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  <a:latin typeface="Arial" pitchFamily="34" charset="0"/>
                    <a:cs typeface="Arial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'Graphique des flux'!$D$9</c:f>
              <c:numCache>
                <c:formatCode>0"s. (Vag.)"</c:formatCode>
                <c:ptCount val="1"/>
                <c:pt idx="0">
                  <c:v>103.5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EF-D94F-B838-24E8B4D03B7E}"/>
            </c:ext>
          </c:extLst>
        </c:ser>
        <c:ser>
          <c:idx val="6"/>
          <c:order val="6"/>
          <c:spPr>
            <a:solidFill>
              <a:schemeClr val="bg1"/>
            </a:solidFill>
            <a:ln>
              <a:noFill/>
            </a:ln>
          </c:spPr>
          <c:invertIfNegative val="0"/>
          <c:val>
            <c:numRef>
              <c:f>'Graphique des flux'!$D$10</c:f>
              <c:numCache>
                <c:formatCode>0" s."</c:formatCode>
                <c:ptCount val="1"/>
                <c:pt idx="0">
                  <c:v>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EF-D94F-B838-24E8B4D03B7E}"/>
            </c:ext>
          </c:extLst>
        </c:ser>
        <c:ser>
          <c:idx val="7"/>
          <c:order val="7"/>
          <c:spPr>
            <a:solidFill>
              <a:srgbClr val="FF0000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  <a:latin typeface="Arial" pitchFamily="34" charset="0"/>
                    <a:cs typeface="Arial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'Graphique des flux'!$D$11</c:f>
              <c:numCache>
                <c:formatCode>0"s. (Tri.)"</c:formatCode>
                <c:ptCount val="1"/>
                <c:pt idx="0">
                  <c:v>48.25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EF-D94F-B838-24E8B4D03B7E}"/>
            </c:ext>
          </c:extLst>
        </c:ser>
        <c:ser>
          <c:idx val="8"/>
          <c:order val="8"/>
          <c:spPr>
            <a:solidFill>
              <a:schemeClr val="bg1"/>
            </a:solidFill>
            <a:ln>
              <a:noFill/>
            </a:ln>
          </c:spPr>
          <c:invertIfNegative val="0"/>
          <c:val>
            <c:numRef>
              <c:f>'Graphique des flux'!$D$12</c:f>
              <c:numCache>
                <c:formatCode>0" s."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EF-D94F-B838-24E8B4D03B7E}"/>
            </c:ext>
          </c:extLst>
        </c:ser>
        <c:ser>
          <c:idx val="9"/>
          <c:order val="9"/>
          <c:spPr>
            <a:solidFill>
              <a:srgbClr val="FF0000"/>
            </a:solidFill>
            <a:ln>
              <a:solidFill>
                <a:prstClr val="black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  <a:latin typeface="Arial" pitchFamily="34" charset="0"/>
                    <a:cs typeface="Arial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'Graphique des flux'!$D$13</c:f>
              <c:numCache>
                <c:formatCode>0"s. (Co.)"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EF-D94F-B838-24E8B4D03B7E}"/>
            </c:ext>
          </c:extLst>
        </c:ser>
        <c:ser>
          <c:idx val="10"/>
          <c:order val="10"/>
          <c:spPr>
            <a:solidFill>
              <a:schemeClr val="bg1"/>
            </a:solidFill>
            <a:ln>
              <a:noFill/>
            </a:ln>
          </c:spPr>
          <c:invertIfNegative val="0"/>
          <c:val>
            <c:numRef>
              <c:f>'Graphique des flux'!$D$14</c:f>
              <c:numCache>
                <c:formatCode>0" s."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EF-D94F-B838-24E8B4D03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356416"/>
        <c:axId val="119382784"/>
      </c:barChart>
      <c:catAx>
        <c:axId val="119356416"/>
        <c:scaling>
          <c:orientation val="minMax"/>
        </c:scaling>
        <c:delete val="1"/>
        <c:axPos val="l"/>
        <c:majorTickMark val="out"/>
        <c:minorTickMark val="none"/>
        <c:tickLblPos val="nextTo"/>
        <c:crossAx val="119382784"/>
        <c:crosses val="autoZero"/>
        <c:auto val="1"/>
        <c:lblAlgn val="ctr"/>
        <c:lblOffset val="100"/>
        <c:noMultiLvlLbl val="0"/>
      </c:catAx>
      <c:valAx>
        <c:axId val="119382784"/>
        <c:scaling>
          <c:orientation val="minMax"/>
        </c:scaling>
        <c:delete val="1"/>
        <c:axPos val="b"/>
        <c:numFmt formatCode="0&quot; s.&quot;" sourceLinked="1"/>
        <c:majorTickMark val="out"/>
        <c:minorTickMark val="none"/>
        <c:tickLblPos val="nextTo"/>
        <c:crossAx val="11935641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Coût (K€)</a:t>
            </a:r>
          </a:p>
        </c:rich>
      </c:tx>
      <c:overlay val="0"/>
      <c:spPr>
        <a:solidFill>
          <a:schemeClr val="bg1"/>
        </a:solidFill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EEB500"/>
              </a:solidFill>
            </c:spPr>
            <c:extLst>
              <c:ext xmlns:c16="http://schemas.microsoft.com/office/drawing/2014/chart" uri="{C3380CC4-5D6E-409C-BE32-E72D297353CC}">
                <c16:uniqueId val="{00000001-F06A-B84E-9AD0-C3909B6780D4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F06A-B84E-9AD0-C3909B6780D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F06A-B84E-9AD0-C3909B6780D4}"/>
              </c:ext>
            </c:extLst>
          </c:dPt>
          <c:dPt>
            <c:idx val="4"/>
            <c:invertIfNegative val="0"/>
            <c:bubble3D val="0"/>
            <c:spPr>
              <a:solidFill>
                <a:srgbClr val="00FFFF"/>
              </a:solidFill>
            </c:spPr>
            <c:extLst>
              <c:ext xmlns:c16="http://schemas.microsoft.com/office/drawing/2014/chart" uri="{C3380CC4-5D6E-409C-BE32-E72D297353CC}">
                <c16:uniqueId val="{00000007-F06A-B84E-9AD0-C3909B6780D4}"/>
              </c:ext>
            </c:extLst>
          </c:dPt>
          <c:dPt>
            <c:idx val="5"/>
            <c:invertIfNegative val="0"/>
            <c:bubble3D val="0"/>
            <c:spPr>
              <a:solidFill>
                <a:srgbClr val="0066CC"/>
              </a:solidFill>
            </c:spPr>
            <c:extLst>
              <c:ext xmlns:c16="http://schemas.microsoft.com/office/drawing/2014/chart" uri="{C3380CC4-5D6E-409C-BE32-E72D297353CC}">
                <c16:uniqueId val="{00000009-F06A-B84E-9AD0-C3909B6780D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F06A-B84E-9AD0-C3909B6780D4}"/>
              </c:ext>
            </c:extLst>
          </c:dPt>
          <c:dLbls>
            <c:numFmt formatCode="#,##0.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('Performances Simul. 2'!$B$5:$B$8,'Performances Simul. 2'!$B$10:$B$12)</c:f>
              <c:strCache>
                <c:ptCount val="7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  <c:pt idx="3">
                  <c:v>Obj.</c:v>
                </c:pt>
                <c:pt idx="4">
                  <c:v>Atel. 1</c:v>
                </c:pt>
                <c:pt idx="5">
                  <c:v>Atel. 2</c:v>
                </c:pt>
                <c:pt idx="6">
                  <c:v>Atel. 3</c:v>
                </c:pt>
              </c:strCache>
            </c:strRef>
          </c:cat>
          <c:val>
            <c:numRef>
              <c:f>('Performances Simul. 2'!$D$5:$D$8,'Performances Simul. 2'!$D$10:$D$12)</c:f>
              <c:numCache>
                <c:formatCode>0.0" K€"</c:formatCode>
                <c:ptCount val="7"/>
                <c:pt idx="0">
                  <c:v>14</c:v>
                </c:pt>
                <c:pt idx="1">
                  <c:v>12</c:v>
                </c:pt>
                <c:pt idx="2">
                  <c:v>12.037735849056604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6A-B84E-9AD0-C3909B678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21071872"/>
        <c:axId val="121081856"/>
      </c:barChart>
      <c:catAx>
        <c:axId val="12107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081856"/>
        <c:crosses val="autoZero"/>
        <c:auto val="1"/>
        <c:lblAlgn val="ctr"/>
        <c:lblOffset val="100"/>
        <c:noMultiLvlLbl val="0"/>
      </c:catAx>
      <c:valAx>
        <c:axId val="121081856"/>
        <c:scaling>
          <c:orientation val="minMax"/>
          <c:max val="18"/>
          <c:min val="5"/>
        </c:scaling>
        <c:delete val="0"/>
        <c:axPos val="l"/>
        <c:majorGridlines/>
        <c:numFmt formatCode="0&quot; K€&quot;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071872"/>
        <c:crosses val="autoZero"/>
        <c:crossBetween val="between"/>
        <c:majorUnit val="5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2" l="0.70000000000000095" r="0.70000000000000095" t="0.750000000000002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Délai (jours)</a:t>
            </a:r>
          </a:p>
        </c:rich>
      </c:tx>
      <c:overlay val="0"/>
      <c:spPr>
        <a:solidFill>
          <a:schemeClr val="bg1"/>
        </a:solidFill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EEB500"/>
              </a:solidFill>
            </c:spPr>
            <c:extLst>
              <c:ext xmlns:c16="http://schemas.microsoft.com/office/drawing/2014/chart" uri="{C3380CC4-5D6E-409C-BE32-E72D297353CC}">
                <c16:uniqueId val="{00000001-E6BE-3F46-B176-622672AE4C48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E6BE-3F46-B176-622672AE4C4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E6BE-3F46-B176-622672AE4C48}"/>
              </c:ext>
            </c:extLst>
          </c:dPt>
          <c:dPt>
            <c:idx val="4"/>
            <c:invertIfNegative val="0"/>
            <c:bubble3D val="0"/>
            <c:spPr>
              <a:solidFill>
                <a:srgbClr val="00FFFF"/>
              </a:solidFill>
            </c:spPr>
            <c:extLst>
              <c:ext xmlns:c16="http://schemas.microsoft.com/office/drawing/2014/chart" uri="{C3380CC4-5D6E-409C-BE32-E72D297353CC}">
                <c16:uniqueId val="{00000007-E6BE-3F46-B176-622672AE4C48}"/>
              </c:ext>
            </c:extLst>
          </c:dPt>
          <c:dPt>
            <c:idx val="5"/>
            <c:invertIfNegative val="0"/>
            <c:bubble3D val="0"/>
            <c:spPr>
              <a:solidFill>
                <a:srgbClr val="0066CC"/>
              </a:solidFill>
            </c:spPr>
            <c:extLst>
              <c:ext xmlns:c16="http://schemas.microsoft.com/office/drawing/2014/chart" uri="{C3380CC4-5D6E-409C-BE32-E72D297353CC}">
                <c16:uniqueId val="{00000009-E6BE-3F46-B176-622672AE4C4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E6BE-3F46-B176-622672AE4C48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('Performances Simul. 2'!$B$5:$B$8,'Performances Simul. 2'!$B$10:$B$12)</c:f>
              <c:strCache>
                <c:ptCount val="7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  <c:pt idx="3">
                  <c:v>Obj.</c:v>
                </c:pt>
                <c:pt idx="4">
                  <c:v>Atel. 1</c:v>
                </c:pt>
                <c:pt idx="5">
                  <c:v>Atel. 2</c:v>
                </c:pt>
                <c:pt idx="6">
                  <c:v>Atel. 3</c:v>
                </c:pt>
              </c:strCache>
            </c:strRef>
          </c:cat>
          <c:val>
            <c:numRef>
              <c:f>('Performances Simul. 2'!$F$5:$F$8,'Performances Simul. 2'!$F$10:$F$12)</c:f>
              <c:numCache>
                <c:formatCode>0" jrs."</c:formatCode>
                <c:ptCount val="7"/>
                <c:pt idx="0">
                  <c:v>85</c:v>
                </c:pt>
                <c:pt idx="1">
                  <c:v>70</c:v>
                </c:pt>
                <c:pt idx="2">
                  <c:v>105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BE-3F46-B176-622672AE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21123968"/>
        <c:axId val="121125504"/>
      </c:barChart>
      <c:catAx>
        <c:axId val="12112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125504"/>
        <c:crosses val="autoZero"/>
        <c:auto val="1"/>
        <c:lblAlgn val="ctr"/>
        <c:lblOffset val="100"/>
        <c:noMultiLvlLbl val="0"/>
      </c:catAx>
      <c:valAx>
        <c:axId val="121125504"/>
        <c:scaling>
          <c:orientation val="minMax"/>
          <c:min val="20"/>
        </c:scaling>
        <c:delete val="0"/>
        <c:axPos val="l"/>
        <c:majorGridlines/>
        <c:numFmt formatCode="0&quot; jrs.&quot;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123968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2" l="0.70000000000000095" r="0.70000000000000095" t="0.750000000000002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Qualité</a:t>
            </a:r>
          </a:p>
        </c:rich>
      </c:tx>
      <c:layout>
        <c:manualLayout>
          <c:xMode val="edge"/>
          <c:yMode val="edge"/>
          <c:x val="0.41814304461942298"/>
          <c:y val="9.0306270244647508E-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EEB500"/>
              </a:solidFill>
            </c:spPr>
            <c:extLst>
              <c:ext xmlns:c16="http://schemas.microsoft.com/office/drawing/2014/chart" uri="{C3380CC4-5D6E-409C-BE32-E72D297353CC}">
                <c16:uniqueId val="{00000001-6CC7-EF4E-8794-1185F58C2EDA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6CC7-EF4E-8794-1185F58C2ED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6CC7-EF4E-8794-1185F58C2EDA}"/>
              </c:ext>
            </c:extLst>
          </c:dPt>
          <c:dPt>
            <c:idx val="4"/>
            <c:invertIfNegative val="0"/>
            <c:bubble3D val="0"/>
            <c:spPr>
              <a:solidFill>
                <a:srgbClr val="00FFFF"/>
              </a:solidFill>
            </c:spPr>
            <c:extLst>
              <c:ext xmlns:c16="http://schemas.microsoft.com/office/drawing/2014/chart" uri="{C3380CC4-5D6E-409C-BE32-E72D297353CC}">
                <c16:uniqueId val="{00000007-6CC7-EF4E-8794-1185F58C2EDA}"/>
              </c:ext>
            </c:extLst>
          </c:dPt>
          <c:dPt>
            <c:idx val="5"/>
            <c:invertIfNegative val="0"/>
            <c:bubble3D val="0"/>
            <c:spPr>
              <a:solidFill>
                <a:srgbClr val="0066CC"/>
              </a:solidFill>
            </c:spPr>
            <c:extLst>
              <c:ext xmlns:c16="http://schemas.microsoft.com/office/drawing/2014/chart" uri="{C3380CC4-5D6E-409C-BE32-E72D297353CC}">
                <c16:uniqueId val="{00000009-6CC7-EF4E-8794-1185F58C2ED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6CC7-EF4E-8794-1185F58C2EDA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('Performances Simul. 2'!$B$5:$B$8,'Performances Simul. 2'!$B$10:$B$12)</c:f>
              <c:strCache>
                <c:ptCount val="7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  <c:pt idx="3">
                  <c:v>Obj.</c:v>
                </c:pt>
                <c:pt idx="4">
                  <c:v>Atel. 1</c:v>
                </c:pt>
                <c:pt idx="5">
                  <c:v>Atel. 2</c:v>
                </c:pt>
                <c:pt idx="6">
                  <c:v>Atel. 3</c:v>
                </c:pt>
              </c:strCache>
            </c:strRef>
          </c:cat>
          <c:val>
            <c:numRef>
              <c:f>('Performances Simul. 2'!$H$5:$H$8,'Performances Simul. 2'!$H$10:$H$12)</c:f>
              <c:numCache>
                <c:formatCode>General</c:formatCode>
                <c:ptCount val="7"/>
                <c:pt idx="0">
                  <c:v>29.999999999999986</c:v>
                </c:pt>
                <c:pt idx="1">
                  <c:v>70</c:v>
                </c:pt>
                <c:pt idx="2">
                  <c:v>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C7-EF4E-8794-1185F58C2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21167872"/>
        <c:axId val="121169408"/>
      </c:barChart>
      <c:catAx>
        <c:axId val="12116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169408"/>
        <c:crosses val="autoZero"/>
        <c:auto val="1"/>
        <c:lblAlgn val="ctr"/>
        <c:lblOffset val="100"/>
        <c:noMultiLvlLbl val="0"/>
      </c:catAx>
      <c:valAx>
        <c:axId val="121169408"/>
        <c:scaling>
          <c:orientation val="minMax"/>
          <c:max val="100"/>
          <c:min val="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167872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2" l="0.70000000000000095" r="0.70000000000000095" t="0.750000000000002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Stocks (M€)</a:t>
            </a:r>
          </a:p>
        </c:rich>
      </c:tx>
      <c:overlay val="0"/>
      <c:spPr>
        <a:solidFill>
          <a:schemeClr val="bg1"/>
        </a:solidFill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EEB500"/>
              </a:solidFill>
            </c:spPr>
            <c:extLst>
              <c:ext xmlns:c16="http://schemas.microsoft.com/office/drawing/2014/chart" uri="{C3380CC4-5D6E-409C-BE32-E72D297353CC}">
                <c16:uniqueId val="{00000001-6837-A444-A680-7CF6C1F856F4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3-6837-A444-A680-7CF6C1F856F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6837-A444-A680-7CF6C1F856F4}"/>
              </c:ext>
            </c:extLst>
          </c:dPt>
          <c:dPt>
            <c:idx val="4"/>
            <c:invertIfNegative val="0"/>
            <c:bubble3D val="0"/>
            <c:spPr>
              <a:solidFill>
                <a:srgbClr val="00FFFF"/>
              </a:solidFill>
            </c:spPr>
            <c:extLst>
              <c:ext xmlns:c16="http://schemas.microsoft.com/office/drawing/2014/chart" uri="{C3380CC4-5D6E-409C-BE32-E72D297353CC}">
                <c16:uniqueId val="{00000007-6837-A444-A680-7CF6C1F856F4}"/>
              </c:ext>
            </c:extLst>
          </c:dPt>
          <c:dPt>
            <c:idx val="5"/>
            <c:invertIfNegative val="0"/>
            <c:bubble3D val="0"/>
            <c:spPr>
              <a:solidFill>
                <a:srgbClr val="0066CC"/>
              </a:solidFill>
            </c:spPr>
            <c:extLst>
              <c:ext xmlns:c16="http://schemas.microsoft.com/office/drawing/2014/chart" uri="{C3380CC4-5D6E-409C-BE32-E72D297353CC}">
                <c16:uniqueId val="{00000009-6837-A444-A680-7CF6C1F856F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6837-A444-A680-7CF6C1F856F4}"/>
              </c:ext>
            </c:extLst>
          </c:dPt>
          <c:dLbls>
            <c:numFmt formatCode="#,##0" sourceLinked="0"/>
            <c:spPr>
              <a:solidFill>
                <a:schemeClr val="bg1"/>
              </a:solidFill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('Performances Simul. 2'!$B$5:$B$8,'Performances Simul. 2'!$B$10:$B$12)</c:f>
              <c:strCache>
                <c:ptCount val="7"/>
                <c:pt idx="0">
                  <c:v>Paleo</c:v>
                </c:pt>
                <c:pt idx="1">
                  <c:v>Concur.</c:v>
                </c:pt>
                <c:pt idx="2">
                  <c:v>Sim. 1</c:v>
                </c:pt>
                <c:pt idx="3">
                  <c:v>Obj.</c:v>
                </c:pt>
                <c:pt idx="4">
                  <c:v>Atel. 1</c:v>
                </c:pt>
                <c:pt idx="5">
                  <c:v>Atel. 2</c:v>
                </c:pt>
                <c:pt idx="6">
                  <c:v>Atel. 3</c:v>
                </c:pt>
              </c:strCache>
            </c:strRef>
          </c:cat>
          <c:val>
            <c:numRef>
              <c:f>('Performances Simul. 2'!$J$5:$J$8,'Performances Simul. 2'!$J$10:$J$12)</c:f>
              <c:numCache>
                <c:formatCode>0" M€"</c:formatCode>
                <c:ptCount val="7"/>
                <c:pt idx="0">
                  <c:v>20</c:v>
                </c:pt>
                <c:pt idx="1">
                  <c:v>16</c:v>
                </c:pt>
                <c:pt idx="2">
                  <c:v>17.600000000000001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37-A444-A680-7CF6C1F85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121199232"/>
        <c:axId val="121217408"/>
      </c:barChart>
      <c:catAx>
        <c:axId val="1211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217408"/>
        <c:crosses val="autoZero"/>
        <c:auto val="1"/>
        <c:lblAlgn val="ctr"/>
        <c:lblOffset val="100"/>
        <c:noMultiLvlLbl val="0"/>
      </c:catAx>
      <c:valAx>
        <c:axId val="121217408"/>
        <c:scaling>
          <c:orientation val="minMax"/>
          <c:min val="5"/>
        </c:scaling>
        <c:delete val="0"/>
        <c:axPos val="l"/>
        <c:majorGridlines/>
        <c:numFmt formatCode="0&quot; M€&quot;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1199232"/>
        <c:crosses val="autoZero"/>
        <c:crossBetween val="between"/>
        <c:maj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2" l="0.70000000000000095" r="0.70000000000000095" t="0.750000000000002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7.jpeg"/><Relationship Id="rId7" Type="http://schemas.openxmlformats.org/officeDocument/2006/relationships/chart" Target="../charts/chart10.xml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10.jpeg"/><Relationship Id="rId5" Type="http://schemas.openxmlformats.org/officeDocument/2006/relationships/image" Target="../media/image9.jpeg"/><Relationship Id="rId4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129540</xdr:colOff>
      <xdr:row>3</xdr:row>
      <xdr:rowOff>68580</xdr:rowOff>
    </xdr:from>
    <xdr:to>
      <xdr:col>18</xdr:col>
      <xdr:colOff>647700</xdr:colOff>
      <xdr:row>11</xdr:row>
      <xdr:rowOff>7620</xdr:rowOff>
    </xdr:to>
    <xdr:pic>
      <xdr:nvPicPr>
        <xdr:cNvPr id="7758" name="Picture 25">
          <a:extLst>
            <a:ext uri="{FF2B5EF4-FFF2-40B4-BE49-F238E27FC236}">
              <a16:creationId xmlns:a16="http://schemas.microsoft.com/office/drawing/2014/main" id="{00000000-0008-0000-0100-00004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8940" y="762000"/>
          <a:ext cx="1165860" cy="2110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205740</xdr:colOff>
      <xdr:row>15</xdr:row>
      <xdr:rowOff>38100</xdr:rowOff>
    </xdr:from>
    <xdr:to>
      <xdr:col>17</xdr:col>
      <xdr:colOff>441960</xdr:colOff>
      <xdr:row>16</xdr:row>
      <xdr:rowOff>45720</xdr:rowOff>
    </xdr:to>
    <xdr:grpSp>
      <xdr:nvGrpSpPr>
        <xdr:cNvPr id="7759" name="Groupe 56">
          <a:extLst>
            <a:ext uri="{FF2B5EF4-FFF2-40B4-BE49-F238E27FC236}">
              <a16:creationId xmlns:a16="http://schemas.microsoft.com/office/drawing/2014/main" id="{00000000-0008-0000-0100-00004F1E0000}"/>
            </a:ext>
          </a:extLst>
        </xdr:cNvPr>
        <xdr:cNvGrpSpPr>
          <a:grpSpLocks/>
        </xdr:cNvGrpSpPr>
      </xdr:nvGrpSpPr>
      <xdr:grpSpPr bwMode="auto">
        <a:xfrm>
          <a:off x="7536373" y="4113353"/>
          <a:ext cx="4263245" cy="301810"/>
          <a:chOff x="8190939" y="2049556"/>
          <a:chExt cx="4784679" cy="398786"/>
        </a:xfrm>
      </xdr:grpSpPr>
      <xdr:grpSp>
        <xdr:nvGrpSpPr>
          <xdr:cNvPr id="7771" name="Groupe 12">
            <a:extLst>
              <a:ext uri="{FF2B5EF4-FFF2-40B4-BE49-F238E27FC236}">
                <a16:creationId xmlns:a16="http://schemas.microsoft.com/office/drawing/2014/main" id="{00000000-0008-0000-0100-00005B1E0000}"/>
              </a:ext>
            </a:extLst>
          </xdr:cNvPr>
          <xdr:cNvGrpSpPr>
            <a:grpSpLocks/>
          </xdr:cNvGrpSpPr>
        </xdr:nvGrpSpPr>
        <xdr:grpSpPr bwMode="auto">
          <a:xfrm>
            <a:off x="8190941" y="2049556"/>
            <a:ext cx="4200528" cy="396688"/>
            <a:chOff x="3017135" y="2409825"/>
            <a:chExt cx="3174115" cy="301073"/>
          </a:xfrm>
        </xdr:grpSpPr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SpPr/>
          </xdr:nvSpPr>
          <xdr:spPr bwMode="auto">
            <a:xfrm>
              <a:off x="4716566" y="2526235"/>
              <a:ext cx="331762" cy="131931"/>
            </a:xfrm>
            <a:prstGeom prst="rect">
              <a:avLst/>
            </a:prstGeom>
            <a:solidFill>
              <a:srgbClr val="FFFF5D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61" name="AutoShape 34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47265" y="2487431"/>
              <a:ext cx="345303" cy="209537"/>
            </a:xfrm>
            <a:prstGeom prst="wave">
              <a:avLst>
                <a:gd name="adj1" fmla="val 20644"/>
                <a:gd name="adj2" fmla="val 7681"/>
              </a:avLst>
            </a:prstGeom>
            <a:solidFill>
              <a:srgbClr val="EAB6A8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62" name="Ellipse 61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SpPr/>
          </xdr:nvSpPr>
          <xdr:spPr bwMode="auto">
            <a:xfrm>
              <a:off x="4012419" y="2526235"/>
              <a:ext cx="392698" cy="131931"/>
            </a:xfrm>
            <a:prstGeom prst="ellipse">
              <a:avLst/>
            </a:prstGeom>
            <a:solidFill>
              <a:srgbClr val="3399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63" name="Croix 62">
              <a:extLst>
                <a:ext uri="{FF2B5EF4-FFF2-40B4-BE49-F238E27FC236}">
                  <a16:creationId xmlns:a16="http://schemas.microsoft.com/office/drawing/2014/main" id="{00000000-0008-0000-0100-00003F000000}"/>
                </a:ext>
              </a:extLst>
            </xdr:cNvPr>
            <xdr:cNvSpPr/>
          </xdr:nvSpPr>
          <xdr:spPr bwMode="auto">
            <a:xfrm>
              <a:off x="3017133" y="2448628"/>
              <a:ext cx="270826" cy="256101"/>
            </a:xfrm>
            <a:prstGeom prst="plus">
              <a:avLst/>
            </a:prstGeom>
            <a:solidFill>
              <a:srgbClr val="B5FDC3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64" name="Étoile à 5 branches 63">
              <a:extLst>
                <a:ext uri="{FF2B5EF4-FFF2-40B4-BE49-F238E27FC236}">
                  <a16:creationId xmlns:a16="http://schemas.microsoft.com/office/drawing/2014/main" id="{00000000-0008-0000-0100-000040000000}"/>
                </a:ext>
              </a:extLst>
            </xdr:cNvPr>
            <xdr:cNvSpPr/>
          </xdr:nvSpPr>
          <xdr:spPr bwMode="auto">
            <a:xfrm>
              <a:off x="3504620" y="2409825"/>
              <a:ext cx="331762" cy="302665"/>
            </a:xfrm>
            <a:prstGeom prst="star5">
              <a:avLst/>
            </a:prstGeom>
            <a:solidFill>
              <a:srgbClr val="EAB6A8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65" name="Triangle isocèle 64">
              <a:extLst>
                <a:ext uri="{FF2B5EF4-FFF2-40B4-BE49-F238E27FC236}">
                  <a16:creationId xmlns:a16="http://schemas.microsoft.com/office/drawing/2014/main" id="{00000000-0008-0000-0100-000041000000}"/>
                </a:ext>
              </a:extLst>
            </xdr:cNvPr>
            <xdr:cNvSpPr/>
          </xdr:nvSpPr>
          <xdr:spPr bwMode="auto">
            <a:xfrm>
              <a:off x="5292071" y="2487431"/>
              <a:ext cx="284367" cy="209537"/>
            </a:xfrm>
            <a:prstGeom prst="triangle">
              <a:avLst/>
            </a:prstGeom>
            <a:solidFill>
              <a:srgbClr val="B5FDC3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</xdr:grpSp>
      <xdr:pic>
        <xdr:nvPicPr>
          <xdr:cNvPr id="7772" name="Picture 46" descr="TIP3fab 7">
            <a:extLst>
              <a:ext uri="{FF2B5EF4-FFF2-40B4-BE49-F238E27FC236}">
                <a16:creationId xmlns:a16="http://schemas.microsoft.com/office/drawing/2014/main" id="{00000000-0008-0000-0100-00005C1E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909" t="46571" r="26497" b="12415"/>
          <a:stretch>
            <a:fillRect/>
          </a:stretch>
        </xdr:blipFill>
        <xdr:spPr bwMode="auto">
          <a:xfrm>
            <a:off x="12636114" y="2187671"/>
            <a:ext cx="339504" cy="26067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45720</xdr:colOff>
      <xdr:row>5</xdr:row>
      <xdr:rowOff>0</xdr:rowOff>
    </xdr:from>
    <xdr:to>
      <xdr:col>9</xdr:col>
      <xdr:colOff>510540</xdr:colOff>
      <xdr:row>6</xdr:row>
      <xdr:rowOff>236220</xdr:rowOff>
    </xdr:to>
    <xdr:grpSp>
      <xdr:nvGrpSpPr>
        <xdr:cNvPr id="7760" name="Groupe 65">
          <a:extLst>
            <a:ext uri="{FF2B5EF4-FFF2-40B4-BE49-F238E27FC236}">
              <a16:creationId xmlns:a16="http://schemas.microsoft.com/office/drawing/2014/main" id="{00000000-0008-0000-0100-0000501E0000}"/>
            </a:ext>
          </a:extLst>
        </xdr:cNvPr>
        <xdr:cNvGrpSpPr>
          <a:grpSpLocks/>
        </xdr:cNvGrpSpPr>
      </xdr:nvGrpSpPr>
      <xdr:grpSpPr bwMode="auto">
        <a:xfrm>
          <a:off x="1188720" y="1278038"/>
          <a:ext cx="4896959" cy="501473"/>
          <a:chOff x="7438380" y="4356708"/>
          <a:chExt cx="4616473" cy="413212"/>
        </a:xfrm>
      </xdr:grpSpPr>
      <xdr:grpSp>
        <xdr:nvGrpSpPr>
          <xdr:cNvPr id="7762" name="Groupe 21">
            <a:extLst>
              <a:ext uri="{FF2B5EF4-FFF2-40B4-BE49-F238E27FC236}">
                <a16:creationId xmlns:a16="http://schemas.microsoft.com/office/drawing/2014/main" id="{00000000-0008-0000-0100-0000521E0000}"/>
              </a:ext>
            </a:extLst>
          </xdr:cNvPr>
          <xdr:cNvGrpSpPr>
            <a:grpSpLocks/>
          </xdr:cNvGrpSpPr>
        </xdr:nvGrpSpPr>
        <xdr:grpSpPr bwMode="auto">
          <a:xfrm>
            <a:off x="8156964" y="4402816"/>
            <a:ext cx="3300812" cy="302085"/>
            <a:chOff x="3087147" y="2409825"/>
            <a:chExt cx="2959861" cy="301073"/>
          </a:xfrm>
        </xdr:grpSpPr>
        <xdr:sp macro="" textlink="">
          <xdr:nvSpPr>
            <xdr:cNvPr id="70" name="Rectangle 69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SpPr/>
          </xdr:nvSpPr>
          <xdr:spPr bwMode="auto">
            <a:xfrm>
              <a:off x="4682815" y="2526107"/>
              <a:ext cx="333621" cy="124796"/>
            </a:xfrm>
            <a:prstGeom prst="rect">
              <a:avLst/>
            </a:prstGeom>
            <a:solidFill>
              <a:srgbClr val="FFFF5D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71" name="AutoShape 34">
              <a:extLst>
                <a:ext uri="{FF2B5EF4-FFF2-40B4-BE49-F238E27FC236}">
                  <a16:creationId xmlns:a16="http://schemas.microsoft.com/office/drawing/2014/main" id="{00000000-0008-0000-0100-00004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04103" y="2501147"/>
              <a:ext cx="340430" cy="212154"/>
            </a:xfrm>
            <a:prstGeom prst="wave">
              <a:avLst>
                <a:gd name="adj1" fmla="val 20644"/>
                <a:gd name="adj2" fmla="val 7681"/>
              </a:avLst>
            </a:prstGeom>
            <a:solidFill>
              <a:srgbClr val="EAB6A8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72" name="Ellipse 71">
              <a:extLst>
                <a:ext uri="{FF2B5EF4-FFF2-40B4-BE49-F238E27FC236}">
                  <a16:creationId xmlns:a16="http://schemas.microsoft.com/office/drawing/2014/main" id="{00000000-0008-0000-0100-000048000000}"/>
                </a:ext>
              </a:extLst>
            </xdr:cNvPr>
            <xdr:cNvSpPr/>
          </xdr:nvSpPr>
          <xdr:spPr bwMode="auto">
            <a:xfrm>
              <a:off x="4090467" y="2519867"/>
              <a:ext cx="394898" cy="143516"/>
            </a:xfrm>
            <a:prstGeom prst="ellipse">
              <a:avLst/>
            </a:prstGeom>
            <a:solidFill>
              <a:srgbClr val="3399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73" name="Croix 72">
              <a:extLst>
                <a:ext uri="{FF2B5EF4-FFF2-40B4-BE49-F238E27FC236}">
                  <a16:creationId xmlns:a16="http://schemas.microsoft.com/office/drawing/2014/main" id="{00000000-0008-0000-0100-000049000000}"/>
                </a:ext>
              </a:extLst>
            </xdr:cNvPr>
            <xdr:cNvSpPr/>
          </xdr:nvSpPr>
          <xdr:spPr bwMode="auto">
            <a:xfrm>
              <a:off x="3089604" y="2444989"/>
              <a:ext cx="272344" cy="262072"/>
            </a:xfrm>
            <a:prstGeom prst="plus">
              <a:avLst/>
            </a:prstGeom>
            <a:solidFill>
              <a:srgbClr val="B5FDC3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74" name="Étoile à 5 branches 73">
              <a:extLst>
                <a:ext uri="{FF2B5EF4-FFF2-40B4-BE49-F238E27FC236}">
                  <a16:creationId xmlns:a16="http://schemas.microsoft.com/office/drawing/2014/main" id="{00000000-0008-0000-0100-00004A000000}"/>
                </a:ext>
              </a:extLst>
            </xdr:cNvPr>
            <xdr:cNvSpPr/>
          </xdr:nvSpPr>
          <xdr:spPr bwMode="auto">
            <a:xfrm>
              <a:off x="3573014" y="2407550"/>
              <a:ext cx="333621" cy="305751"/>
            </a:xfrm>
            <a:prstGeom prst="star5">
              <a:avLst/>
            </a:prstGeom>
            <a:solidFill>
              <a:srgbClr val="EAB6A8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  <xdr:sp macro="" textlink="">
          <xdr:nvSpPr>
            <xdr:cNvPr id="75" name="Triangle isocèle 74">
              <a:extLst>
                <a:ext uri="{FF2B5EF4-FFF2-40B4-BE49-F238E27FC236}">
                  <a16:creationId xmlns:a16="http://schemas.microsoft.com/office/drawing/2014/main" id="{00000000-0008-0000-0100-00004B000000}"/>
                </a:ext>
              </a:extLst>
            </xdr:cNvPr>
            <xdr:cNvSpPr/>
          </xdr:nvSpPr>
          <xdr:spPr bwMode="auto">
            <a:xfrm>
              <a:off x="5247928" y="2488668"/>
              <a:ext cx="285961" cy="212154"/>
            </a:xfrm>
            <a:prstGeom prst="triangle">
              <a:avLst/>
            </a:prstGeom>
            <a:solidFill>
              <a:srgbClr val="B5FDC3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/>
            <a:p>
              <a:endParaRPr lang="fr-FR"/>
            </a:p>
          </xdr:txBody>
        </xdr:sp>
      </xdr:grpSp>
      <xdr:pic>
        <xdr:nvPicPr>
          <xdr:cNvPr id="7763" name="Picture 46" descr="TIP3fab 7">
            <a:extLst>
              <a:ext uri="{FF2B5EF4-FFF2-40B4-BE49-F238E27FC236}">
                <a16:creationId xmlns:a16="http://schemas.microsoft.com/office/drawing/2014/main" id="{00000000-0008-0000-0100-0000531E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909" t="46571" r="26497" b="12415"/>
          <a:stretch>
            <a:fillRect/>
          </a:stretch>
        </xdr:blipFill>
        <xdr:spPr bwMode="auto">
          <a:xfrm>
            <a:off x="11768756" y="4507967"/>
            <a:ext cx="286097" cy="19850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764" name="Picture 32" descr="TIP5e¦ütu-fin E¦üTU1">
            <a:extLst>
              <a:ext uri="{FF2B5EF4-FFF2-40B4-BE49-F238E27FC236}">
                <a16:creationId xmlns:a16="http://schemas.microsoft.com/office/drawing/2014/main" id="{00000000-0008-0000-0100-0000541E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157" t="25005" r="23033" b="14983"/>
          <a:stretch>
            <a:fillRect/>
          </a:stretch>
        </xdr:blipFill>
        <xdr:spPr bwMode="auto">
          <a:xfrm>
            <a:off x="7438380" y="4356708"/>
            <a:ext cx="461767" cy="413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8</xdr:col>
      <xdr:colOff>44824</xdr:colOff>
      <xdr:row>19</xdr:row>
      <xdr:rowOff>205292</xdr:rowOff>
    </xdr:from>
    <xdr:to>
      <xdr:col>8</xdr:col>
      <xdr:colOff>299057</xdr:colOff>
      <xdr:row>19</xdr:row>
      <xdr:rowOff>206880</xdr:rowOff>
    </xdr:to>
    <xdr:cxnSp macro="">
      <xdr:nvCxnSpPr>
        <xdr:cNvPr id="77" name="Connecteur droit avec flèch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 rot="10800000">
          <a:off x="4964206" y="5334000"/>
          <a:ext cx="246529" cy="158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</xdr:row>
      <xdr:rowOff>121920</xdr:rowOff>
    </xdr:from>
    <xdr:to>
      <xdr:col>7</xdr:col>
      <xdr:colOff>403860</xdr:colOff>
      <xdr:row>1</xdr:row>
      <xdr:rowOff>403860</xdr:rowOff>
    </xdr:to>
    <xdr:grpSp>
      <xdr:nvGrpSpPr>
        <xdr:cNvPr id="10661" name="Groupe 21">
          <a:extLst>
            <a:ext uri="{FF2B5EF4-FFF2-40B4-BE49-F238E27FC236}">
              <a16:creationId xmlns:a16="http://schemas.microsoft.com/office/drawing/2014/main" id="{00000000-0008-0000-0200-0000A5290000}"/>
            </a:ext>
          </a:extLst>
        </xdr:cNvPr>
        <xdr:cNvGrpSpPr>
          <a:grpSpLocks/>
        </xdr:cNvGrpSpPr>
      </xdr:nvGrpSpPr>
      <xdr:grpSpPr bwMode="auto">
        <a:xfrm>
          <a:off x="1346901" y="347892"/>
          <a:ext cx="2977318" cy="281940"/>
          <a:chOff x="3087147" y="2409825"/>
          <a:chExt cx="2959861" cy="30107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4677874" y="2523745"/>
            <a:ext cx="340305" cy="122057"/>
          </a:xfrm>
          <a:prstGeom prst="rect">
            <a:avLst/>
          </a:prstGeom>
          <a:solidFill>
            <a:srgbClr val="FFFF5D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5" name="AutoShape 3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706703" y="2499333"/>
            <a:ext cx="340305" cy="211565"/>
          </a:xfrm>
          <a:prstGeom prst="wave">
            <a:avLst>
              <a:gd name="adj1" fmla="val 20644"/>
              <a:gd name="adj2" fmla="val 7681"/>
            </a:avLst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4084319" y="2523745"/>
            <a:ext cx="403617" cy="138331"/>
          </a:xfrm>
          <a:prstGeom prst="ellipse">
            <a:avLst/>
          </a:prstGeom>
          <a:solidFill>
            <a:srgbClr val="3399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8" name="Croi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3087147" y="2450511"/>
            <a:ext cx="269078" cy="252250"/>
          </a:xfrm>
          <a:prstGeom prst="plus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9" name="Étoile à 5 branches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3569905" y="2409825"/>
            <a:ext cx="332391" cy="301073"/>
          </a:xfrm>
          <a:prstGeom prst="star5">
            <a:avLst/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0" name="Triangle isocèle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 bwMode="auto">
          <a:xfrm>
            <a:off x="5247687" y="2483059"/>
            <a:ext cx="292820" cy="203428"/>
          </a:xfrm>
          <a:prstGeom prst="triangle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</xdr:grpSp>
    <xdr:clientData/>
  </xdr:twoCellAnchor>
  <xdr:twoCellAnchor>
    <xdr:from>
      <xdr:col>1</xdr:col>
      <xdr:colOff>236220</xdr:colOff>
      <xdr:row>4</xdr:row>
      <xdr:rowOff>114300</xdr:rowOff>
    </xdr:from>
    <xdr:to>
      <xdr:col>9</xdr:col>
      <xdr:colOff>342900</xdr:colOff>
      <xdr:row>19</xdr:row>
      <xdr:rowOff>121920</xdr:rowOff>
    </xdr:to>
    <xdr:graphicFrame macro="">
      <xdr:nvGraphicFramePr>
        <xdr:cNvPr id="10662" name="Graphique 10">
          <a:extLst>
            <a:ext uri="{FF2B5EF4-FFF2-40B4-BE49-F238E27FC236}">
              <a16:creationId xmlns:a16="http://schemas.microsoft.com/office/drawing/2014/main" id="{00000000-0008-0000-0200-0000A62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826638</xdr:colOff>
      <xdr:row>5</xdr:row>
      <xdr:rowOff>80930</xdr:rowOff>
    </xdr:from>
    <xdr:to>
      <xdr:col>7</xdr:col>
      <xdr:colOff>420150</xdr:colOff>
      <xdr:row>7</xdr:row>
      <xdr:rowOff>3679</xdr:rowOff>
    </xdr:to>
    <xdr:grpSp>
      <xdr:nvGrpSpPr>
        <xdr:cNvPr id="10663" name="Groupe 21">
          <a:extLst>
            <a:ext uri="{FF2B5EF4-FFF2-40B4-BE49-F238E27FC236}">
              <a16:creationId xmlns:a16="http://schemas.microsoft.com/office/drawing/2014/main" id="{00000000-0008-0000-0200-0000A7290000}"/>
            </a:ext>
          </a:extLst>
        </xdr:cNvPr>
        <xdr:cNvGrpSpPr>
          <a:grpSpLocks/>
        </xdr:cNvGrpSpPr>
      </xdr:nvGrpSpPr>
      <xdr:grpSpPr bwMode="auto">
        <a:xfrm>
          <a:off x="1002686" y="1473551"/>
          <a:ext cx="3337823" cy="274845"/>
          <a:chOff x="3087147" y="2409825"/>
          <a:chExt cx="2959861" cy="301073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 bwMode="auto">
          <a:xfrm>
            <a:off x="4680374" y="2531882"/>
            <a:ext cx="325726" cy="122057"/>
          </a:xfrm>
          <a:prstGeom prst="rect">
            <a:avLst/>
          </a:prstGeom>
          <a:solidFill>
            <a:srgbClr val="FFFF5D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4" name="AutoShape 34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707120" y="2499333"/>
            <a:ext cx="339888" cy="211565"/>
          </a:xfrm>
          <a:prstGeom prst="wave">
            <a:avLst>
              <a:gd name="adj1" fmla="val 20644"/>
              <a:gd name="adj2" fmla="val 7681"/>
            </a:avLst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5" name="Ellips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 bwMode="auto">
          <a:xfrm>
            <a:off x="4085569" y="2523745"/>
            <a:ext cx="396536" cy="138331"/>
          </a:xfrm>
          <a:prstGeom prst="ellipse">
            <a:avLst/>
          </a:prstGeom>
          <a:solidFill>
            <a:srgbClr val="3399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6" name="Croi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 bwMode="auto">
          <a:xfrm>
            <a:off x="3087147" y="2450511"/>
            <a:ext cx="276159" cy="252250"/>
          </a:xfrm>
          <a:prstGeom prst="plus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7" name="Étoile à 5 branches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 bwMode="auto">
          <a:xfrm>
            <a:off x="3568655" y="2409825"/>
            <a:ext cx="325726" cy="301073"/>
          </a:xfrm>
          <a:prstGeom prst="star5">
            <a:avLst/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8" name="Triangle isocè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 bwMode="auto">
          <a:xfrm>
            <a:off x="5246854" y="2491196"/>
            <a:ext cx="290321" cy="203428"/>
          </a:xfrm>
          <a:prstGeom prst="triangle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1</xdr:row>
      <xdr:rowOff>144780</xdr:rowOff>
    </xdr:from>
    <xdr:to>
      <xdr:col>15</xdr:col>
      <xdr:colOff>480060</xdr:colOff>
      <xdr:row>11</xdr:row>
      <xdr:rowOff>76200</xdr:rowOff>
    </xdr:to>
    <xdr:graphicFrame macro="">
      <xdr:nvGraphicFramePr>
        <xdr:cNvPr id="12513" name="Graphique 10">
          <a:extLst>
            <a:ext uri="{FF2B5EF4-FFF2-40B4-BE49-F238E27FC236}">
              <a16:creationId xmlns:a16="http://schemas.microsoft.com/office/drawing/2014/main" id="{00000000-0008-0000-0300-0000E1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655320</xdr:colOff>
      <xdr:row>1</xdr:row>
      <xdr:rowOff>137160</xdr:rowOff>
    </xdr:from>
    <xdr:to>
      <xdr:col>20</xdr:col>
      <xdr:colOff>678180</xdr:colOff>
      <xdr:row>11</xdr:row>
      <xdr:rowOff>60960</xdr:rowOff>
    </xdr:to>
    <xdr:graphicFrame macro="">
      <xdr:nvGraphicFramePr>
        <xdr:cNvPr id="12514" name="Graphique 15">
          <a:extLst>
            <a:ext uri="{FF2B5EF4-FFF2-40B4-BE49-F238E27FC236}">
              <a16:creationId xmlns:a16="http://schemas.microsoft.com/office/drawing/2014/main" id="{00000000-0008-0000-0300-0000E2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182880</xdr:colOff>
      <xdr:row>11</xdr:row>
      <xdr:rowOff>129540</xdr:rowOff>
    </xdr:from>
    <xdr:to>
      <xdr:col>15</xdr:col>
      <xdr:colOff>480060</xdr:colOff>
      <xdr:row>27</xdr:row>
      <xdr:rowOff>7620</xdr:rowOff>
    </xdr:to>
    <xdr:graphicFrame macro="">
      <xdr:nvGraphicFramePr>
        <xdr:cNvPr id="12515" name="Graphique 16">
          <a:extLst>
            <a:ext uri="{FF2B5EF4-FFF2-40B4-BE49-F238E27FC236}">
              <a16:creationId xmlns:a16="http://schemas.microsoft.com/office/drawing/2014/main" id="{00000000-0008-0000-0300-0000E3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655320</xdr:colOff>
      <xdr:row>11</xdr:row>
      <xdr:rowOff>121920</xdr:rowOff>
    </xdr:from>
    <xdr:to>
      <xdr:col>20</xdr:col>
      <xdr:colOff>678180</xdr:colOff>
      <xdr:row>26</xdr:row>
      <xdr:rowOff>175260</xdr:rowOff>
    </xdr:to>
    <xdr:graphicFrame macro="">
      <xdr:nvGraphicFramePr>
        <xdr:cNvPr id="12516" name="Graphique 17">
          <a:extLst>
            <a:ext uri="{FF2B5EF4-FFF2-40B4-BE49-F238E27FC236}">
              <a16:creationId xmlns:a16="http://schemas.microsoft.com/office/drawing/2014/main" id="{00000000-0008-0000-0300-0000E4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748841</xdr:colOff>
      <xdr:row>2</xdr:row>
      <xdr:rowOff>39604</xdr:rowOff>
    </xdr:from>
    <xdr:to>
      <xdr:col>14</xdr:col>
      <xdr:colOff>303195</xdr:colOff>
      <xdr:row>2</xdr:row>
      <xdr:rowOff>191604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>
          <a:off x="7121338" y="550688"/>
          <a:ext cx="324000" cy="1440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185698</xdr:colOff>
      <xdr:row>2</xdr:row>
      <xdr:rowOff>5987</xdr:rowOff>
    </xdr:from>
    <xdr:to>
      <xdr:col>19</xdr:col>
      <xdr:colOff>517062</xdr:colOff>
      <xdr:row>2</xdr:row>
      <xdr:rowOff>149987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11153055" y="517071"/>
          <a:ext cx="324000" cy="1440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202122</xdr:colOff>
      <xdr:row>12</xdr:row>
      <xdr:rowOff>124064</xdr:rowOff>
    </xdr:from>
    <xdr:to>
      <xdr:col>19</xdr:col>
      <xdr:colOff>533657</xdr:colOff>
      <xdr:row>13</xdr:row>
      <xdr:rowOff>83810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CxnSpPr/>
      </xdr:nvCxnSpPr>
      <xdr:spPr>
        <a:xfrm>
          <a:off x="11161859" y="3362564"/>
          <a:ext cx="324000" cy="1440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600347</xdr:colOff>
      <xdr:row>12</xdr:row>
      <xdr:rowOff>57628</xdr:rowOff>
    </xdr:from>
    <xdr:to>
      <xdr:col>14</xdr:col>
      <xdr:colOff>147055</xdr:colOff>
      <xdr:row>13</xdr:row>
      <xdr:rowOff>24735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V="1">
          <a:off x="6980464" y="3296128"/>
          <a:ext cx="324000" cy="1440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3</xdr:row>
      <xdr:rowOff>121920</xdr:rowOff>
    </xdr:from>
    <xdr:to>
      <xdr:col>7</xdr:col>
      <xdr:colOff>510540</xdr:colOff>
      <xdr:row>4</xdr:row>
      <xdr:rowOff>160020</xdr:rowOff>
    </xdr:to>
    <xdr:grpSp>
      <xdr:nvGrpSpPr>
        <xdr:cNvPr id="17661" name="Groupe 21">
          <a:extLst>
            <a:ext uri="{FF2B5EF4-FFF2-40B4-BE49-F238E27FC236}">
              <a16:creationId xmlns:a16="http://schemas.microsoft.com/office/drawing/2014/main" id="{00000000-0008-0000-0400-0000FD440000}"/>
            </a:ext>
          </a:extLst>
        </xdr:cNvPr>
        <xdr:cNvGrpSpPr>
          <a:grpSpLocks/>
        </xdr:cNvGrpSpPr>
      </xdr:nvGrpSpPr>
      <xdr:grpSpPr bwMode="auto">
        <a:xfrm>
          <a:off x="1565910" y="815340"/>
          <a:ext cx="3638550" cy="266700"/>
          <a:chOff x="3087147" y="2409825"/>
          <a:chExt cx="2959861" cy="301073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/>
        </xdr:nvSpPr>
        <xdr:spPr bwMode="auto">
          <a:xfrm>
            <a:off x="4674413" y="2530254"/>
            <a:ext cx="338270" cy="120429"/>
          </a:xfrm>
          <a:prstGeom prst="rect">
            <a:avLst/>
          </a:prstGeom>
          <a:solidFill>
            <a:srgbClr val="FFFF5D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7" name="AutoShape 34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5702233" y="2495846"/>
            <a:ext cx="344775" cy="215052"/>
          </a:xfrm>
          <a:prstGeom prst="wave">
            <a:avLst>
              <a:gd name="adj1" fmla="val 20644"/>
              <a:gd name="adj2" fmla="val 7681"/>
            </a:avLst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8" name="Ellipse 17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/>
        </xdr:nvSpPr>
        <xdr:spPr bwMode="auto">
          <a:xfrm>
            <a:off x="4088946" y="2513050"/>
            <a:ext cx="396817" cy="146235"/>
          </a:xfrm>
          <a:prstGeom prst="ellipse">
            <a:avLst/>
          </a:prstGeom>
          <a:solidFill>
            <a:srgbClr val="3399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9" name="Croix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SpPr/>
        </xdr:nvSpPr>
        <xdr:spPr bwMode="auto">
          <a:xfrm>
            <a:off x="3087147" y="2452835"/>
            <a:ext cx="266713" cy="249460"/>
          </a:xfrm>
          <a:prstGeom prst="plus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20" name="Étoile à 5 branches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 bwMode="auto">
          <a:xfrm>
            <a:off x="3562026" y="2409825"/>
            <a:ext cx="338270" cy="301073"/>
          </a:xfrm>
          <a:prstGeom prst="star5">
            <a:avLst/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21" name="Triangle isocèle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/>
        </xdr:nvSpPr>
        <xdr:spPr bwMode="auto">
          <a:xfrm>
            <a:off x="5253375" y="2487244"/>
            <a:ext cx="286228" cy="206450"/>
          </a:xfrm>
          <a:prstGeom prst="triangle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</xdr:grpSp>
    <xdr:clientData/>
  </xdr:twoCellAnchor>
  <xdr:twoCellAnchor>
    <xdr:from>
      <xdr:col>8</xdr:col>
      <xdr:colOff>198120</xdr:colOff>
      <xdr:row>2</xdr:row>
      <xdr:rowOff>38100</xdr:rowOff>
    </xdr:from>
    <xdr:to>
      <xdr:col>16</xdr:col>
      <xdr:colOff>7620</xdr:colOff>
      <xdr:row>15</xdr:row>
      <xdr:rowOff>190500</xdr:rowOff>
    </xdr:to>
    <xdr:graphicFrame macro="">
      <xdr:nvGraphicFramePr>
        <xdr:cNvPr id="17662" name="Graphique 25">
          <a:extLst>
            <a:ext uri="{FF2B5EF4-FFF2-40B4-BE49-F238E27FC236}">
              <a16:creationId xmlns:a16="http://schemas.microsoft.com/office/drawing/2014/main" id="{00000000-0008-0000-0400-0000FE4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25876</xdr:colOff>
      <xdr:row>18</xdr:row>
      <xdr:rowOff>113189</xdr:rowOff>
    </xdr:from>
    <xdr:to>
      <xdr:col>1</xdr:col>
      <xdr:colOff>27464</xdr:colOff>
      <xdr:row>19</xdr:row>
      <xdr:rowOff>93240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 rot="5400000">
          <a:off x="6300" y="4232325"/>
          <a:ext cx="216000" cy="1588"/>
        </a:xfrm>
        <a:prstGeom prst="straightConnector1">
          <a:avLst/>
        </a:prstGeom>
        <a:ln>
          <a:solidFill>
            <a:srgbClr val="0066CC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2</xdr:row>
      <xdr:rowOff>121920</xdr:rowOff>
    </xdr:from>
    <xdr:to>
      <xdr:col>7</xdr:col>
      <xdr:colOff>510540</xdr:colOff>
      <xdr:row>3</xdr:row>
      <xdr:rowOff>160020</xdr:rowOff>
    </xdr:to>
    <xdr:grpSp>
      <xdr:nvGrpSpPr>
        <xdr:cNvPr id="19877" name="Groupe 21">
          <a:extLst>
            <a:ext uri="{FF2B5EF4-FFF2-40B4-BE49-F238E27FC236}">
              <a16:creationId xmlns:a16="http://schemas.microsoft.com/office/drawing/2014/main" id="{00000000-0008-0000-0500-0000A54D0000}"/>
            </a:ext>
          </a:extLst>
        </xdr:cNvPr>
        <xdr:cNvGrpSpPr>
          <a:grpSpLocks/>
        </xdr:cNvGrpSpPr>
      </xdr:nvGrpSpPr>
      <xdr:grpSpPr bwMode="auto">
        <a:xfrm>
          <a:off x="1835757" y="784529"/>
          <a:ext cx="2911669" cy="266700"/>
          <a:chOff x="3087147" y="2409825"/>
          <a:chExt cx="2959861" cy="30107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 bwMode="auto">
          <a:xfrm>
            <a:off x="4677765" y="2530254"/>
            <a:ext cx="336161" cy="120429"/>
          </a:xfrm>
          <a:prstGeom prst="rect">
            <a:avLst/>
          </a:prstGeom>
          <a:solidFill>
            <a:srgbClr val="FFFF5D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4" name="AutoShape 3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5710847" y="2495846"/>
            <a:ext cx="336161" cy="215052"/>
          </a:xfrm>
          <a:prstGeom prst="wave">
            <a:avLst>
              <a:gd name="adj1" fmla="val 20644"/>
              <a:gd name="adj2" fmla="val 7681"/>
            </a:avLst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5" name="Ellips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 bwMode="auto">
          <a:xfrm>
            <a:off x="4087432" y="2513050"/>
            <a:ext cx="393555" cy="146235"/>
          </a:xfrm>
          <a:prstGeom prst="ellipse">
            <a:avLst/>
          </a:prstGeom>
          <a:solidFill>
            <a:srgbClr val="3399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6" name="Croix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 bwMode="auto">
          <a:xfrm>
            <a:off x="3087147" y="2452835"/>
            <a:ext cx="270569" cy="249460"/>
          </a:xfrm>
          <a:prstGeom prst="plus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7" name="Étoile à 5 branches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 bwMode="auto">
          <a:xfrm>
            <a:off x="3562693" y="2409825"/>
            <a:ext cx="336161" cy="301073"/>
          </a:xfrm>
          <a:prstGeom prst="star5">
            <a:avLst/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8" name="Triangle isocè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 bwMode="auto">
          <a:xfrm>
            <a:off x="5243500" y="2487244"/>
            <a:ext cx="286967" cy="206450"/>
          </a:xfrm>
          <a:prstGeom prst="triangle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</xdr:grpSp>
    <xdr:clientData/>
  </xdr:twoCellAnchor>
  <xdr:twoCellAnchor>
    <xdr:from>
      <xdr:col>8</xdr:col>
      <xdr:colOff>342900</xdr:colOff>
      <xdr:row>4</xdr:row>
      <xdr:rowOff>213360</xdr:rowOff>
    </xdr:from>
    <xdr:to>
      <xdr:col>15</xdr:col>
      <xdr:colOff>281940</xdr:colOff>
      <xdr:row>19</xdr:row>
      <xdr:rowOff>53340</xdr:rowOff>
    </xdr:to>
    <xdr:graphicFrame macro="">
      <xdr:nvGraphicFramePr>
        <xdr:cNvPr id="19878" name="Graphique 10">
          <a:extLst>
            <a:ext uri="{FF2B5EF4-FFF2-40B4-BE49-F238E27FC236}">
              <a16:creationId xmlns:a16="http://schemas.microsoft.com/office/drawing/2014/main" id="{00000000-0008-0000-0500-0000A64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449580</xdr:colOff>
      <xdr:row>2</xdr:row>
      <xdr:rowOff>175260</xdr:rowOff>
    </xdr:from>
    <xdr:to>
      <xdr:col>14</xdr:col>
      <xdr:colOff>556260</xdr:colOff>
      <xdr:row>4</xdr:row>
      <xdr:rowOff>106680</xdr:rowOff>
    </xdr:to>
    <xdr:grpSp>
      <xdr:nvGrpSpPr>
        <xdr:cNvPr id="19879" name="Groupe 21">
          <a:extLst>
            <a:ext uri="{FF2B5EF4-FFF2-40B4-BE49-F238E27FC236}">
              <a16:creationId xmlns:a16="http://schemas.microsoft.com/office/drawing/2014/main" id="{00000000-0008-0000-0500-0000A74D0000}"/>
            </a:ext>
          </a:extLst>
        </xdr:cNvPr>
        <xdr:cNvGrpSpPr>
          <a:grpSpLocks/>
        </xdr:cNvGrpSpPr>
      </xdr:nvGrpSpPr>
      <xdr:grpSpPr bwMode="auto">
        <a:xfrm>
          <a:off x="5733884" y="837869"/>
          <a:ext cx="3770906" cy="388620"/>
          <a:chOff x="3087147" y="2409825"/>
          <a:chExt cx="2959861" cy="301073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 bwMode="auto">
          <a:xfrm>
            <a:off x="4677520" y="2527893"/>
            <a:ext cx="334483" cy="123971"/>
          </a:xfrm>
          <a:prstGeom prst="rect">
            <a:avLst/>
          </a:prstGeom>
          <a:solidFill>
            <a:srgbClr val="FFFF5D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4" name="AutoShape 34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5706214" y="2498376"/>
            <a:ext cx="340794" cy="212522"/>
          </a:xfrm>
          <a:prstGeom prst="wave">
            <a:avLst>
              <a:gd name="adj1" fmla="val 20644"/>
              <a:gd name="adj2" fmla="val 7681"/>
            </a:avLst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5" name="Ellipse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/>
        </xdr:nvSpPr>
        <xdr:spPr bwMode="auto">
          <a:xfrm>
            <a:off x="4090597" y="2521989"/>
            <a:ext cx="391282" cy="135778"/>
          </a:xfrm>
          <a:prstGeom prst="ellipse">
            <a:avLst/>
          </a:prstGeom>
          <a:solidFill>
            <a:srgbClr val="3399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6" name="Croi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/>
        </xdr:nvSpPr>
        <xdr:spPr bwMode="auto">
          <a:xfrm>
            <a:off x="3087147" y="2451149"/>
            <a:ext cx="265062" cy="253846"/>
          </a:xfrm>
          <a:prstGeom prst="plus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7" name="Étoile à 5 branches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 bwMode="auto">
          <a:xfrm>
            <a:off x="3566783" y="2409825"/>
            <a:ext cx="328172" cy="301073"/>
          </a:xfrm>
          <a:prstGeom prst="star5">
            <a:avLst/>
          </a:prstGeom>
          <a:solidFill>
            <a:srgbClr val="EAB6A8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  <xdr:sp macro="" textlink="">
        <xdr:nvSpPr>
          <xdr:cNvPr id="18" name="Triangle isocèle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 bwMode="auto">
          <a:xfrm>
            <a:off x="5251821" y="2480666"/>
            <a:ext cx="283995" cy="206619"/>
          </a:xfrm>
          <a:prstGeom prst="triangle">
            <a:avLst/>
          </a:prstGeom>
          <a:solidFill>
            <a:srgbClr val="B5FDC3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anchor="ctr"/>
          <a:lstStyle/>
          <a:p>
            <a:endParaRPr lang="fr-FR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518160</xdr:colOff>
      <xdr:row>5</xdr:row>
      <xdr:rowOff>53340</xdr:rowOff>
    </xdr:from>
    <xdr:to>
      <xdr:col>14</xdr:col>
      <xdr:colOff>502920</xdr:colOff>
      <xdr:row>26</xdr:row>
      <xdr:rowOff>83820</xdr:rowOff>
    </xdr:to>
    <xdr:graphicFrame macro="">
      <xdr:nvGraphicFramePr>
        <xdr:cNvPr id="23593" name="Graphique 1">
          <a:extLst>
            <a:ext uri="{FF2B5EF4-FFF2-40B4-BE49-F238E27FC236}">
              <a16:creationId xmlns:a16="http://schemas.microsoft.com/office/drawing/2014/main" id="{00000000-0008-0000-0600-000029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8</xdr:row>
      <xdr:rowOff>7620</xdr:rowOff>
    </xdr:from>
    <xdr:to>
      <xdr:col>6</xdr:col>
      <xdr:colOff>175260</xdr:colOff>
      <xdr:row>26</xdr:row>
      <xdr:rowOff>99060</xdr:rowOff>
    </xdr:to>
    <xdr:graphicFrame macro="">
      <xdr:nvGraphicFramePr>
        <xdr:cNvPr id="23594" name="Graphique 2">
          <a:extLst>
            <a:ext uri="{FF2B5EF4-FFF2-40B4-BE49-F238E27FC236}">
              <a16:creationId xmlns:a16="http://schemas.microsoft.com/office/drawing/2014/main" id="{00000000-0008-0000-0600-00002A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62284</xdr:colOff>
      <xdr:row>1</xdr:row>
      <xdr:rowOff>46468</xdr:rowOff>
    </xdr:from>
    <xdr:to>
      <xdr:col>22</xdr:col>
      <xdr:colOff>204300</xdr:colOff>
      <xdr:row>2</xdr:row>
      <xdr:rowOff>205174</xdr:rowOff>
    </xdr:to>
    <xdr:sp macro="" textlink="">
      <xdr:nvSpPr>
        <xdr:cNvPr id="5" name="Étoile à 5 branches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 bwMode="auto">
        <a:xfrm>
          <a:off x="5330023" y="278381"/>
          <a:ext cx="366318" cy="348620"/>
        </a:xfrm>
        <a:prstGeom prst="star5">
          <a:avLst/>
        </a:prstGeom>
        <a:solidFill>
          <a:srgbClr val="0000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/>
        <a:p>
          <a:endParaRPr lang="fr-FR"/>
        </a:p>
      </xdr:txBody>
    </xdr:sp>
    <xdr:clientData/>
  </xdr:twoCellAnchor>
  <xdr:twoCellAnchor>
    <xdr:from>
      <xdr:col>37</xdr:col>
      <xdr:colOff>80497</xdr:colOff>
      <xdr:row>1</xdr:row>
      <xdr:rowOff>115702</xdr:rowOff>
    </xdr:from>
    <xdr:to>
      <xdr:col>38</xdr:col>
      <xdr:colOff>175225</xdr:colOff>
      <xdr:row>2</xdr:row>
      <xdr:rowOff>188132</xdr:rowOff>
    </xdr:to>
    <xdr:sp macro="" textlink="">
      <xdr:nvSpPr>
        <xdr:cNvPr id="6" name="Triangle isocè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 bwMode="auto">
        <a:xfrm>
          <a:off x="8992584" y="347615"/>
          <a:ext cx="326641" cy="254647"/>
        </a:xfrm>
        <a:prstGeom prst="triangle">
          <a:avLst/>
        </a:prstGeom>
        <a:solidFill>
          <a:srgbClr val="00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/>
        <a:p>
          <a:endParaRPr lang="fr-FR"/>
        </a:p>
      </xdr:txBody>
    </xdr:sp>
    <xdr:clientData/>
  </xdr:twoCellAnchor>
  <xdr:twoCellAnchor>
    <xdr:from>
      <xdr:col>12</xdr:col>
      <xdr:colOff>229310</xdr:colOff>
      <xdr:row>2</xdr:row>
      <xdr:rowOff>7554</xdr:rowOff>
    </xdr:from>
    <xdr:to>
      <xdr:col>14</xdr:col>
      <xdr:colOff>207085</xdr:colOff>
      <xdr:row>2</xdr:row>
      <xdr:rowOff>171268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 bwMode="auto">
        <a:xfrm>
          <a:off x="1613168" y="411745"/>
          <a:ext cx="441601" cy="173475"/>
        </a:xfrm>
        <a:prstGeom prst="rect">
          <a:avLst/>
        </a:prstGeom>
        <a:solidFill>
          <a:srgbClr val="00FF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/>
        <a:p>
          <a:endParaRPr lang="fr-FR"/>
        </a:p>
      </xdr:txBody>
    </xdr:sp>
    <xdr:clientData/>
  </xdr:twoCellAnchor>
  <xdr:twoCellAnchor>
    <xdr:from>
      <xdr:col>29</xdr:col>
      <xdr:colOff>16156</xdr:colOff>
      <xdr:row>1</xdr:row>
      <xdr:rowOff>141475</xdr:rowOff>
    </xdr:from>
    <xdr:to>
      <xdr:col>30</xdr:col>
      <xdr:colOff>197372</xdr:colOff>
      <xdr:row>2</xdr:row>
      <xdr:rowOff>223244</xdr:rowOff>
    </xdr:to>
    <xdr:sp macro="" textlink="">
      <xdr:nvSpPr>
        <xdr:cNvPr id="8" name="AutoShape 3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7106069" y="373388"/>
          <a:ext cx="405356" cy="263986"/>
        </a:xfrm>
        <a:prstGeom prst="wave">
          <a:avLst>
            <a:gd name="adj1" fmla="val 20644"/>
            <a:gd name="adj2" fmla="val 7681"/>
          </a:avLst>
        </a:prstGeom>
        <a:solidFill>
          <a:srgbClr val="FDE2CB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/>
        <a:p>
          <a:endParaRPr lang="fr-FR"/>
        </a:p>
      </xdr:txBody>
    </xdr:sp>
    <xdr:clientData/>
  </xdr:twoCellAnchor>
  <xdr:twoCellAnchor editAs="oneCell">
    <xdr:from>
      <xdr:col>16</xdr:col>
      <xdr:colOff>175260</xdr:colOff>
      <xdr:row>6</xdr:row>
      <xdr:rowOff>22860</xdr:rowOff>
    </xdr:from>
    <xdr:to>
      <xdr:col>19</xdr:col>
      <xdr:colOff>60960</xdr:colOff>
      <xdr:row>8</xdr:row>
      <xdr:rowOff>152400</xdr:rowOff>
    </xdr:to>
    <xdr:pic>
      <xdr:nvPicPr>
        <xdr:cNvPr id="28188" name="Picture 47" descr="TIP2MON 3">
          <a:extLst>
            <a:ext uri="{FF2B5EF4-FFF2-40B4-BE49-F238E27FC236}">
              <a16:creationId xmlns:a16="http://schemas.microsoft.com/office/drawing/2014/main" id="{00000000-0008-0000-0700-00001C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" t="4961" r="21696"/>
        <a:stretch>
          <a:fillRect/>
        </a:stretch>
      </xdr:blipFill>
      <xdr:spPr bwMode="auto">
        <a:xfrm>
          <a:off x="4533900" y="1341120"/>
          <a:ext cx="57912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198120</xdr:colOff>
      <xdr:row>6</xdr:row>
      <xdr:rowOff>22860</xdr:rowOff>
    </xdr:from>
    <xdr:to>
      <xdr:col>27</xdr:col>
      <xdr:colOff>68580</xdr:colOff>
      <xdr:row>8</xdr:row>
      <xdr:rowOff>152400</xdr:rowOff>
    </xdr:to>
    <xdr:pic>
      <xdr:nvPicPr>
        <xdr:cNvPr id="28189" name="Picture 47" descr="TIP2MON 3">
          <a:extLst>
            <a:ext uri="{FF2B5EF4-FFF2-40B4-BE49-F238E27FC236}">
              <a16:creationId xmlns:a16="http://schemas.microsoft.com/office/drawing/2014/main" id="{00000000-0008-0000-0700-00001D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" t="4961" r="21696"/>
        <a:stretch>
          <a:fillRect/>
        </a:stretch>
      </xdr:blipFill>
      <xdr:spPr bwMode="auto">
        <a:xfrm>
          <a:off x="6431280" y="1341120"/>
          <a:ext cx="56388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190500</xdr:colOff>
      <xdr:row>6</xdr:row>
      <xdr:rowOff>22860</xdr:rowOff>
    </xdr:from>
    <xdr:to>
      <xdr:col>35</xdr:col>
      <xdr:colOff>68580</xdr:colOff>
      <xdr:row>8</xdr:row>
      <xdr:rowOff>152400</xdr:rowOff>
    </xdr:to>
    <xdr:pic>
      <xdr:nvPicPr>
        <xdr:cNvPr id="28190" name="Picture 47" descr="TIP2MON 3">
          <a:extLst>
            <a:ext uri="{FF2B5EF4-FFF2-40B4-BE49-F238E27FC236}">
              <a16:creationId xmlns:a16="http://schemas.microsoft.com/office/drawing/2014/main" id="{00000000-0008-0000-0700-00001E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" t="4961" r="21696"/>
        <a:stretch>
          <a:fillRect/>
        </a:stretch>
      </xdr:blipFill>
      <xdr:spPr bwMode="auto">
        <a:xfrm>
          <a:off x="8298180" y="1341120"/>
          <a:ext cx="5715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7620</xdr:colOff>
      <xdr:row>6</xdr:row>
      <xdr:rowOff>22860</xdr:rowOff>
    </xdr:from>
    <xdr:to>
      <xdr:col>43</xdr:col>
      <xdr:colOff>121920</xdr:colOff>
      <xdr:row>8</xdr:row>
      <xdr:rowOff>152400</xdr:rowOff>
    </xdr:to>
    <xdr:pic>
      <xdr:nvPicPr>
        <xdr:cNvPr id="28191" name="Picture 47" descr="TIP2MON 3">
          <a:extLst>
            <a:ext uri="{FF2B5EF4-FFF2-40B4-BE49-F238E27FC236}">
              <a16:creationId xmlns:a16="http://schemas.microsoft.com/office/drawing/2014/main" id="{00000000-0008-0000-0700-00001F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" t="4961" r="21696"/>
        <a:stretch>
          <a:fillRect/>
        </a:stretch>
      </xdr:blipFill>
      <xdr:spPr bwMode="auto">
        <a:xfrm>
          <a:off x="10226040" y="1341120"/>
          <a:ext cx="5715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190500</xdr:colOff>
      <xdr:row>6</xdr:row>
      <xdr:rowOff>22860</xdr:rowOff>
    </xdr:from>
    <xdr:to>
      <xdr:col>11</xdr:col>
      <xdr:colOff>60960</xdr:colOff>
      <xdr:row>8</xdr:row>
      <xdr:rowOff>152400</xdr:rowOff>
    </xdr:to>
    <xdr:pic>
      <xdr:nvPicPr>
        <xdr:cNvPr id="28192" name="Picture 47" descr="TIP2MON 3">
          <a:extLst>
            <a:ext uri="{FF2B5EF4-FFF2-40B4-BE49-F238E27FC236}">
              <a16:creationId xmlns:a16="http://schemas.microsoft.com/office/drawing/2014/main" id="{00000000-0008-0000-0700-000020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" t="4961" r="21696"/>
        <a:stretch>
          <a:fillRect/>
        </a:stretch>
      </xdr:blipFill>
      <xdr:spPr bwMode="auto">
        <a:xfrm>
          <a:off x="2674620" y="1341120"/>
          <a:ext cx="56388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167640</xdr:colOff>
      <xdr:row>1</xdr:row>
      <xdr:rowOff>53340</xdr:rowOff>
    </xdr:from>
    <xdr:to>
      <xdr:col>47</xdr:col>
      <xdr:colOff>45720</xdr:colOff>
      <xdr:row>2</xdr:row>
      <xdr:rowOff>251460</xdr:rowOff>
    </xdr:to>
    <xdr:pic>
      <xdr:nvPicPr>
        <xdr:cNvPr id="28193" name="Picture 46" descr="TIP3fab 7">
          <a:extLst>
            <a:ext uri="{FF2B5EF4-FFF2-40B4-BE49-F238E27FC236}">
              <a16:creationId xmlns:a16="http://schemas.microsoft.com/office/drawing/2014/main" id="{00000000-0008-0000-0700-000021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571" r="25301" b="12415"/>
        <a:stretch>
          <a:fillRect/>
        </a:stretch>
      </xdr:blipFill>
      <xdr:spPr bwMode="auto">
        <a:xfrm>
          <a:off x="11079480" y="274320"/>
          <a:ext cx="60198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25336</xdr:colOff>
      <xdr:row>7</xdr:row>
      <xdr:rowOff>23240</xdr:rowOff>
    </xdr:from>
    <xdr:to>
      <xdr:col>8</xdr:col>
      <xdr:colOff>224589</xdr:colOff>
      <xdr:row>7</xdr:row>
      <xdr:rowOff>168483</xdr:rowOff>
    </xdr:to>
    <xdr:sp macro="" textlink="">
      <xdr:nvSpPr>
        <xdr:cNvPr id="33" name="Flèche droit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721075" y="1538957"/>
          <a:ext cx="183313" cy="145243"/>
        </a:xfrm>
        <a:prstGeom prst="rightArrow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FR"/>
        </a:p>
      </xdr:txBody>
    </xdr:sp>
    <xdr:clientData/>
  </xdr:twoCellAnchor>
  <xdr:twoCellAnchor>
    <xdr:from>
      <xdr:col>15</xdr:col>
      <xdr:colOff>231737</xdr:colOff>
      <xdr:row>9</xdr:row>
      <xdr:rowOff>30860</xdr:rowOff>
    </xdr:from>
    <xdr:to>
      <xdr:col>16</xdr:col>
      <xdr:colOff>183137</xdr:colOff>
      <xdr:row>9</xdr:row>
      <xdr:rowOff>168841</xdr:rowOff>
    </xdr:to>
    <xdr:sp macro="" textlink="">
      <xdr:nvSpPr>
        <xdr:cNvPr id="45" name="Flèche droit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2543247" y="1538957"/>
          <a:ext cx="183313" cy="145243"/>
        </a:xfrm>
        <a:prstGeom prst="rightArrow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FR"/>
        </a:p>
      </xdr:txBody>
    </xdr:sp>
    <xdr:clientData/>
  </xdr:twoCellAnchor>
  <xdr:twoCellAnchor>
    <xdr:from>
      <xdr:col>23</xdr:col>
      <xdr:colOff>193637</xdr:colOff>
      <xdr:row>9</xdr:row>
      <xdr:rowOff>30860</xdr:rowOff>
    </xdr:from>
    <xdr:to>
      <xdr:col>24</xdr:col>
      <xdr:colOff>137123</xdr:colOff>
      <xdr:row>9</xdr:row>
      <xdr:rowOff>168841</xdr:rowOff>
    </xdr:to>
    <xdr:sp macro="" textlink="">
      <xdr:nvSpPr>
        <xdr:cNvPr id="46" name="Flèche droite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4360452" y="1538957"/>
          <a:ext cx="183313" cy="145243"/>
        </a:xfrm>
        <a:prstGeom prst="rightArrow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FR"/>
        </a:p>
      </xdr:txBody>
    </xdr:sp>
    <xdr:clientData/>
  </xdr:twoCellAnchor>
  <xdr:twoCellAnchor>
    <xdr:from>
      <xdr:col>31</xdr:col>
      <xdr:colOff>203162</xdr:colOff>
      <xdr:row>9</xdr:row>
      <xdr:rowOff>30860</xdr:rowOff>
    </xdr:from>
    <xdr:to>
      <xdr:col>32</xdr:col>
      <xdr:colOff>146648</xdr:colOff>
      <xdr:row>9</xdr:row>
      <xdr:rowOff>168841</xdr:rowOff>
    </xdr:to>
    <xdr:sp macro="" textlink="">
      <xdr:nvSpPr>
        <xdr:cNvPr id="47" name="Flèche droit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6225281" y="1538957"/>
          <a:ext cx="183313" cy="145243"/>
        </a:xfrm>
        <a:prstGeom prst="rightArrow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FR"/>
        </a:p>
      </xdr:txBody>
    </xdr:sp>
    <xdr:clientData/>
  </xdr:twoCellAnchor>
  <xdr:twoCellAnchor>
    <xdr:from>
      <xdr:col>39</xdr:col>
      <xdr:colOff>222212</xdr:colOff>
      <xdr:row>9</xdr:row>
      <xdr:rowOff>30860</xdr:rowOff>
    </xdr:from>
    <xdr:to>
      <xdr:col>40</xdr:col>
      <xdr:colOff>173612</xdr:colOff>
      <xdr:row>9</xdr:row>
      <xdr:rowOff>168841</xdr:rowOff>
    </xdr:to>
    <xdr:sp macro="" textlink="">
      <xdr:nvSpPr>
        <xdr:cNvPr id="48" name="Flèche droite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8099635" y="1538957"/>
          <a:ext cx="183314" cy="145243"/>
        </a:xfrm>
        <a:prstGeom prst="rightArrow">
          <a:avLst/>
        </a:prstGeom>
        <a:solidFill>
          <a:schemeClr val="bg1">
            <a:lumMod val="5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FR"/>
        </a:p>
      </xdr:txBody>
    </xdr:sp>
    <xdr:clientData/>
  </xdr:twoCellAnchor>
  <xdr:twoCellAnchor editAs="oneCell">
    <xdr:from>
      <xdr:col>6</xdr:col>
      <xdr:colOff>22860</xdr:colOff>
      <xdr:row>6</xdr:row>
      <xdr:rowOff>38100</xdr:rowOff>
    </xdr:from>
    <xdr:to>
      <xdr:col>8</xdr:col>
      <xdr:colOff>60960</xdr:colOff>
      <xdr:row>8</xdr:row>
      <xdr:rowOff>38100</xdr:rowOff>
    </xdr:to>
    <xdr:pic>
      <xdr:nvPicPr>
        <xdr:cNvPr id="28199" name="Picture 32" descr="TIP5e¦ütu-fin E¦üTU1">
          <a:extLst>
            <a:ext uri="{FF2B5EF4-FFF2-40B4-BE49-F238E27FC236}">
              <a16:creationId xmlns:a16="http://schemas.microsoft.com/office/drawing/2014/main" id="{00000000-0008-0000-0700-0000276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1" t="27785" r="20107" b="17970"/>
        <a:stretch>
          <a:fillRect/>
        </a:stretch>
      </xdr:blipFill>
      <xdr:spPr bwMode="auto">
        <a:xfrm>
          <a:off x="2034540" y="1356360"/>
          <a:ext cx="51054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90446</xdr:colOff>
      <xdr:row>1</xdr:row>
      <xdr:rowOff>157373</xdr:rowOff>
    </xdr:from>
    <xdr:to>
      <xdr:col>10</xdr:col>
      <xdr:colOff>98730</xdr:colOff>
      <xdr:row>2</xdr:row>
      <xdr:rowOff>190500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 rot="5400000">
          <a:off x="2845079" y="492816"/>
          <a:ext cx="215344" cy="8284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prstDash val="lg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13</xdr:row>
      <xdr:rowOff>83820</xdr:rowOff>
    </xdr:from>
    <xdr:to>
      <xdr:col>49</xdr:col>
      <xdr:colOff>342900</xdr:colOff>
      <xdr:row>16</xdr:row>
      <xdr:rowOff>152400</xdr:rowOff>
    </xdr:to>
    <xdr:graphicFrame macro="">
      <xdr:nvGraphicFramePr>
        <xdr:cNvPr id="28201" name="Graphique 39">
          <a:extLst>
            <a:ext uri="{FF2B5EF4-FFF2-40B4-BE49-F238E27FC236}">
              <a16:creationId xmlns:a16="http://schemas.microsoft.com/office/drawing/2014/main" id="{00000000-0008-0000-0700-0000296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68580</xdr:colOff>
      <xdr:row>16</xdr:row>
      <xdr:rowOff>60960</xdr:rowOff>
    </xdr:from>
    <xdr:to>
      <xdr:col>49</xdr:col>
      <xdr:colOff>304800</xdr:colOff>
      <xdr:row>19</xdr:row>
      <xdr:rowOff>129540</xdr:rowOff>
    </xdr:to>
    <xdr:graphicFrame macro="">
      <xdr:nvGraphicFramePr>
        <xdr:cNvPr id="28202" name="Graphique 40">
          <a:extLst>
            <a:ext uri="{FF2B5EF4-FFF2-40B4-BE49-F238E27FC236}">
              <a16:creationId xmlns:a16="http://schemas.microsoft.com/office/drawing/2014/main" id="{00000000-0008-0000-0700-00002A6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50075</xdr:colOff>
      <xdr:row>1</xdr:row>
      <xdr:rowOff>144780</xdr:rowOff>
    </xdr:from>
    <xdr:to>
      <xdr:col>17</xdr:col>
      <xdr:colOff>364672</xdr:colOff>
      <xdr:row>10</xdr:row>
      <xdr:rowOff>76200</xdr:rowOff>
    </xdr:to>
    <xdr:graphicFrame macro="">
      <xdr:nvGraphicFramePr>
        <xdr:cNvPr id="28897" name="Graphique 1">
          <a:extLst>
            <a:ext uri="{FF2B5EF4-FFF2-40B4-BE49-F238E27FC236}">
              <a16:creationId xmlns:a16="http://schemas.microsoft.com/office/drawing/2014/main" id="{00000000-0008-0000-0900-0000E1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463732</xdr:colOff>
      <xdr:row>1</xdr:row>
      <xdr:rowOff>198120</xdr:rowOff>
    </xdr:from>
    <xdr:to>
      <xdr:col>23</xdr:col>
      <xdr:colOff>607423</xdr:colOff>
      <xdr:row>10</xdr:row>
      <xdr:rowOff>76200</xdr:rowOff>
    </xdr:to>
    <xdr:graphicFrame macro="">
      <xdr:nvGraphicFramePr>
        <xdr:cNvPr id="28898" name="Graphique 2">
          <a:extLst>
            <a:ext uri="{FF2B5EF4-FFF2-40B4-BE49-F238E27FC236}">
              <a16:creationId xmlns:a16="http://schemas.microsoft.com/office/drawing/2014/main" id="{00000000-0008-0000-0900-0000E2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57695</xdr:colOff>
      <xdr:row>10</xdr:row>
      <xdr:rowOff>144780</xdr:rowOff>
    </xdr:from>
    <xdr:to>
      <xdr:col>17</xdr:col>
      <xdr:colOff>372292</xdr:colOff>
      <xdr:row>20</xdr:row>
      <xdr:rowOff>228600</xdr:rowOff>
    </xdr:to>
    <xdr:graphicFrame macro="">
      <xdr:nvGraphicFramePr>
        <xdr:cNvPr id="28899" name="Graphique 3">
          <a:extLst>
            <a:ext uri="{FF2B5EF4-FFF2-40B4-BE49-F238E27FC236}">
              <a16:creationId xmlns:a16="http://schemas.microsoft.com/office/drawing/2014/main" id="{00000000-0008-0000-0900-0000E3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471352</xdr:colOff>
      <xdr:row>10</xdr:row>
      <xdr:rowOff>144780</xdr:rowOff>
    </xdr:from>
    <xdr:to>
      <xdr:col>23</xdr:col>
      <xdr:colOff>622663</xdr:colOff>
      <xdr:row>20</xdr:row>
      <xdr:rowOff>228600</xdr:rowOff>
    </xdr:to>
    <xdr:graphicFrame macro="">
      <xdr:nvGraphicFramePr>
        <xdr:cNvPr id="28900" name="Graphique 4">
          <a:extLst>
            <a:ext uri="{FF2B5EF4-FFF2-40B4-BE49-F238E27FC236}">
              <a16:creationId xmlns:a16="http://schemas.microsoft.com/office/drawing/2014/main" id="{00000000-0008-0000-0900-0000E47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346294</xdr:colOff>
      <xdr:row>2</xdr:row>
      <xdr:rowOff>179295</xdr:rowOff>
    </xdr:from>
    <xdr:to>
      <xdr:col>15</xdr:col>
      <xdr:colOff>677031</xdr:colOff>
      <xdr:row>3</xdr:row>
      <xdr:rowOff>47912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8684751" y="669152"/>
          <a:ext cx="330737" cy="21696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580529</xdr:colOff>
      <xdr:row>2</xdr:row>
      <xdr:rowOff>145678</xdr:rowOff>
    </xdr:from>
    <xdr:to>
      <xdr:col>22</xdr:col>
      <xdr:colOff>136187</xdr:colOff>
      <xdr:row>3</xdr:row>
      <xdr:rowOff>7063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CxnSpPr/>
      </xdr:nvCxnSpPr>
      <xdr:spPr>
        <a:xfrm>
          <a:off x="13621615" y="635535"/>
          <a:ext cx="339429" cy="20972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610560</xdr:colOff>
      <xdr:row>10</xdr:row>
      <xdr:rowOff>313764</xdr:rowOff>
    </xdr:from>
    <xdr:to>
      <xdr:col>22</xdr:col>
      <xdr:colOff>158324</xdr:colOff>
      <xdr:row>11</xdr:row>
      <xdr:rowOff>182382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CxnSpPr/>
      </xdr:nvCxnSpPr>
      <xdr:spPr>
        <a:xfrm>
          <a:off x="13651646" y="3557707"/>
          <a:ext cx="331535" cy="216961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756237</xdr:colOff>
      <xdr:row>10</xdr:row>
      <xdr:rowOff>186913</xdr:rowOff>
    </xdr:from>
    <xdr:to>
      <xdr:col>15</xdr:col>
      <xdr:colOff>304001</xdr:colOff>
      <xdr:row>11</xdr:row>
      <xdr:rowOff>40568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CxnSpPr/>
      </xdr:nvCxnSpPr>
      <xdr:spPr>
        <a:xfrm flipV="1">
          <a:off x="8310923" y="3430856"/>
          <a:ext cx="331535" cy="201998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9"/>
  <sheetViews>
    <sheetView showGridLines="0" workbookViewId="0"/>
  </sheetViews>
  <sheetFormatPr baseColWidth="10" defaultColWidth="11.41796875" defaultRowHeight="13.8" x14ac:dyDescent="0.55000000000000004"/>
  <cols>
    <col min="1" max="1" width="2.26171875" style="2" customWidth="1"/>
    <col min="2" max="2" width="13.41796875" style="2" customWidth="1"/>
    <col min="3" max="3" width="39.26171875" style="2" customWidth="1"/>
    <col min="4" max="4" width="6.41796875" style="2" customWidth="1"/>
    <col min="5" max="5" width="39.26171875" style="2" customWidth="1"/>
    <col min="6" max="16384" width="11.41796875" style="2"/>
  </cols>
  <sheetData>
    <row r="1" spans="1:5" x14ac:dyDescent="0.55000000000000004">
      <c r="B1" s="144" t="s">
        <v>120</v>
      </c>
    </row>
    <row r="2" spans="1:5" ht="18" customHeight="1" x14ac:dyDescent="0.55000000000000004">
      <c r="B2" s="135"/>
      <c r="C2" s="130" t="s">
        <v>25</v>
      </c>
    </row>
    <row r="3" spans="1:5" ht="18" customHeight="1" x14ac:dyDescent="0.55000000000000004">
      <c r="A3" s="135"/>
      <c r="B3" s="135"/>
      <c r="C3" s="130" t="s">
        <v>12</v>
      </c>
    </row>
    <row r="4" spans="1:5" ht="4.5" customHeight="1" x14ac:dyDescent="0.55000000000000004">
      <c r="A4" s="129"/>
      <c r="B4" s="129"/>
    </row>
    <row r="5" spans="1:5" ht="16.149999999999999" customHeight="1" x14ac:dyDescent="0.55000000000000004">
      <c r="B5" s="215" t="s">
        <v>114</v>
      </c>
      <c r="C5" s="136" t="s">
        <v>94</v>
      </c>
      <c r="D5" s="145" t="s">
        <v>105</v>
      </c>
      <c r="E5"/>
    </row>
    <row r="6" spans="1:5" ht="4.9000000000000004" customHeight="1" x14ac:dyDescent="0.55000000000000004">
      <c r="B6" s="216"/>
      <c r="C6" s="3"/>
      <c r="D6" s="145"/>
      <c r="E6" s="3"/>
    </row>
    <row r="7" spans="1:5" ht="16.149999999999999" customHeight="1" x14ac:dyDescent="0.55000000000000004">
      <c r="B7" s="216"/>
      <c r="C7" s="137" t="s">
        <v>44</v>
      </c>
      <c r="D7" s="145" t="s">
        <v>107</v>
      </c>
      <c r="E7" s="3"/>
    </row>
    <row r="8" spans="1:5" ht="4.9000000000000004" customHeight="1" x14ac:dyDescent="0.55000000000000004">
      <c r="B8" s="216"/>
      <c r="C8" s="3"/>
      <c r="D8" s="145"/>
      <c r="E8" s="3"/>
    </row>
    <row r="9" spans="1:5" ht="16.149999999999999" customHeight="1" x14ac:dyDescent="0.55000000000000004">
      <c r="B9" s="216"/>
      <c r="C9" s="138" t="s">
        <v>117</v>
      </c>
      <c r="D9" s="145" t="s">
        <v>116</v>
      </c>
      <c r="E9"/>
    </row>
    <row r="10" spans="1:5" ht="4.9000000000000004" customHeight="1" x14ac:dyDescent="0.55000000000000004">
      <c r="B10" s="216"/>
      <c r="C10" s="3"/>
      <c r="D10" s="145"/>
      <c r="E10" s="3"/>
    </row>
    <row r="11" spans="1:5" ht="16.149999999999999" customHeight="1" x14ac:dyDescent="0.55000000000000004">
      <c r="B11" s="216"/>
      <c r="C11" s="139" t="s">
        <v>83</v>
      </c>
      <c r="D11" s="145" t="s">
        <v>106</v>
      </c>
      <c r="E11" s="130"/>
    </row>
    <row r="12" spans="1:5" ht="4.9000000000000004" customHeight="1" x14ac:dyDescent="0.55000000000000004">
      <c r="B12" s="216"/>
      <c r="C12" s="3"/>
      <c r="D12" s="145"/>
      <c r="E12" s="130"/>
    </row>
    <row r="13" spans="1:5" ht="16.149999999999999" customHeight="1" x14ac:dyDescent="0.55000000000000004">
      <c r="B13" s="217"/>
      <c r="C13" s="140" t="s">
        <v>131</v>
      </c>
      <c r="D13" s="145" t="s">
        <v>132</v>
      </c>
      <c r="E13" s="130"/>
    </row>
    <row r="14" spans="1:5" ht="15.75" customHeight="1" x14ac:dyDescent="0.55000000000000004">
      <c r="D14" s="130"/>
      <c r="E14" s="130"/>
    </row>
    <row r="15" spans="1:5" ht="4.9000000000000004" customHeight="1" x14ac:dyDescent="0.55000000000000004">
      <c r="D15" s="130"/>
      <c r="E15" s="130"/>
    </row>
    <row r="16" spans="1:5" ht="20.25" customHeight="1" x14ac:dyDescent="0.55000000000000004">
      <c r="B16" s="214" t="s">
        <v>111</v>
      </c>
      <c r="C16" s="133" t="s">
        <v>52</v>
      </c>
      <c r="D16" s="146" t="s">
        <v>109</v>
      </c>
      <c r="E16" s="130"/>
    </row>
    <row r="17" spans="2:5" ht="4.9000000000000004" customHeight="1" x14ac:dyDescent="0.55000000000000004">
      <c r="B17" s="214"/>
      <c r="D17" s="145"/>
      <c r="E17" s="130"/>
    </row>
    <row r="18" spans="2:5" ht="20.25" customHeight="1" x14ac:dyDescent="0.55000000000000004">
      <c r="B18" s="214"/>
      <c r="C18" s="132" t="s">
        <v>126</v>
      </c>
      <c r="D18" s="146" t="s">
        <v>108</v>
      </c>
      <c r="E18" s="130"/>
    </row>
    <row r="19" spans="2:5" ht="4.9000000000000004" customHeight="1" x14ac:dyDescent="0.55000000000000004">
      <c r="B19" s="214"/>
      <c r="D19" s="146"/>
      <c r="E19" s="130"/>
    </row>
    <row r="20" spans="2:5" ht="20.25" customHeight="1" x14ac:dyDescent="0.55000000000000004">
      <c r="B20" s="214"/>
      <c r="C20" s="134" t="s">
        <v>104</v>
      </c>
      <c r="D20" s="146" t="s">
        <v>110</v>
      </c>
      <c r="E20" s="130"/>
    </row>
    <row r="22" spans="2:5" ht="15" x14ac:dyDescent="0.55000000000000004">
      <c r="B22" s="143" t="s">
        <v>62</v>
      </c>
      <c r="C22" s="138" t="s">
        <v>118</v>
      </c>
      <c r="D22" s="145" t="s">
        <v>119</v>
      </c>
    </row>
    <row r="24" spans="2:5" ht="14.1" x14ac:dyDescent="0.55000000000000004">
      <c r="B24" s="131" t="s">
        <v>13</v>
      </c>
      <c r="C24" s="2" t="s">
        <v>14</v>
      </c>
    </row>
    <row r="25" spans="2:5" x14ac:dyDescent="0.55000000000000004">
      <c r="C25" s="2" t="s">
        <v>15</v>
      </c>
    </row>
    <row r="26" spans="2:5" ht="6.75" customHeight="1" x14ac:dyDescent="0.55000000000000004">
      <c r="B26" s="1"/>
    </row>
    <row r="27" spans="2:5" ht="14.1" x14ac:dyDescent="0.55000000000000004">
      <c r="B27" s="131" t="s">
        <v>16</v>
      </c>
      <c r="C27" s="2" t="s">
        <v>17</v>
      </c>
    </row>
    <row r="28" spans="2:5" ht="9" customHeight="1" x14ac:dyDescent="0.55000000000000004"/>
    <row r="29" spans="2:5" ht="14.1" x14ac:dyDescent="0.55000000000000004">
      <c r="B29" s="131" t="s">
        <v>112</v>
      </c>
      <c r="C29" s="2" t="s">
        <v>113</v>
      </c>
    </row>
  </sheetData>
  <sheetProtection sheet="1" objects="1" scenarios="1"/>
  <mergeCells count="2">
    <mergeCell ref="B16:B20"/>
    <mergeCell ref="B5:B13"/>
  </mergeCells>
  <hyperlinks>
    <hyperlink ref="C5" location="'Données Simulation 1'!A1" display="Données Simulation 1" xr:uid="{00000000-0004-0000-0000-000000000000}"/>
    <hyperlink ref="C9" location="'Performances Simul. 1'!A1" display="Performances Simulation 1" xr:uid="{00000000-0004-0000-0000-000001000000}"/>
    <hyperlink ref="C11" location="'Takt Time'!A1" display="Takt time" xr:uid="{00000000-0004-0000-0000-000002000000}"/>
    <hyperlink ref="C13" location="TRG!A1" display="TRG" xr:uid="{00000000-0004-0000-0000-000003000000}"/>
    <hyperlink ref="C7" location="Qualité!A1" display="Qualité" xr:uid="{00000000-0004-0000-0000-000004000000}"/>
    <hyperlink ref="C18" location="'Graphique des flux'!A1" display="Graphique de Flux" xr:uid="{00000000-0004-0000-0000-000005000000}"/>
    <hyperlink ref="C16" location="Productivité!A1" display="Productivité" xr:uid="{00000000-0004-0000-0000-000006000000}"/>
    <hyperlink ref="C20" location="'Enquête motivation'!A1" display="Enquête de motivation" xr:uid="{00000000-0004-0000-0000-000007000000}"/>
    <hyperlink ref="C22" location="'Performances Simul. 2'!A1" display="Performances Simulation 2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S21"/>
  <sheetViews>
    <sheetView showGridLines="0" topLeftCell="A3" zoomScale="79" zoomScaleNormal="100" workbookViewId="0">
      <selection activeCell="R16" sqref="R16"/>
    </sheetView>
  </sheetViews>
  <sheetFormatPr baseColWidth="10" defaultColWidth="11.41796875" defaultRowHeight="13.8" x14ac:dyDescent="0.55000000000000004"/>
  <cols>
    <col min="1" max="1" width="1.41796875" style="2" customWidth="1"/>
    <col min="2" max="2" width="14.41796875" style="2" customWidth="1"/>
    <col min="3" max="3" width="9.41796875" style="2" customWidth="1"/>
    <col min="4" max="7" width="8.41796875" style="2" customWidth="1"/>
    <col min="8" max="8" width="9.83984375" style="2" customWidth="1"/>
    <col min="9" max="9" width="8.41796875" style="2" customWidth="1"/>
    <col min="10" max="10" width="13.68359375" style="2" customWidth="1"/>
    <col min="11" max="11" width="10.578125" style="2" customWidth="1"/>
    <col min="12" max="12" width="8.68359375" style="2" customWidth="1"/>
    <col min="13" max="19" width="9.41796875" style="2" customWidth="1"/>
    <col min="20" max="20" width="9.15625" style="2" customWidth="1"/>
    <col min="21" max="16384" width="11.41796875" style="2"/>
  </cols>
  <sheetData>
    <row r="1" spans="1:19" ht="17.7" x14ac:dyDescent="0.55000000000000004">
      <c r="A1" s="183" t="s">
        <v>94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 ht="20.25" customHeight="1" x14ac:dyDescent="0.55000000000000004"/>
    <row r="3" spans="1:19" ht="17.7" x14ac:dyDescent="0.55000000000000004">
      <c r="E3" s="211" t="s">
        <v>6</v>
      </c>
      <c r="F3" s="212"/>
      <c r="G3" s="212"/>
      <c r="H3" s="213"/>
      <c r="N3" s="206" t="s">
        <v>49</v>
      </c>
      <c r="O3" s="207"/>
      <c r="P3" s="207"/>
      <c r="Q3" s="208"/>
    </row>
    <row r="4" spans="1:19" ht="24" customHeight="1" x14ac:dyDescent="0.55000000000000004">
      <c r="E4" s="209">
        <v>12</v>
      </c>
      <c r="F4" s="209"/>
      <c r="G4" s="210"/>
      <c r="H4" s="210"/>
      <c r="N4" s="203" t="s">
        <v>50</v>
      </c>
      <c r="O4" s="204"/>
      <c r="P4" s="205" t="s">
        <v>51</v>
      </c>
      <c r="Q4" s="205"/>
    </row>
    <row r="5" spans="1:19" ht="21" customHeight="1" x14ac:dyDescent="0.55000000000000004">
      <c r="E5" s="186" t="s">
        <v>54</v>
      </c>
      <c r="F5" s="186"/>
      <c r="G5" s="186" t="s">
        <v>55</v>
      </c>
      <c r="H5" s="186"/>
      <c r="N5" s="10" t="s">
        <v>59</v>
      </c>
      <c r="O5" s="10" t="s">
        <v>60</v>
      </c>
      <c r="P5" s="10" t="s">
        <v>59</v>
      </c>
      <c r="Q5" s="10" t="s">
        <v>60</v>
      </c>
    </row>
    <row r="6" spans="1:19" ht="21" customHeight="1" x14ac:dyDescent="0.55000000000000004">
      <c r="M6" s="10" t="s">
        <v>63</v>
      </c>
      <c r="N6" s="7">
        <v>40</v>
      </c>
      <c r="O6" s="8">
        <v>0</v>
      </c>
      <c r="P6" s="9">
        <v>0</v>
      </c>
      <c r="Q6" s="10">
        <v>0</v>
      </c>
    </row>
    <row r="7" spans="1:19" ht="21" customHeight="1" x14ac:dyDescent="0.55000000000000004">
      <c r="M7" s="10" t="s">
        <v>10</v>
      </c>
      <c r="N7" s="7">
        <v>41</v>
      </c>
      <c r="O7" s="8"/>
      <c r="P7" s="9">
        <f>IF(O7&gt;=O$6,N7-N$6,N7-N$6-1)</f>
        <v>1</v>
      </c>
      <c r="Q7" s="10">
        <f>N7*60+O7-N$6*60-O$6-P7*60</f>
        <v>0</v>
      </c>
    </row>
    <row r="8" spans="1:19" ht="21" customHeight="1" x14ac:dyDescent="0.55000000000000004">
      <c r="B8" s="12"/>
      <c r="C8" s="22" t="s">
        <v>63</v>
      </c>
      <c r="D8" s="22" t="s">
        <v>0</v>
      </c>
      <c r="E8" s="22" t="s">
        <v>1</v>
      </c>
      <c r="F8" s="22" t="s">
        <v>2</v>
      </c>
      <c r="G8" s="22" t="s">
        <v>10</v>
      </c>
      <c r="H8" s="22" t="s">
        <v>3</v>
      </c>
      <c r="I8" s="22" t="s">
        <v>4</v>
      </c>
      <c r="J8" s="22" t="s">
        <v>7</v>
      </c>
      <c r="K8" s="22" t="s">
        <v>48</v>
      </c>
      <c r="M8" s="10" t="s">
        <v>1</v>
      </c>
      <c r="N8" s="7">
        <v>45</v>
      </c>
      <c r="O8" s="8"/>
      <c r="P8" s="9">
        <f>IF(O8&gt;=O$6,N8-N$6,N8-N$6-1)</f>
        <v>5</v>
      </c>
      <c r="Q8" s="10">
        <f>N8*60+O8-N$6*60-O$6-P8*60</f>
        <v>0</v>
      </c>
    </row>
    <row r="9" spans="1:19" ht="21" customHeight="1" x14ac:dyDescent="0.55000000000000004">
      <c r="B9" s="21" t="s">
        <v>64</v>
      </c>
      <c r="C9" s="4">
        <v>1</v>
      </c>
      <c r="D9" s="11">
        <v>1</v>
      </c>
      <c r="E9" s="11">
        <v>2</v>
      </c>
      <c r="F9" s="11">
        <v>1</v>
      </c>
      <c r="G9" s="11">
        <v>1</v>
      </c>
      <c r="H9" s="11">
        <v>1</v>
      </c>
      <c r="I9" s="11">
        <v>1</v>
      </c>
      <c r="J9" s="4">
        <v>1</v>
      </c>
      <c r="K9" s="30">
        <f>SUM(C9:J9)</f>
        <v>9</v>
      </c>
      <c r="M9" s="10" t="s">
        <v>4</v>
      </c>
      <c r="N9" s="7">
        <v>47</v>
      </c>
      <c r="O9" s="8"/>
      <c r="P9" s="9">
        <f>IF(O9&gt;=O$6,N9-N$6,N9-N$6-1)</f>
        <v>7</v>
      </c>
      <c r="Q9" s="10">
        <f>N9*60+O9-N$6*60-O$6-P9*60</f>
        <v>0</v>
      </c>
    </row>
    <row r="10" spans="1:19" ht="21" customHeight="1" x14ac:dyDescent="0.55000000000000004">
      <c r="B10" s="16"/>
      <c r="C10" s="17"/>
      <c r="D10" s="22" t="s">
        <v>0</v>
      </c>
      <c r="E10" s="22" t="s">
        <v>1</v>
      </c>
      <c r="F10" s="22" t="s">
        <v>2</v>
      </c>
      <c r="G10" s="22" t="s">
        <v>10</v>
      </c>
      <c r="H10" s="22" t="s">
        <v>3</v>
      </c>
      <c r="I10" s="22" t="s">
        <v>4</v>
      </c>
      <c r="J10" s="18" t="s">
        <v>41</v>
      </c>
      <c r="M10" s="10" t="s">
        <v>3</v>
      </c>
      <c r="N10" s="7">
        <v>48</v>
      </c>
      <c r="O10" s="8"/>
      <c r="P10" s="9">
        <f>IF(O10&gt;=O$6,N10-N$6,N10-N$6-1)</f>
        <v>8</v>
      </c>
      <c r="Q10" s="10">
        <f>N10*60+O10-N$6*60-O$6-P10*60</f>
        <v>0</v>
      </c>
    </row>
    <row r="11" spans="1:19" ht="21" customHeight="1" x14ac:dyDescent="0.55000000000000004">
      <c r="B11" s="199" t="s">
        <v>69</v>
      </c>
      <c r="C11" s="200"/>
      <c r="D11" s="23">
        <v>25</v>
      </c>
      <c r="E11" s="23">
        <v>43</v>
      </c>
      <c r="F11" s="23">
        <v>19</v>
      </c>
      <c r="G11" s="23">
        <v>26</v>
      </c>
      <c r="H11" s="23">
        <v>34</v>
      </c>
      <c r="I11" s="23">
        <v>16</v>
      </c>
      <c r="J11" s="28">
        <v>67</v>
      </c>
      <c r="M11" s="10" t="s">
        <v>7</v>
      </c>
      <c r="N11" s="7">
        <v>49</v>
      </c>
      <c r="O11" s="8"/>
      <c r="P11" s="9">
        <f>IF(O11&gt;=O$6,N11-N$6,N11-N$6-1)</f>
        <v>9</v>
      </c>
      <c r="Q11" s="10">
        <f>N11*60+O11-N$6*60-O$6-P11*60</f>
        <v>0</v>
      </c>
    </row>
    <row r="12" spans="1:19" ht="21" customHeight="1" x14ac:dyDescent="0.55000000000000004">
      <c r="B12" s="201" t="s">
        <v>46</v>
      </c>
      <c r="C12" s="202"/>
      <c r="D12" s="23">
        <v>3</v>
      </c>
      <c r="E12" s="23">
        <v>2</v>
      </c>
      <c r="F12" s="23">
        <v>2</v>
      </c>
      <c r="G12" s="23">
        <v>0</v>
      </c>
      <c r="H12" s="23">
        <v>5</v>
      </c>
      <c r="I12" s="23">
        <v>2</v>
      </c>
      <c r="J12" s="26">
        <f>SUM(D12:I12)</f>
        <v>14</v>
      </c>
    </row>
    <row r="13" spans="1:19" ht="21" customHeight="1" x14ac:dyDescent="0.55000000000000004">
      <c r="B13" s="201" t="s">
        <v>5</v>
      </c>
      <c r="C13" s="202"/>
      <c r="D13" s="24">
        <f t="shared" ref="D13:J13" si="0">IF(D11=0,0,D12/D11)</f>
        <v>0.12</v>
      </c>
      <c r="E13" s="24">
        <f t="shared" si="0"/>
        <v>4.6511627906976744E-2</v>
      </c>
      <c r="F13" s="24">
        <f t="shared" si="0"/>
        <v>0.10526315789473684</v>
      </c>
      <c r="G13" s="24">
        <f t="shared" si="0"/>
        <v>0</v>
      </c>
      <c r="H13" s="24">
        <f t="shared" si="0"/>
        <v>0.14705882352941177</v>
      </c>
      <c r="I13" s="24">
        <f t="shared" si="0"/>
        <v>0.125</v>
      </c>
      <c r="J13" s="27">
        <f t="shared" si="0"/>
        <v>0.20895522388059701</v>
      </c>
      <c r="L13" s="206" t="s">
        <v>45</v>
      </c>
      <c r="M13" s="207"/>
      <c r="N13" s="207"/>
      <c r="O13" s="207"/>
      <c r="P13" s="207"/>
      <c r="Q13" s="207"/>
      <c r="R13" s="207"/>
      <c r="S13" s="208"/>
    </row>
    <row r="14" spans="1:19" ht="30" customHeight="1" x14ac:dyDescent="0.55000000000000004">
      <c r="B14" s="199" t="s">
        <v>47</v>
      </c>
      <c r="C14" s="200"/>
      <c r="D14" s="25">
        <f t="shared" ref="D14:J14" si="1">D11-D12</f>
        <v>22</v>
      </c>
      <c r="E14" s="25">
        <f t="shared" si="1"/>
        <v>41</v>
      </c>
      <c r="F14" s="25">
        <f t="shared" si="1"/>
        <v>17</v>
      </c>
      <c r="G14" s="25">
        <f t="shared" si="1"/>
        <v>26</v>
      </c>
      <c r="H14" s="25">
        <f t="shared" si="1"/>
        <v>29</v>
      </c>
      <c r="I14" s="25">
        <f t="shared" si="1"/>
        <v>14</v>
      </c>
      <c r="J14" s="29">
        <f t="shared" si="1"/>
        <v>53</v>
      </c>
      <c r="L14" s="13" t="s">
        <v>0</v>
      </c>
      <c r="M14" s="13" t="s">
        <v>1</v>
      </c>
      <c r="N14" s="13" t="s">
        <v>2</v>
      </c>
      <c r="O14" s="13" t="s">
        <v>10</v>
      </c>
      <c r="P14" s="13" t="s">
        <v>3</v>
      </c>
      <c r="Q14" s="13" t="s">
        <v>4</v>
      </c>
      <c r="R14" s="13" t="s">
        <v>7</v>
      </c>
      <c r="S14" s="13" t="s">
        <v>48</v>
      </c>
    </row>
    <row r="15" spans="1:19" ht="23.25" customHeight="1" x14ac:dyDescent="0.55000000000000004">
      <c r="I15" s="1"/>
      <c r="J15" s="1"/>
      <c r="L15" s="6">
        <v>2</v>
      </c>
      <c r="M15" s="6">
        <v>4</v>
      </c>
      <c r="N15" s="6">
        <v>2</v>
      </c>
      <c r="O15" s="6">
        <v>4</v>
      </c>
      <c r="P15" s="6">
        <v>8</v>
      </c>
      <c r="Q15" s="6">
        <v>2</v>
      </c>
      <c r="R15" s="6">
        <v>2</v>
      </c>
      <c r="S15" s="15">
        <f>SUM(L15:R15)</f>
        <v>24</v>
      </c>
    </row>
    <row r="16" spans="1:19" ht="23.25" customHeight="1" x14ac:dyDescent="0.55000000000000004">
      <c r="B16" s="180" t="s">
        <v>52</v>
      </c>
      <c r="C16" s="181"/>
      <c r="D16" s="181"/>
      <c r="E16" s="181"/>
      <c r="F16" s="181"/>
      <c r="G16" s="182"/>
    </row>
    <row r="17" spans="2:10" ht="23.25" customHeight="1" x14ac:dyDescent="0.55000000000000004">
      <c r="B17" s="198" t="s">
        <v>67</v>
      </c>
      <c r="C17" s="198"/>
      <c r="D17" s="197" t="s">
        <v>24</v>
      </c>
      <c r="E17" s="197"/>
      <c r="F17" s="195" t="s">
        <v>68</v>
      </c>
      <c r="G17" s="196"/>
    </row>
    <row r="18" spans="2:10" ht="27" customHeight="1" x14ac:dyDescent="0.55000000000000004">
      <c r="B18" s="188">
        <f>E4*60+G4</f>
        <v>720</v>
      </c>
      <c r="C18" s="194"/>
      <c r="D18" s="192">
        <f>K9</f>
        <v>9</v>
      </c>
      <c r="E18" s="193"/>
      <c r="F18" s="189">
        <f>J14</f>
        <v>53</v>
      </c>
      <c r="G18" s="190"/>
    </row>
    <row r="19" spans="2:10" ht="7.5" customHeight="1" x14ac:dyDescent="0.55000000000000004"/>
    <row r="20" spans="2:10" ht="36" customHeight="1" x14ac:dyDescent="0.55000000000000004">
      <c r="B20" s="184" t="s">
        <v>66</v>
      </c>
      <c r="C20" s="185"/>
      <c r="D20" s="191">
        <f>ROUNDDOWN(H20,0)</f>
        <v>2</v>
      </c>
      <c r="E20" s="191"/>
      <c r="F20" s="187">
        <f>H20*60-D20*60</f>
        <v>2.2641509433962312</v>
      </c>
      <c r="G20" s="188"/>
      <c r="H20" s="179">
        <f>IF(F18=0,0,D18*B18/F18/60)</f>
        <v>2.0377358490566038</v>
      </c>
      <c r="I20" s="19" t="s">
        <v>65</v>
      </c>
      <c r="J20" s="19"/>
    </row>
    <row r="21" spans="2:10" ht="22.5" customHeight="1" x14ac:dyDescent="0.55000000000000004">
      <c r="B21" s="12"/>
    </row>
  </sheetData>
  <mergeCells count="24">
    <mergeCell ref="B11:C11"/>
    <mergeCell ref="N4:O4"/>
    <mergeCell ref="P4:Q4"/>
    <mergeCell ref="N3:Q3"/>
    <mergeCell ref="L13:S13"/>
    <mergeCell ref="E4:F4"/>
    <mergeCell ref="G4:H4"/>
    <mergeCell ref="E3:H3"/>
    <mergeCell ref="B16:G16"/>
    <mergeCell ref="A1:S1"/>
    <mergeCell ref="B20:C20"/>
    <mergeCell ref="G5:H5"/>
    <mergeCell ref="E5:F5"/>
    <mergeCell ref="F20:G20"/>
    <mergeCell ref="F18:G18"/>
    <mergeCell ref="D20:E20"/>
    <mergeCell ref="D18:E18"/>
    <mergeCell ref="B18:C18"/>
    <mergeCell ref="F17:G17"/>
    <mergeCell ref="D17:E17"/>
    <mergeCell ref="B17:C17"/>
    <mergeCell ref="B14:C14"/>
    <mergeCell ref="B13:C13"/>
    <mergeCell ref="B12:C12"/>
  </mergeCells>
  <hyperlinks>
    <hyperlink ref="A1:S1" location="Sommaire!A1" display="Données Simulation 1" xr:uid="{00000000-0004-0000-01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4"/>
  <sheetViews>
    <sheetView showGridLines="0" topLeftCell="A3" zoomScale="145" zoomScaleNormal="145" workbookViewId="0">
      <selection activeCell="D21" sqref="D21"/>
    </sheetView>
  </sheetViews>
  <sheetFormatPr baseColWidth="10" defaultColWidth="11.41796875" defaultRowHeight="13.8" x14ac:dyDescent="0.55000000000000004"/>
  <cols>
    <col min="1" max="1" width="2.41796875" style="31" customWidth="1"/>
    <col min="2" max="2" width="14.68359375" style="31" customWidth="1"/>
    <col min="3" max="9" width="7.41796875" style="31" customWidth="1"/>
    <col min="10" max="16384" width="11.41796875" style="31"/>
  </cols>
  <sheetData>
    <row r="1" spans="1:10" ht="17.7" x14ac:dyDescent="0.55000000000000004">
      <c r="A1" s="218" t="s">
        <v>44</v>
      </c>
      <c r="B1" s="218"/>
      <c r="C1" s="218"/>
      <c r="D1" s="218"/>
      <c r="E1" s="218"/>
      <c r="F1" s="218"/>
      <c r="G1" s="218"/>
      <c r="H1" s="218"/>
      <c r="I1" s="218"/>
      <c r="J1" s="218"/>
    </row>
    <row r="2" spans="1:10" ht="34.5" customHeight="1" x14ac:dyDescent="0.55000000000000004"/>
    <row r="3" spans="1:10" ht="19.5" customHeight="1" x14ac:dyDescent="0.55000000000000004">
      <c r="B3" s="17"/>
      <c r="C3" s="22" t="s">
        <v>0</v>
      </c>
      <c r="D3" s="22" t="s">
        <v>1</v>
      </c>
      <c r="E3" s="22" t="s">
        <v>2</v>
      </c>
      <c r="F3" s="22" t="s">
        <v>10</v>
      </c>
      <c r="G3" s="22" t="s">
        <v>11</v>
      </c>
      <c r="H3" s="22" t="s">
        <v>4</v>
      </c>
      <c r="I3" s="18" t="s">
        <v>41</v>
      </c>
    </row>
    <row r="4" spans="1:10" ht="24" customHeight="1" x14ac:dyDescent="0.55000000000000004">
      <c r="B4" s="93" t="s">
        <v>5</v>
      </c>
      <c r="C4" s="24">
        <f>'Données Simulation 1'!D13</f>
        <v>0.12</v>
      </c>
      <c r="D4" s="24">
        <f>'Données Simulation 1'!E13</f>
        <v>4.6511627906976744E-2</v>
      </c>
      <c r="E4" s="24">
        <f>'Données Simulation 1'!F13</f>
        <v>0.10526315789473684</v>
      </c>
      <c r="F4" s="24">
        <f>'Données Simulation 1'!G13</f>
        <v>0</v>
      </c>
      <c r="G4" s="24">
        <f>'Données Simulation 1'!H13</f>
        <v>0.14705882352941177</v>
      </c>
      <c r="H4" s="24">
        <f>'Données Simulation 1'!I13</f>
        <v>0.125</v>
      </c>
      <c r="I4" s="24">
        <f>'Données Simulation 1'!J13</f>
        <v>0.20895522388059701</v>
      </c>
    </row>
  </sheetData>
  <mergeCells count="1">
    <mergeCell ref="A1:J1"/>
  </mergeCells>
  <hyperlinks>
    <hyperlink ref="A1:J1" location="Sommaire!A1" display="Qualité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W7"/>
  <sheetViews>
    <sheetView showGridLines="0" topLeftCell="C1" zoomScale="87" zoomScaleNormal="55" workbookViewId="0">
      <selection activeCell="C7" sqref="C7"/>
    </sheetView>
  </sheetViews>
  <sheetFormatPr baseColWidth="10" defaultColWidth="11.41796875" defaultRowHeight="13.8" x14ac:dyDescent="0.55000000000000004"/>
  <cols>
    <col min="1" max="1" width="1.41796875" style="2" customWidth="1"/>
    <col min="2" max="2" width="8" style="2" customWidth="1"/>
    <col min="3" max="3" width="12.15625" style="2" customWidth="1"/>
    <col min="4" max="4" width="11.83984375" style="2" customWidth="1"/>
    <col min="5" max="5" width="12" style="2" customWidth="1"/>
    <col min="6" max="6" width="9" style="2" customWidth="1"/>
    <col min="7" max="7" width="7.26171875" style="2" customWidth="1"/>
    <col min="8" max="8" width="6.83984375" style="2" customWidth="1"/>
    <col min="9" max="9" width="5.578125" style="2" customWidth="1"/>
    <col min="10" max="10" width="9.15625" style="2" customWidth="1"/>
    <col min="11" max="11" width="9.68359375" style="2" customWidth="1"/>
    <col min="12" max="12" width="9.15625" style="2" customWidth="1"/>
    <col min="13" max="16384" width="11.41796875" style="2"/>
  </cols>
  <sheetData>
    <row r="1" spans="1:23" ht="17.7" x14ac:dyDescent="0.55000000000000004">
      <c r="A1" s="183" t="s">
        <v>117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</row>
    <row r="2" spans="1:23" ht="21.75" customHeight="1" x14ac:dyDescent="0.55000000000000004"/>
    <row r="3" spans="1:23" ht="27.75" customHeight="1" x14ac:dyDescent="0.55000000000000004">
      <c r="C3" s="219" t="s">
        <v>61</v>
      </c>
      <c r="D3" s="219"/>
      <c r="E3" s="219"/>
      <c r="F3" s="219"/>
      <c r="G3" s="219"/>
      <c r="H3" s="219"/>
      <c r="I3" s="219"/>
      <c r="J3" s="219"/>
    </row>
    <row r="4" spans="1:23" ht="33.75" customHeight="1" x14ac:dyDescent="0.55000000000000004">
      <c r="C4" s="221" t="s">
        <v>74</v>
      </c>
      <c r="D4" s="222"/>
      <c r="E4" s="220" t="s">
        <v>43</v>
      </c>
      <c r="F4" s="220"/>
      <c r="G4" s="220" t="s">
        <v>44</v>
      </c>
      <c r="H4" s="220"/>
      <c r="I4" s="220" t="s">
        <v>45</v>
      </c>
      <c r="J4" s="220"/>
    </row>
    <row r="5" spans="1:23" ht="27.75" customHeight="1" x14ac:dyDescent="0.55000000000000004">
      <c r="B5" s="35" t="s">
        <v>42</v>
      </c>
      <c r="C5" s="35">
        <v>4</v>
      </c>
      <c r="D5" s="36">
        <f>10+C5</f>
        <v>14</v>
      </c>
      <c r="E5" s="35">
        <v>5</v>
      </c>
      <c r="F5" s="37">
        <f>60+5*E5</f>
        <v>85</v>
      </c>
      <c r="G5" s="38">
        <v>0.14000000000000001</v>
      </c>
      <c r="H5" s="39">
        <f>MAX(100-G5*100*5,0)</f>
        <v>29.999999999999986</v>
      </c>
      <c r="I5" s="39">
        <v>30</v>
      </c>
      <c r="J5" s="40">
        <f>8+I5*2/5</f>
        <v>20</v>
      </c>
    </row>
    <row r="6" spans="1:23" ht="27.75" customHeight="1" x14ac:dyDescent="0.55000000000000004">
      <c r="B6" s="41" t="s">
        <v>70</v>
      </c>
      <c r="C6" s="41">
        <v>2</v>
      </c>
      <c r="D6" s="42">
        <f>10+C6</f>
        <v>12</v>
      </c>
      <c r="E6" s="41">
        <v>2</v>
      </c>
      <c r="F6" s="43">
        <f>60+5*E6</f>
        <v>70</v>
      </c>
      <c r="G6" s="44">
        <v>0.06</v>
      </c>
      <c r="H6" s="45">
        <f>MAX(100-G6*100*5,0)</f>
        <v>70</v>
      </c>
      <c r="I6" s="45">
        <v>20</v>
      </c>
      <c r="J6" s="46">
        <f>8+I6*2/5</f>
        <v>16</v>
      </c>
    </row>
    <row r="7" spans="1:23" ht="27.75" customHeight="1" x14ac:dyDescent="0.55000000000000004">
      <c r="B7" s="47" t="s">
        <v>76</v>
      </c>
      <c r="C7" s="47">
        <f>'Données Simulation 1'!H20</f>
        <v>2.0377358490566038</v>
      </c>
      <c r="D7" s="48">
        <f>10+C7</f>
        <v>12.037735849056604</v>
      </c>
      <c r="E7" s="47">
        <f>('Données Simulation 1'!P11*60+'Données Simulation 1'!Q11)/60</f>
        <v>9</v>
      </c>
      <c r="F7" s="49">
        <f>60+5*E7</f>
        <v>105</v>
      </c>
      <c r="G7" s="50">
        <f>'Données Simulation 1'!J13</f>
        <v>0.20895522388059701</v>
      </c>
      <c r="H7" s="51">
        <f>MAX(100-G7*100*5,0)</f>
        <v>0</v>
      </c>
      <c r="I7" s="51">
        <f>'Données Simulation 1'!S15</f>
        <v>24</v>
      </c>
      <c r="J7" s="52">
        <f>8+I7*2/5</f>
        <v>17.600000000000001</v>
      </c>
    </row>
  </sheetData>
  <mergeCells count="6">
    <mergeCell ref="A1:W1"/>
    <mergeCell ref="C3:J3"/>
    <mergeCell ref="I4:J4"/>
    <mergeCell ref="G4:H4"/>
    <mergeCell ref="E4:F4"/>
    <mergeCell ref="C4:D4"/>
  </mergeCells>
  <hyperlinks>
    <hyperlink ref="A1:W1" location="Sommaire!A1" display="Performances" xr:uid="{00000000-0004-0000-0300-000000000000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CC"/>
  </sheetPr>
  <dimension ref="A1:P62"/>
  <sheetViews>
    <sheetView showGridLines="0" topLeftCell="A36" workbookViewId="0">
      <selection activeCell="F42" sqref="F42"/>
    </sheetView>
  </sheetViews>
  <sheetFormatPr baseColWidth="10" defaultColWidth="11.41796875" defaultRowHeight="13.8" x14ac:dyDescent="0.55000000000000004"/>
  <cols>
    <col min="1" max="1" width="1.41796875" style="2" customWidth="1"/>
    <col min="2" max="2" width="18.41796875" style="2" customWidth="1"/>
    <col min="3" max="8" width="9" style="2" customWidth="1"/>
    <col min="9" max="9" width="7.41796875" style="2" customWidth="1"/>
    <col min="10" max="10" width="9.15625" style="2" customWidth="1"/>
    <col min="11" max="11" width="8.41796875" style="2" customWidth="1"/>
    <col min="12" max="12" width="10.15625" style="2" customWidth="1"/>
    <col min="13" max="16384" width="11.41796875" style="2"/>
  </cols>
  <sheetData>
    <row r="1" spans="1:16" ht="15.75" customHeight="1" x14ac:dyDescent="0.55000000000000004">
      <c r="A1" s="183" t="s">
        <v>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spans="1:16" ht="21" customHeight="1" x14ac:dyDescent="0.55000000000000004">
      <c r="B2" s="79" t="s">
        <v>86</v>
      </c>
    </row>
    <row r="3" spans="1:16" ht="18" customHeight="1" x14ac:dyDescent="0.55000000000000004">
      <c r="B3" s="21" t="s">
        <v>9</v>
      </c>
      <c r="C3" s="224">
        <f>IF(ISNA(VLOOKUP(C38,B40:C62,2,FALSE)),0,VLOOKUP(C38,B40:C62,2,FALSE))</f>
        <v>600000</v>
      </c>
      <c r="D3" s="224"/>
      <c r="E3" s="81" t="s">
        <v>88</v>
      </c>
    </row>
    <row r="4" spans="1:16" ht="18" customHeight="1" x14ac:dyDescent="0.55000000000000004"/>
    <row r="5" spans="1:16" ht="18" customHeight="1" x14ac:dyDescent="0.55000000000000004"/>
    <row r="6" spans="1:16" ht="18" customHeight="1" x14ac:dyDescent="0.55000000000000004">
      <c r="B6" s="12"/>
      <c r="C6" s="22" t="s">
        <v>0</v>
      </c>
      <c r="D6" s="22" t="s">
        <v>1</v>
      </c>
      <c r="E6" s="22" t="s">
        <v>2</v>
      </c>
      <c r="F6" s="22" t="s">
        <v>10</v>
      </c>
      <c r="G6" s="22" t="s">
        <v>11</v>
      </c>
      <c r="H6" s="22" t="s">
        <v>4</v>
      </c>
    </row>
    <row r="7" spans="1:16" ht="18" customHeight="1" x14ac:dyDescent="0.55000000000000004">
      <c r="B7" s="75" t="s">
        <v>81</v>
      </c>
      <c r="C7" s="148">
        <f>C3*0.4</f>
        <v>240000</v>
      </c>
      <c r="D7" s="148">
        <f>C3*0.8</f>
        <v>480000</v>
      </c>
      <c r="E7" s="148">
        <f>C3*0.3</f>
        <v>180000</v>
      </c>
      <c r="F7" s="148">
        <f>C3*0.4</f>
        <v>240000</v>
      </c>
      <c r="G7" s="148">
        <f>C3*0.8</f>
        <v>480000</v>
      </c>
      <c r="H7" s="148">
        <f>C3*0.3</f>
        <v>180000</v>
      </c>
    </row>
    <row r="8" spans="1:16" ht="18" customHeight="1" x14ac:dyDescent="0.55000000000000004">
      <c r="B8" s="75" t="s">
        <v>82</v>
      </c>
      <c r="C8" s="223">
        <f>2000*3600</f>
        <v>7200000</v>
      </c>
      <c r="D8" s="223"/>
    </row>
    <row r="9" spans="1:16" ht="18" customHeight="1" x14ac:dyDescent="0.55000000000000004">
      <c r="B9" s="77" t="s">
        <v>83</v>
      </c>
      <c r="C9" s="85">
        <f t="shared" ref="C9:H9" si="0">IF($C$7=0,0,$C$8/C7)</f>
        <v>30</v>
      </c>
      <c r="D9" s="85">
        <f t="shared" si="0"/>
        <v>15</v>
      </c>
      <c r="E9" s="85">
        <f t="shared" si="0"/>
        <v>40</v>
      </c>
      <c r="F9" s="85">
        <f t="shared" si="0"/>
        <v>30</v>
      </c>
      <c r="G9" s="85">
        <f t="shared" si="0"/>
        <v>15</v>
      </c>
      <c r="H9" s="85">
        <f t="shared" si="0"/>
        <v>40</v>
      </c>
    </row>
    <row r="10" spans="1:16" ht="18" customHeight="1" x14ac:dyDescent="0.55000000000000004"/>
    <row r="11" spans="1:16" ht="18" customHeight="1" x14ac:dyDescent="0.55000000000000004">
      <c r="B11" s="76" t="s">
        <v>85</v>
      </c>
    </row>
    <row r="12" spans="1:16" ht="18" customHeight="1" x14ac:dyDescent="0.55000000000000004">
      <c r="B12" s="75" t="s">
        <v>90</v>
      </c>
      <c r="C12" s="75">
        <f>'Données Simulation 1'!D11</f>
        <v>25</v>
      </c>
      <c r="D12" s="75">
        <f>'Données Simulation 1'!E11</f>
        <v>43</v>
      </c>
      <c r="E12" s="75">
        <f>'Données Simulation 1'!F11</f>
        <v>19</v>
      </c>
      <c r="F12" s="75">
        <f>'Données Simulation 1'!G11</f>
        <v>26</v>
      </c>
      <c r="G12" s="75">
        <f>'Données Simulation 1'!H11</f>
        <v>34</v>
      </c>
      <c r="H12" s="75">
        <f>'Données Simulation 1'!I11</f>
        <v>16</v>
      </c>
    </row>
    <row r="13" spans="1:16" ht="18" customHeight="1" x14ac:dyDescent="0.55000000000000004">
      <c r="B13" s="75" t="s">
        <v>6</v>
      </c>
      <c r="C13" s="223">
        <f>'Données Simulation 1'!B18</f>
        <v>720</v>
      </c>
      <c r="D13" s="223"/>
    </row>
    <row r="14" spans="1:16" ht="18" customHeight="1" x14ac:dyDescent="0.55000000000000004">
      <c r="B14" s="75" t="s">
        <v>91</v>
      </c>
      <c r="C14" s="5"/>
      <c r="D14" s="5"/>
      <c r="E14" s="5"/>
      <c r="F14" s="5"/>
      <c r="G14" s="5"/>
      <c r="H14" s="5"/>
    </row>
    <row r="15" spans="1:16" ht="18" customHeight="1" x14ac:dyDescent="0.55000000000000004">
      <c r="B15" s="75" t="s">
        <v>92</v>
      </c>
      <c r="C15" s="86">
        <f t="shared" ref="C15:H15" si="1">$C$13*C14</f>
        <v>0</v>
      </c>
      <c r="D15" s="86">
        <f t="shared" si="1"/>
        <v>0</v>
      </c>
      <c r="E15" s="86">
        <f t="shared" si="1"/>
        <v>0</v>
      </c>
      <c r="F15" s="86">
        <f t="shared" si="1"/>
        <v>0</v>
      </c>
      <c r="G15" s="86">
        <f t="shared" si="1"/>
        <v>0</v>
      </c>
      <c r="H15" s="86">
        <f t="shared" si="1"/>
        <v>0</v>
      </c>
    </row>
    <row r="16" spans="1:16" ht="18" customHeight="1" x14ac:dyDescent="0.55000000000000004">
      <c r="B16" s="78" t="s">
        <v>84</v>
      </c>
      <c r="C16" s="87">
        <f t="shared" ref="C16:H16" si="2">IF(C12=0,0,C15/C12)</f>
        <v>0</v>
      </c>
      <c r="D16" s="87">
        <f t="shared" si="2"/>
        <v>0</v>
      </c>
      <c r="E16" s="87">
        <f t="shared" si="2"/>
        <v>0</v>
      </c>
      <c r="F16" s="87">
        <f t="shared" si="2"/>
        <v>0</v>
      </c>
      <c r="G16" s="87">
        <f t="shared" si="2"/>
        <v>0</v>
      </c>
      <c r="H16" s="87">
        <f t="shared" si="2"/>
        <v>0</v>
      </c>
    </row>
    <row r="17" spans="2:2" ht="18" customHeight="1" x14ac:dyDescent="0.55000000000000004"/>
    <row r="18" spans="2:2" ht="18" customHeight="1" x14ac:dyDescent="0.55000000000000004"/>
    <row r="19" spans="2:2" ht="18" customHeight="1" x14ac:dyDescent="0.55000000000000004">
      <c r="B19" s="84" t="s">
        <v>89</v>
      </c>
    </row>
    <row r="20" spans="2:2" ht="18" customHeight="1" x14ac:dyDescent="0.55000000000000004"/>
    <row r="21" spans="2:2" ht="18" customHeight="1" x14ac:dyDescent="0.55000000000000004"/>
    <row r="22" spans="2:2" ht="18" customHeight="1" x14ac:dyDescent="0.55000000000000004"/>
    <row r="23" spans="2:2" ht="18" customHeight="1" x14ac:dyDescent="0.55000000000000004"/>
    <row r="24" spans="2:2" ht="18" customHeight="1" x14ac:dyDescent="0.55000000000000004"/>
    <row r="25" spans="2:2" ht="18" customHeight="1" x14ac:dyDescent="0.55000000000000004"/>
    <row r="26" spans="2:2" ht="18" customHeight="1" x14ac:dyDescent="0.55000000000000004"/>
    <row r="27" spans="2:2" ht="18" customHeight="1" x14ac:dyDescent="0.55000000000000004"/>
    <row r="28" spans="2:2" ht="18" customHeight="1" x14ac:dyDescent="0.55000000000000004"/>
    <row r="29" spans="2:2" ht="18" customHeight="1" x14ac:dyDescent="0.55000000000000004"/>
    <row r="30" spans="2:2" ht="18" customHeight="1" x14ac:dyDescent="0.55000000000000004"/>
    <row r="31" spans="2:2" ht="18" customHeight="1" x14ac:dyDescent="0.55000000000000004"/>
    <row r="32" spans="2:2" ht="18" customHeight="1" x14ac:dyDescent="0.55000000000000004"/>
    <row r="33" spans="2:3" ht="18" customHeight="1" x14ac:dyDescent="0.55000000000000004"/>
    <row r="34" spans="2:3" ht="18" customHeight="1" x14ac:dyDescent="0.55000000000000004"/>
    <row r="35" spans="2:3" ht="18" customHeight="1" x14ac:dyDescent="0.55000000000000004"/>
    <row r="36" spans="2:3" ht="18" customHeight="1" x14ac:dyDescent="0.55000000000000004"/>
    <row r="37" spans="2:3" ht="18" customHeight="1" x14ac:dyDescent="0.55000000000000004">
      <c r="B37" s="205" t="s">
        <v>87</v>
      </c>
      <c r="C37" s="205"/>
    </row>
    <row r="38" spans="2:3" ht="18" customHeight="1" x14ac:dyDescent="0.55000000000000004">
      <c r="B38" s="80" t="s">
        <v>80</v>
      </c>
      <c r="C38" s="73">
        <f>'Données Simulation 1'!K9</f>
        <v>9</v>
      </c>
    </row>
    <row r="39" spans="2:3" ht="20.25" customHeight="1" x14ac:dyDescent="0.55000000000000004">
      <c r="B39" s="14" t="s">
        <v>64</v>
      </c>
      <c r="C39" s="14" t="s">
        <v>79</v>
      </c>
    </row>
    <row r="40" spans="2:3" ht="18" customHeight="1" x14ac:dyDescent="0.55000000000000004">
      <c r="B40" s="83">
        <v>8</v>
      </c>
      <c r="C40" s="82">
        <v>600000</v>
      </c>
    </row>
    <row r="41" spans="2:3" ht="18" customHeight="1" x14ac:dyDescent="0.55000000000000004">
      <c r="B41" s="83">
        <f>B40+1</f>
        <v>9</v>
      </c>
      <c r="C41" s="82">
        <v>600000</v>
      </c>
    </row>
    <row r="42" spans="2:3" ht="18" customHeight="1" x14ac:dyDescent="0.55000000000000004">
      <c r="B42" s="83">
        <f t="shared" ref="B42:B62" si="3">B41+1</f>
        <v>10</v>
      </c>
      <c r="C42" s="82">
        <v>600000</v>
      </c>
    </row>
    <row r="43" spans="2:3" ht="18" customHeight="1" x14ac:dyDescent="0.55000000000000004">
      <c r="B43" s="83">
        <f>B42+1</f>
        <v>11</v>
      </c>
      <c r="C43" s="82">
        <v>800000</v>
      </c>
    </row>
    <row r="44" spans="2:3" ht="18" customHeight="1" x14ac:dyDescent="0.55000000000000004">
      <c r="B44" s="83">
        <f t="shared" si="3"/>
        <v>12</v>
      </c>
      <c r="C44" s="82">
        <v>800000</v>
      </c>
    </row>
    <row r="45" spans="2:3" ht="18" customHeight="1" x14ac:dyDescent="0.55000000000000004">
      <c r="B45" s="83">
        <f t="shared" si="3"/>
        <v>13</v>
      </c>
      <c r="C45" s="82">
        <v>800000</v>
      </c>
    </row>
    <row r="46" spans="2:3" x14ac:dyDescent="0.55000000000000004">
      <c r="B46" s="83">
        <f t="shared" si="3"/>
        <v>14</v>
      </c>
      <c r="C46" s="82">
        <v>1000000</v>
      </c>
    </row>
    <row r="47" spans="2:3" x14ac:dyDescent="0.55000000000000004">
      <c r="B47" s="83">
        <f t="shared" si="3"/>
        <v>15</v>
      </c>
      <c r="C47" s="82">
        <v>1000000</v>
      </c>
    </row>
    <row r="48" spans="2:3" x14ac:dyDescent="0.55000000000000004">
      <c r="B48" s="83">
        <f t="shared" si="3"/>
        <v>16</v>
      </c>
      <c r="C48" s="82">
        <v>1000000</v>
      </c>
    </row>
    <row r="49" spans="2:3" x14ac:dyDescent="0.55000000000000004">
      <c r="B49" s="83">
        <f t="shared" si="3"/>
        <v>17</v>
      </c>
      <c r="C49" s="82">
        <v>1200000</v>
      </c>
    </row>
    <row r="50" spans="2:3" x14ac:dyDescent="0.55000000000000004">
      <c r="B50" s="83">
        <f t="shared" si="3"/>
        <v>18</v>
      </c>
      <c r="C50" s="82">
        <v>1200000</v>
      </c>
    </row>
    <row r="51" spans="2:3" x14ac:dyDescent="0.55000000000000004">
      <c r="B51" s="83">
        <f t="shared" si="3"/>
        <v>19</v>
      </c>
      <c r="C51" s="82">
        <v>1200000</v>
      </c>
    </row>
    <row r="52" spans="2:3" x14ac:dyDescent="0.55000000000000004">
      <c r="B52" s="83">
        <f t="shared" si="3"/>
        <v>20</v>
      </c>
      <c r="C52" s="82">
        <v>1200000</v>
      </c>
    </row>
    <row r="53" spans="2:3" x14ac:dyDescent="0.55000000000000004">
      <c r="B53" s="83">
        <f t="shared" si="3"/>
        <v>21</v>
      </c>
      <c r="C53" s="82">
        <v>1400000</v>
      </c>
    </row>
    <row r="54" spans="2:3" x14ac:dyDescent="0.55000000000000004">
      <c r="B54" s="83">
        <f t="shared" si="3"/>
        <v>22</v>
      </c>
      <c r="C54" s="82">
        <v>1400000</v>
      </c>
    </row>
    <row r="55" spans="2:3" x14ac:dyDescent="0.55000000000000004">
      <c r="B55" s="83">
        <f t="shared" si="3"/>
        <v>23</v>
      </c>
      <c r="C55" s="82">
        <v>1400000</v>
      </c>
    </row>
    <row r="56" spans="2:3" x14ac:dyDescent="0.55000000000000004">
      <c r="B56" s="83">
        <f t="shared" si="3"/>
        <v>24</v>
      </c>
      <c r="C56" s="82">
        <v>1400000</v>
      </c>
    </row>
    <row r="57" spans="2:3" x14ac:dyDescent="0.55000000000000004">
      <c r="B57" s="83">
        <f t="shared" si="3"/>
        <v>25</v>
      </c>
      <c r="C57" s="82">
        <v>1700000</v>
      </c>
    </row>
    <row r="58" spans="2:3" x14ac:dyDescent="0.55000000000000004">
      <c r="B58" s="83">
        <f t="shared" si="3"/>
        <v>26</v>
      </c>
      <c r="C58" s="82">
        <v>1700000</v>
      </c>
    </row>
    <row r="59" spans="2:3" x14ac:dyDescent="0.55000000000000004">
      <c r="B59" s="83">
        <f t="shared" si="3"/>
        <v>27</v>
      </c>
      <c r="C59" s="82">
        <v>1700000</v>
      </c>
    </row>
    <row r="60" spans="2:3" x14ac:dyDescent="0.55000000000000004">
      <c r="B60" s="83">
        <f t="shared" si="3"/>
        <v>28</v>
      </c>
      <c r="C60" s="82">
        <v>1700000</v>
      </c>
    </row>
    <row r="61" spans="2:3" x14ac:dyDescent="0.55000000000000004">
      <c r="B61" s="83">
        <f t="shared" si="3"/>
        <v>29</v>
      </c>
      <c r="C61" s="82">
        <v>1700000</v>
      </c>
    </row>
    <row r="62" spans="2:3" x14ac:dyDescent="0.55000000000000004">
      <c r="B62" s="83">
        <f t="shared" si="3"/>
        <v>30</v>
      </c>
      <c r="C62" s="82">
        <v>1700000</v>
      </c>
    </row>
  </sheetData>
  <sheetProtection sheet="1" objects="1" scenarios="1"/>
  <mergeCells count="5">
    <mergeCell ref="B37:C37"/>
    <mergeCell ref="C8:D8"/>
    <mergeCell ref="C3:D3"/>
    <mergeCell ref="C13:D13"/>
    <mergeCell ref="A1:P1"/>
  </mergeCells>
  <hyperlinks>
    <hyperlink ref="A1:P1" location="Sommaire!A1" display="Takt Time" xr:uid="{00000000-0004-0000-0400-000000000000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55-A839-4DBF-98BC-3CB7FDA3EBF4}">
  <dimension ref="C4:E10"/>
  <sheetViews>
    <sheetView tabSelected="1" workbookViewId="0">
      <selection activeCell="E5" sqref="E5"/>
    </sheetView>
  </sheetViews>
  <sheetFormatPr baseColWidth="10" defaultRowHeight="14.4" x14ac:dyDescent="0.55000000000000004"/>
  <sheetData>
    <row r="4" spans="3:5" x14ac:dyDescent="0.55000000000000004">
      <c r="D4" t="s">
        <v>152</v>
      </c>
      <c r="E4" t="s">
        <v>153</v>
      </c>
    </row>
    <row r="5" spans="3:5" x14ac:dyDescent="0.55000000000000004">
      <c r="C5" t="s">
        <v>146</v>
      </c>
    </row>
    <row r="6" spans="3:5" x14ac:dyDescent="0.55000000000000004">
      <c r="C6" t="s">
        <v>147</v>
      </c>
    </row>
    <row r="7" spans="3:5" x14ac:dyDescent="0.55000000000000004">
      <c r="C7" t="s">
        <v>148</v>
      </c>
    </row>
    <row r="8" spans="3:5" x14ac:dyDescent="0.55000000000000004">
      <c r="C8" t="s">
        <v>149</v>
      </c>
    </row>
    <row r="9" spans="3:5" x14ac:dyDescent="0.55000000000000004">
      <c r="C9" t="s">
        <v>150</v>
      </c>
    </row>
    <row r="10" spans="3:5" x14ac:dyDescent="0.55000000000000004">
      <c r="C10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O11"/>
  <sheetViews>
    <sheetView showGridLines="0" zoomScale="115" zoomScaleNormal="115" workbookViewId="0">
      <selection activeCell="I6" sqref="I6"/>
    </sheetView>
  </sheetViews>
  <sheetFormatPr baseColWidth="10" defaultColWidth="11.41796875" defaultRowHeight="13.8" x14ac:dyDescent="0.55000000000000004"/>
  <cols>
    <col min="1" max="1" width="1.41796875" style="2" customWidth="1"/>
    <col min="2" max="2" width="22.15625" style="2" customWidth="1"/>
    <col min="3" max="8" width="7" style="2" customWidth="1"/>
    <col min="9" max="9" width="7.41796875" style="2" customWidth="1"/>
    <col min="10" max="10" width="9.15625" style="2" customWidth="1"/>
    <col min="11" max="11" width="8.41796875" style="2" customWidth="1"/>
    <col min="12" max="12" width="10.15625" style="2" customWidth="1"/>
    <col min="13" max="16384" width="11.41796875" style="2"/>
  </cols>
  <sheetData>
    <row r="1" spans="2:15" ht="15.75" customHeight="1" x14ac:dyDescent="0.55000000000000004">
      <c r="B1" s="183" t="s">
        <v>131</v>
      </c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</row>
    <row r="2" spans="2:15" ht="36.75" customHeight="1" x14ac:dyDescent="0.55000000000000004"/>
    <row r="3" spans="2:15" ht="18" customHeight="1" x14ac:dyDescent="0.55000000000000004"/>
    <row r="4" spans="2:15" ht="18" customHeight="1" x14ac:dyDescent="0.55000000000000004"/>
    <row r="5" spans="2:15" ht="18" customHeight="1" x14ac:dyDescent="0.55000000000000004">
      <c r="B5" s="88" t="s">
        <v>133</v>
      </c>
      <c r="C5" s="22" t="s">
        <v>0</v>
      </c>
      <c r="D5" s="22" t="s">
        <v>1</v>
      </c>
      <c r="E5" s="22" t="s">
        <v>2</v>
      </c>
      <c r="F5" s="22" t="s">
        <v>10</v>
      </c>
      <c r="G5" s="22" t="s">
        <v>115</v>
      </c>
      <c r="H5" s="110" t="s">
        <v>4</v>
      </c>
    </row>
    <row r="6" spans="2:15" ht="18" customHeight="1" x14ac:dyDescent="0.55000000000000004">
      <c r="B6" s="22" t="s">
        <v>53</v>
      </c>
      <c r="C6" s="74">
        <v>7.5</v>
      </c>
      <c r="D6" s="74">
        <v>16.5</v>
      </c>
      <c r="E6" s="74">
        <v>18.5</v>
      </c>
      <c r="F6" s="74">
        <v>9.75</v>
      </c>
      <c r="G6" s="74">
        <v>15</v>
      </c>
      <c r="H6" s="74">
        <v>11.75</v>
      </c>
    </row>
    <row r="7" spans="2:15" ht="34.5" customHeight="1" x14ac:dyDescent="0.55000000000000004">
      <c r="B7" s="147" t="s">
        <v>121</v>
      </c>
      <c r="C7" s="89">
        <f>IF('Données Simulation 1'!D9=0,0,'Données Simulation 1'!D14/'Données Simulation 1'!D9)</f>
        <v>22</v>
      </c>
      <c r="D7" s="89">
        <f>IF('Données Simulation 1'!E9=0,0,'Données Simulation 1'!E14/'Données Simulation 1'!E9)</f>
        <v>20.5</v>
      </c>
      <c r="E7" s="89">
        <f>IF('Données Simulation 1'!F9=0,0,'Données Simulation 1'!F14/'Données Simulation 1'!F9)</f>
        <v>17</v>
      </c>
      <c r="F7" s="89">
        <f>IF('Données Simulation 1'!G9=0,0,'Données Simulation 1'!G14/'Données Simulation 1'!G9)</f>
        <v>26</v>
      </c>
      <c r="G7" s="89">
        <f>IF('Données Simulation 1'!H9=0,0,'Données Simulation 1'!H14/'Données Simulation 1'!H9)</f>
        <v>29</v>
      </c>
      <c r="H7" s="89">
        <f>IF('Données Simulation 1'!I9=0,0,'Données Simulation 1'!I14/'Données Simulation 1'!I9)</f>
        <v>14</v>
      </c>
    </row>
    <row r="8" spans="2:15" ht="18" customHeight="1" x14ac:dyDescent="0.55000000000000004">
      <c r="B8" s="75" t="s">
        <v>93</v>
      </c>
      <c r="C8" s="141">
        <f t="shared" ref="C8:H8" si="0">C7*C6</f>
        <v>165</v>
      </c>
      <c r="D8" s="141">
        <f t="shared" si="0"/>
        <v>338.25</v>
      </c>
      <c r="E8" s="141">
        <f t="shared" si="0"/>
        <v>314.5</v>
      </c>
      <c r="F8" s="141">
        <f t="shared" si="0"/>
        <v>253.5</v>
      </c>
      <c r="G8" s="141">
        <f t="shared" si="0"/>
        <v>435</v>
      </c>
      <c r="H8" s="141">
        <f t="shared" si="0"/>
        <v>164.5</v>
      </c>
    </row>
    <row r="9" spans="2:15" ht="18" customHeight="1" x14ac:dyDescent="0.55000000000000004">
      <c r="B9" s="90" t="s">
        <v>6</v>
      </c>
      <c r="C9" s="142">
        <f>'Données Simulation 1'!$B$18</f>
        <v>720</v>
      </c>
      <c r="D9" s="142">
        <f>'Données Simulation 1'!$B$18</f>
        <v>720</v>
      </c>
      <c r="E9" s="142">
        <f>'Données Simulation 1'!$B$18</f>
        <v>720</v>
      </c>
      <c r="F9" s="142">
        <f>'Données Simulation 1'!$B$18</f>
        <v>720</v>
      </c>
      <c r="G9" s="142">
        <f>'Données Simulation 1'!$B$18</f>
        <v>720</v>
      </c>
      <c r="H9" s="142">
        <f>'Données Simulation 1'!$B$18</f>
        <v>720</v>
      </c>
    </row>
    <row r="10" spans="2:15" ht="18" customHeight="1" x14ac:dyDescent="0.55000000000000004">
      <c r="B10" s="91" t="s">
        <v>131</v>
      </c>
      <c r="C10" s="92">
        <f t="shared" ref="C10:H10" si="1">IF(C9=0,0,C8/C9)</f>
        <v>0.22916666666666666</v>
      </c>
      <c r="D10" s="92">
        <f t="shared" si="1"/>
        <v>0.46979166666666666</v>
      </c>
      <c r="E10" s="92">
        <f t="shared" si="1"/>
        <v>0.43680555555555556</v>
      </c>
      <c r="F10" s="92">
        <f t="shared" si="1"/>
        <v>0.35208333333333336</v>
      </c>
      <c r="G10" s="92">
        <f t="shared" si="1"/>
        <v>0.60416666666666663</v>
      </c>
      <c r="H10" s="92">
        <f t="shared" si="1"/>
        <v>0.22847222222222222</v>
      </c>
    </row>
    <row r="11" spans="2:15" ht="18" customHeight="1" x14ac:dyDescent="0.55000000000000004"/>
  </sheetData>
  <sheetProtection sheet="1"/>
  <mergeCells count="1">
    <mergeCell ref="B1:O1"/>
  </mergeCells>
  <hyperlinks>
    <hyperlink ref="B1:O1" location="Sommaire!A1" display="TRS" xr:uid="{00000000-0004-0000-0500-000000000000}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H7"/>
  <sheetViews>
    <sheetView showGridLines="0" workbookViewId="0">
      <selection activeCell="G34" sqref="G34"/>
    </sheetView>
  </sheetViews>
  <sheetFormatPr baseColWidth="10" defaultColWidth="11.41796875" defaultRowHeight="14.4" x14ac:dyDescent="0.55000000000000004"/>
  <cols>
    <col min="1" max="1" width="4.26171875" style="123" customWidth="1"/>
    <col min="2" max="6" width="17.15625" style="123" customWidth="1"/>
    <col min="7" max="7" width="13.41796875" style="123" customWidth="1"/>
    <col min="8" max="8" width="7.68359375" style="94" customWidth="1"/>
    <col min="9" max="16384" width="11.41796875" style="123"/>
  </cols>
  <sheetData>
    <row r="1" spans="1:8" ht="17.7" x14ac:dyDescent="0.55000000000000004">
      <c r="A1" s="183" t="s">
        <v>52</v>
      </c>
      <c r="B1" s="183"/>
      <c r="C1" s="183"/>
      <c r="D1" s="183"/>
      <c r="E1" s="183"/>
      <c r="F1" s="183"/>
      <c r="G1" s="183"/>
      <c r="H1" s="183"/>
    </row>
    <row r="3" spans="1:8" ht="28.5" customHeight="1" x14ac:dyDescent="0.55000000000000004">
      <c r="B3" s="124" t="s">
        <v>58</v>
      </c>
      <c r="C3" s="169" t="s">
        <v>26</v>
      </c>
      <c r="D3" s="125" t="s">
        <v>101</v>
      </c>
      <c r="E3" s="126" t="s">
        <v>57</v>
      </c>
      <c r="F3" s="14" t="s">
        <v>56</v>
      </c>
      <c r="G3" s="170" t="s">
        <v>103</v>
      </c>
      <c r="H3" s="127" t="s">
        <v>102</v>
      </c>
    </row>
    <row r="4" spans="1:8" ht="21" customHeight="1" x14ac:dyDescent="0.55000000000000004">
      <c r="B4" s="5"/>
      <c r="C4" s="5"/>
      <c r="D4" s="5"/>
      <c r="E4" s="5"/>
      <c r="F4" s="5"/>
      <c r="G4" s="5"/>
      <c r="H4" s="128">
        <f>SUM(B4:G4)</f>
        <v>0</v>
      </c>
    </row>
    <row r="5" spans="1:8" ht="9" customHeight="1" x14ac:dyDescent="0.55000000000000004"/>
    <row r="6" spans="1:8" ht="28.2" x14ac:dyDescent="0.55000000000000004">
      <c r="B6" s="172" t="s">
        <v>6</v>
      </c>
      <c r="C6" s="175" t="s">
        <v>129</v>
      </c>
      <c r="D6" s="173" t="s">
        <v>130</v>
      </c>
      <c r="E6" s="174" t="s">
        <v>93</v>
      </c>
    </row>
    <row r="7" spans="1:8" ht="20.25" customHeight="1" x14ac:dyDescent="0.55000000000000004">
      <c r="B7" s="171"/>
      <c r="C7" s="171"/>
      <c r="D7" s="171"/>
      <c r="E7" s="171"/>
    </row>
  </sheetData>
  <mergeCells count="1">
    <mergeCell ref="A1:H1"/>
  </mergeCells>
  <hyperlinks>
    <hyperlink ref="A1:H1" location="Sommaire!A1" display="Analyse des gaspillages" xr:uid="{00000000-0004-0000-0600-000000000000}"/>
  </hyperlinks>
  <pageMargins left="0.70866141732283472" right="0.70866141732283472" top="0.55118110236220474" bottom="0.55118110236220474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AY25"/>
  <sheetViews>
    <sheetView showGridLines="0" zoomScale="85" zoomScaleNormal="85" workbookViewId="0">
      <selection activeCell="D16" sqref="D16:D17"/>
    </sheetView>
  </sheetViews>
  <sheetFormatPr baseColWidth="10" defaultColWidth="11.41796875" defaultRowHeight="13.8" x14ac:dyDescent="0.55000000000000004"/>
  <cols>
    <col min="1" max="1" width="1.15625" style="2" customWidth="1"/>
    <col min="2" max="2" width="4.15625" style="2" customWidth="1"/>
    <col min="3" max="3" width="6.15625" style="112" customWidth="1"/>
    <col min="4" max="4" width="9.68359375" style="2" customWidth="1"/>
    <col min="5" max="5" width="4.68359375" style="2" customWidth="1"/>
    <col min="6" max="7" width="3.41796875" style="112" customWidth="1"/>
    <col min="8" max="9" width="3.41796875" style="2" customWidth="1"/>
    <col min="10" max="11" width="3.26171875" style="121" customWidth="1"/>
    <col min="12" max="13" width="3.41796875" style="2" customWidth="1"/>
    <col min="14" max="14" width="3.41796875" style="112" customWidth="1"/>
    <col min="15" max="17" width="3.41796875" style="2" customWidth="1"/>
    <col min="18" max="19" width="3.26171875" style="121" customWidth="1"/>
    <col min="20" max="25" width="3.41796875" style="2" customWidth="1"/>
    <col min="26" max="27" width="3.26171875" style="121" customWidth="1"/>
    <col min="28" max="33" width="3.41796875" style="2" customWidth="1"/>
    <col min="34" max="35" width="3.26171875" style="121" customWidth="1"/>
    <col min="36" max="41" width="3.41796875" style="2" customWidth="1"/>
    <col min="42" max="43" width="3.26171875" style="2" customWidth="1"/>
    <col min="44" max="47" width="3.41796875" style="2" customWidth="1"/>
    <col min="48" max="16384" width="11.41796875" style="2"/>
  </cols>
  <sheetData>
    <row r="1" spans="1:51" ht="17.7" x14ac:dyDescent="0.55000000000000004">
      <c r="A1" s="183" t="s">
        <v>127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</row>
    <row r="2" spans="1:51" x14ac:dyDescent="0.55000000000000004">
      <c r="C2" s="2"/>
      <c r="E2" s="149" t="s">
        <v>128</v>
      </c>
      <c r="F2" s="2"/>
      <c r="I2" s="112"/>
      <c r="J2" s="2"/>
      <c r="K2" s="2"/>
      <c r="L2" s="112"/>
      <c r="M2" s="112"/>
      <c r="N2" s="2"/>
      <c r="P2" s="121"/>
      <c r="Q2" s="121"/>
      <c r="R2" s="2"/>
      <c r="S2" s="2"/>
      <c r="T2" s="112"/>
      <c r="X2" s="121"/>
      <c r="Y2" s="121"/>
      <c r="Z2" s="2"/>
      <c r="AA2" s="2"/>
      <c r="AF2" s="121"/>
      <c r="AG2" s="121"/>
      <c r="AH2" s="2"/>
      <c r="AI2" s="2"/>
      <c r="AN2" s="121"/>
      <c r="AO2" s="121"/>
    </row>
    <row r="3" spans="1:51" ht="27.75" customHeight="1" x14ac:dyDescent="0.35">
      <c r="C3" s="2"/>
      <c r="F3" s="2"/>
      <c r="G3" s="2"/>
      <c r="I3" s="112"/>
      <c r="J3" s="236" t="s">
        <v>99</v>
      </c>
      <c r="K3" s="236"/>
      <c r="L3" s="112"/>
      <c r="M3" s="112"/>
      <c r="N3" s="2"/>
      <c r="P3" s="121"/>
      <c r="Q3" s="121"/>
      <c r="R3" s="236" t="s">
        <v>99</v>
      </c>
      <c r="S3" s="236"/>
      <c r="T3" s="112"/>
      <c r="X3" s="121"/>
      <c r="Y3" s="121"/>
      <c r="Z3" s="236" t="s">
        <v>99</v>
      </c>
      <c r="AA3" s="236"/>
      <c r="AF3" s="121"/>
      <c r="AG3" s="121"/>
      <c r="AH3" s="236" t="s">
        <v>99</v>
      </c>
      <c r="AI3" s="236"/>
      <c r="AN3" s="121"/>
      <c r="AO3" s="121"/>
      <c r="AP3" s="236" t="s">
        <v>99</v>
      </c>
      <c r="AQ3" s="236"/>
    </row>
    <row r="4" spans="1:51" ht="15" customHeight="1" x14ac:dyDescent="0.55000000000000004">
      <c r="B4" s="166" t="s">
        <v>63</v>
      </c>
      <c r="C4" s="150">
        <v>0</v>
      </c>
      <c r="D4" s="151">
        <v>5</v>
      </c>
      <c r="E4" s="152" t="s">
        <v>28</v>
      </c>
      <c r="F4" s="2"/>
      <c r="G4" s="2"/>
      <c r="I4" s="112"/>
      <c r="J4" s="227"/>
      <c r="K4" s="228"/>
      <c r="L4" s="112"/>
      <c r="M4" s="112">
        <f t="shared" ref="M4:M10" si="0">M5+2</f>
        <v>15</v>
      </c>
      <c r="N4" s="116"/>
      <c r="O4" s="116"/>
      <c r="P4" s="115">
        <f t="shared" ref="P4:P10" si="1">P5+2</f>
        <v>16</v>
      </c>
      <c r="Q4" s="121"/>
      <c r="R4" s="227"/>
      <c r="S4" s="228"/>
      <c r="T4" s="112"/>
      <c r="U4" s="112">
        <f t="shared" ref="U4:U10" si="2">U5+2</f>
        <v>15</v>
      </c>
      <c r="V4" s="116"/>
      <c r="W4" s="116"/>
      <c r="X4" s="115">
        <f t="shared" ref="X4:X10" si="3">X5+2</f>
        <v>16</v>
      </c>
      <c r="Y4" s="121"/>
      <c r="Z4" s="227"/>
      <c r="AA4" s="228"/>
      <c r="AC4" s="112">
        <f t="shared" ref="AC4:AC10" si="4">AC5+2</f>
        <v>15</v>
      </c>
      <c r="AD4" s="116"/>
      <c r="AE4" s="116"/>
      <c r="AF4" s="115">
        <f t="shared" ref="AF4:AF10" si="5">AF5+2</f>
        <v>16</v>
      </c>
      <c r="AG4" s="121"/>
      <c r="AH4" s="227"/>
      <c r="AI4" s="228"/>
      <c r="AK4" s="112">
        <f t="shared" ref="AK4:AK10" si="6">AK5+2</f>
        <v>15</v>
      </c>
      <c r="AL4" s="116"/>
      <c r="AM4" s="116"/>
      <c r="AN4" s="115">
        <f t="shared" ref="AN4:AN10" si="7">AN5+2</f>
        <v>16</v>
      </c>
      <c r="AO4" s="121"/>
      <c r="AP4" s="227"/>
      <c r="AQ4" s="228"/>
      <c r="AS4" s="112">
        <f t="shared" ref="AS4:AS10" si="8">AS5+2</f>
        <v>15</v>
      </c>
      <c r="AT4" s="116"/>
      <c r="AU4" s="116"/>
      <c r="AV4" s="115">
        <f t="shared" ref="AV4:AV10" si="9">AV5+2</f>
        <v>16</v>
      </c>
    </row>
    <row r="5" spans="1:51" ht="15" customHeight="1" x14ac:dyDescent="0.55000000000000004">
      <c r="B5" s="225" t="s">
        <v>10</v>
      </c>
      <c r="C5" s="150">
        <f>'Données Simulation 1'!P7*60+'Données Simulation 1'!Q7</f>
        <v>60</v>
      </c>
      <c r="D5" s="161">
        <f>C5-D4</f>
        <v>55</v>
      </c>
      <c r="E5" s="153" t="s">
        <v>124</v>
      </c>
      <c r="F5" s="2"/>
      <c r="G5" s="239"/>
      <c r="H5" s="239"/>
      <c r="I5" s="112">
        <f>I6+2</f>
        <v>3</v>
      </c>
      <c r="J5" s="113"/>
      <c r="K5" s="114"/>
      <c r="L5" s="115">
        <f>L6+2</f>
        <v>4</v>
      </c>
      <c r="M5" s="112">
        <f t="shared" si="0"/>
        <v>13</v>
      </c>
      <c r="N5" s="116"/>
      <c r="O5" s="116"/>
      <c r="P5" s="115">
        <f t="shared" si="1"/>
        <v>14</v>
      </c>
      <c r="Q5" s="121">
        <f>Q6+2</f>
        <v>3</v>
      </c>
      <c r="R5" s="113"/>
      <c r="S5" s="114"/>
      <c r="T5" s="115">
        <f>T6+2</f>
        <v>4</v>
      </c>
      <c r="U5" s="112">
        <f t="shared" si="2"/>
        <v>13</v>
      </c>
      <c r="V5" s="116"/>
      <c r="W5" s="116"/>
      <c r="X5" s="115">
        <f t="shared" si="3"/>
        <v>14</v>
      </c>
      <c r="Y5" s="121">
        <f>Y6+2</f>
        <v>3</v>
      </c>
      <c r="Z5" s="113"/>
      <c r="AA5" s="114"/>
      <c r="AB5" s="115">
        <f>AB6+2</f>
        <v>4</v>
      </c>
      <c r="AC5" s="112">
        <f t="shared" si="4"/>
        <v>13</v>
      </c>
      <c r="AD5" s="116"/>
      <c r="AE5" s="116"/>
      <c r="AF5" s="115">
        <f t="shared" si="5"/>
        <v>14</v>
      </c>
      <c r="AG5" s="121">
        <f>AG6+2</f>
        <v>3</v>
      </c>
      <c r="AH5" s="113"/>
      <c r="AI5" s="114"/>
      <c r="AJ5" s="115">
        <f>AJ6+2</f>
        <v>4</v>
      </c>
      <c r="AK5" s="112">
        <f t="shared" si="6"/>
        <v>13</v>
      </c>
      <c r="AL5" s="116"/>
      <c r="AM5" s="116"/>
      <c r="AN5" s="115">
        <f t="shared" si="7"/>
        <v>14</v>
      </c>
      <c r="AO5" s="121">
        <f>AO6+2</f>
        <v>3</v>
      </c>
      <c r="AP5" s="113"/>
      <c r="AQ5" s="114"/>
      <c r="AR5" s="115">
        <f>AR6+2</f>
        <v>4</v>
      </c>
      <c r="AS5" s="112">
        <f t="shared" si="8"/>
        <v>13</v>
      </c>
      <c r="AT5" s="116"/>
      <c r="AU5" s="116"/>
      <c r="AV5" s="115">
        <f t="shared" si="9"/>
        <v>14</v>
      </c>
      <c r="AW5" s="240"/>
      <c r="AX5" s="240"/>
      <c r="AY5" s="240"/>
    </row>
    <row r="6" spans="1:51" ht="15" customHeight="1" thickBot="1" x14ac:dyDescent="0.6">
      <c r="B6" s="226"/>
      <c r="C6" s="154"/>
      <c r="D6" s="151">
        <f>TRG!F6</f>
        <v>9.75</v>
      </c>
      <c r="E6" s="152" t="s">
        <v>28</v>
      </c>
      <c r="F6" s="2"/>
      <c r="G6" s="239"/>
      <c r="H6" s="239"/>
      <c r="I6" s="112">
        <v>1</v>
      </c>
      <c r="J6" s="117"/>
      <c r="K6" s="118"/>
      <c r="L6" s="115">
        <v>2</v>
      </c>
      <c r="M6" s="112">
        <f t="shared" si="0"/>
        <v>11</v>
      </c>
      <c r="N6" s="116"/>
      <c r="O6" s="116"/>
      <c r="P6" s="115">
        <f t="shared" si="1"/>
        <v>12</v>
      </c>
      <c r="Q6" s="121">
        <v>1</v>
      </c>
      <c r="R6" s="117"/>
      <c r="S6" s="118"/>
      <c r="T6" s="115">
        <v>2</v>
      </c>
      <c r="U6" s="112">
        <f t="shared" si="2"/>
        <v>11</v>
      </c>
      <c r="V6" s="116"/>
      <c r="W6" s="116"/>
      <c r="X6" s="115">
        <f t="shared" si="3"/>
        <v>12</v>
      </c>
      <c r="Y6" s="121">
        <v>1</v>
      </c>
      <c r="Z6" s="117"/>
      <c r="AA6" s="118"/>
      <c r="AB6" s="115">
        <v>2</v>
      </c>
      <c r="AC6" s="112">
        <f t="shared" si="4"/>
        <v>11</v>
      </c>
      <c r="AD6" s="116"/>
      <c r="AE6" s="116"/>
      <c r="AF6" s="115">
        <f t="shared" si="5"/>
        <v>12</v>
      </c>
      <c r="AG6" s="121">
        <v>1</v>
      </c>
      <c r="AH6" s="117"/>
      <c r="AI6" s="118"/>
      <c r="AJ6" s="115">
        <v>2</v>
      </c>
      <c r="AK6" s="112">
        <f t="shared" si="6"/>
        <v>11</v>
      </c>
      <c r="AL6" s="116"/>
      <c r="AM6" s="116"/>
      <c r="AN6" s="115">
        <f t="shared" si="7"/>
        <v>12</v>
      </c>
      <c r="AO6" s="121">
        <v>1</v>
      </c>
      <c r="AP6" s="117"/>
      <c r="AQ6" s="118"/>
      <c r="AR6" s="115">
        <v>2</v>
      </c>
      <c r="AS6" s="112">
        <f t="shared" si="8"/>
        <v>11</v>
      </c>
      <c r="AT6" s="116"/>
      <c r="AU6" s="116"/>
      <c r="AV6" s="115">
        <f t="shared" si="9"/>
        <v>12</v>
      </c>
      <c r="AY6" s="112"/>
    </row>
    <row r="7" spans="1:51" ht="15" customHeight="1" x14ac:dyDescent="0.55000000000000004">
      <c r="B7" s="225" t="s">
        <v>1</v>
      </c>
      <c r="C7" s="150">
        <f>'Données Simulation 1'!P8*60+'Données Simulation 1'!Q8</f>
        <v>300</v>
      </c>
      <c r="D7" s="162">
        <f>C7-C5-D6</f>
        <v>230.25</v>
      </c>
      <c r="E7" s="153" t="s">
        <v>124</v>
      </c>
      <c r="F7" s="2"/>
      <c r="I7" s="112"/>
      <c r="J7" s="2"/>
      <c r="K7" s="2"/>
      <c r="L7" s="112"/>
      <c r="M7" s="112">
        <f t="shared" si="0"/>
        <v>9</v>
      </c>
      <c r="N7" s="116"/>
      <c r="O7" s="116"/>
      <c r="P7" s="115">
        <f t="shared" si="1"/>
        <v>10</v>
      </c>
      <c r="Q7" s="121"/>
      <c r="R7" s="2"/>
      <c r="S7" s="2"/>
      <c r="T7" s="112"/>
      <c r="U7" s="112">
        <f t="shared" si="2"/>
        <v>9</v>
      </c>
      <c r="V7" s="116"/>
      <c r="W7" s="116"/>
      <c r="X7" s="115">
        <f t="shared" si="3"/>
        <v>10</v>
      </c>
      <c r="Y7" s="121"/>
      <c r="Z7" s="2"/>
      <c r="AA7" s="2"/>
      <c r="AB7" s="112"/>
      <c r="AC7" s="112">
        <f t="shared" si="4"/>
        <v>9</v>
      </c>
      <c r="AD7" s="116"/>
      <c r="AE7" s="116"/>
      <c r="AF7" s="115">
        <f t="shared" si="5"/>
        <v>10</v>
      </c>
      <c r="AG7" s="121"/>
      <c r="AH7" s="2"/>
      <c r="AI7" s="2"/>
      <c r="AJ7" s="112"/>
      <c r="AK7" s="112">
        <f t="shared" si="6"/>
        <v>9</v>
      </c>
      <c r="AL7" s="116"/>
      <c r="AM7" s="116"/>
      <c r="AN7" s="115">
        <f t="shared" si="7"/>
        <v>10</v>
      </c>
      <c r="AO7" s="121"/>
      <c r="AR7" s="112"/>
      <c r="AS7" s="112">
        <f t="shared" si="8"/>
        <v>9</v>
      </c>
      <c r="AT7" s="116"/>
      <c r="AU7" s="116"/>
      <c r="AV7" s="115">
        <f t="shared" si="9"/>
        <v>10</v>
      </c>
      <c r="AY7" s="112"/>
    </row>
    <row r="8" spans="1:51" ht="15" customHeight="1" x14ac:dyDescent="0.55000000000000004">
      <c r="B8" s="226"/>
      <c r="C8" s="155"/>
      <c r="D8" s="151">
        <f>TRG!D6</f>
        <v>16.5</v>
      </c>
      <c r="E8" s="152" t="s">
        <v>28</v>
      </c>
      <c r="F8" s="2"/>
      <c r="I8" s="112"/>
      <c r="J8" s="2"/>
      <c r="K8" s="2"/>
      <c r="L8" s="112"/>
      <c r="M8" s="112">
        <f t="shared" si="0"/>
        <v>7</v>
      </c>
      <c r="N8" s="116"/>
      <c r="O8" s="116"/>
      <c r="P8" s="122">
        <f t="shared" si="1"/>
        <v>8</v>
      </c>
      <c r="Q8" s="121"/>
      <c r="R8" s="2"/>
      <c r="S8" s="2"/>
      <c r="T8" s="112"/>
      <c r="U8" s="112">
        <f t="shared" si="2"/>
        <v>7</v>
      </c>
      <c r="V8" s="116"/>
      <c r="W8" s="116"/>
      <c r="X8" s="122">
        <f t="shared" si="3"/>
        <v>8</v>
      </c>
      <c r="Y8" s="121"/>
      <c r="Z8" s="2"/>
      <c r="AA8" s="2"/>
      <c r="AB8" s="112"/>
      <c r="AC8" s="112">
        <f t="shared" si="4"/>
        <v>7</v>
      </c>
      <c r="AD8" s="116"/>
      <c r="AE8" s="116"/>
      <c r="AF8" s="122">
        <f t="shared" si="5"/>
        <v>8</v>
      </c>
      <c r="AG8" s="121"/>
      <c r="AH8" s="2"/>
      <c r="AI8" s="2"/>
      <c r="AJ8" s="112"/>
      <c r="AK8" s="112">
        <f t="shared" si="6"/>
        <v>7</v>
      </c>
      <c r="AL8" s="116"/>
      <c r="AM8" s="116"/>
      <c r="AN8" s="122">
        <f t="shared" si="7"/>
        <v>8</v>
      </c>
      <c r="AO8" s="121"/>
      <c r="AR8" s="112"/>
      <c r="AS8" s="112">
        <f t="shared" si="8"/>
        <v>7</v>
      </c>
      <c r="AT8" s="116"/>
      <c r="AU8" s="116"/>
      <c r="AV8" s="115">
        <f t="shared" si="9"/>
        <v>8</v>
      </c>
      <c r="AY8" s="112"/>
    </row>
    <row r="9" spans="1:51" ht="15" customHeight="1" x14ac:dyDescent="0.55000000000000004">
      <c r="B9" s="225" t="s">
        <v>4</v>
      </c>
      <c r="C9" s="150">
        <f>'Données Simulation 1'!P9*60+'Données Simulation 1'!Q9</f>
        <v>420</v>
      </c>
      <c r="D9" s="163">
        <f>C9-C7-D8</f>
        <v>103.5</v>
      </c>
      <c r="E9" s="153" t="s">
        <v>124</v>
      </c>
      <c r="F9" s="2"/>
      <c r="I9" s="112"/>
      <c r="J9" s="2"/>
      <c r="K9" s="2"/>
      <c r="L9" s="112"/>
      <c r="M9" s="112">
        <f t="shared" si="0"/>
        <v>5</v>
      </c>
      <c r="N9" s="116"/>
      <c r="O9" s="116"/>
      <c r="P9" s="122">
        <f t="shared" si="1"/>
        <v>6</v>
      </c>
      <c r="Q9" s="121"/>
      <c r="R9" s="2"/>
      <c r="S9" s="2"/>
      <c r="T9" s="112"/>
      <c r="U9" s="112">
        <f t="shared" si="2"/>
        <v>5</v>
      </c>
      <c r="V9" s="116"/>
      <c r="W9" s="116"/>
      <c r="X9" s="122">
        <f t="shared" si="3"/>
        <v>6</v>
      </c>
      <c r="Y9" s="121"/>
      <c r="Z9" s="2"/>
      <c r="AA9" s="2"/>
      <c r="AB9" s="112"/>
      <c r="AC9" s="112">
        <f t="shared" si="4"/>
        <v>5</v>
      </c>
      <c r="AD9" s="116"/>
      <c r="AE9" s="116"/>
      <c r="AF9" s="122">
        <f t="shared" si="5"/>
        <v>6</v>
      </c>
      <c r="AG9" s="121"/>
      <c r="AH9" s="2"/>
      <c r="AI9" s="2"/>
      <c r="AJ9" s="112"/>
      <c r="AK9" s="112">
        <f t="shared" si="6"/>
        <v>5</v>
      </c>
      <c r="AL9" s="116"/>
      <c r="AM9" s="116"/>
      <c r="AN9" s="122">
        <f t="shared" si="7"/>
        <v>6</v>
      </c>
      <c r="AO9" s="121"/>
      <c r="AR9" s="112"/>
      <c r="AS9" s="112">
        <f t="shared" si="8"/>
        <v>5</v>
      </c>
      <c r="AT9" s="116"/>
      <c r="AU9" s="116"/>
      <c r="AV9" s="115">
        <f t="shared" si="9"/>
        <v>6</v>
      </c>
      <c r="AY9" s="112"/>
    </row>
    <row r="10" spans="1:51" ht="15" customHeight="1" x14ac:dyDescent="0.55000000000000004">
      <c r="B10" s="226"/>
      <c r="C10" s="155"/>
      <c r="D10" s="151">
        <f>TRG!H6</f>
        <v>11.75</v>
      </c>
      <c r="E10" s="152" t="s">
        <v>28</v>
      </c>
      <c r="F10" s="2"/>
      <c r="I10" s="112"/>
      <c r="J10" s="2"/>
      <c r="K10" s="2"/>
      <c r="L10" s="112"/>
      <c r="M10" s="112">
        <f t="shared" si="0"/>
        <v>3</v>
      </c>
      <c r="N10" s="116"/>
      <c r="O10" s="116"/>
      <c r="P10" s="122">
        <f t="shared" si="1"/>
        <v>4</v>
      </c>
      <c r="Q10" s="121"/>
      <c r="R10" s="2"/>
      <c r="S10" s="2"/>
      <c r="T10" s="112"/>
      <c r="U10" s="112">
        <f t="shared" si="2"/>
        <v>3</v>
      </c>
      <c r="V10" s="116"/>
      <c r="W10" s="116"/>
      <c r="X10" s="122">
        <f t="shared" si="3"/>
        <v>4</v>
      </c>
      <c r="Y10" s="121"/>
      <c r="Z10" s="2"/>
      <c r="AA10" s="2"/>
      <c r="AB10" s="112"/>
      <c r="AC10" s="112">
        <f t="shared" si="4"/>
        <v>3</v>
      </c>
      <c r="AD10" s="116"/>
      <c r="AE10" s="116"/>
      <c r="AF10" s="122">
        <f t="shared" si="5"/>
        <v>4</v>
      </c>
      <c r="AG10" s="121"/>
      <c r="AH10" s="2"/>
      <c r="AI10" s="2"/>
      <c r="AJ10" s="112"/>
      <c r="AK10" s="112">
        <f t="shared" si="6"/>
        <v>3</v>
      </c>
      <c r="AL10" s="116"/>
      <c r="AM10" s="116"/>
      <c r="AN10" s="122">
        <f t="shared" si="7"/>
        <v>4</v>
      </c>
      <c r="AO10" s="121"/>
      <c r="AR10" s="112"/>
      <c r="AS10" s="112">
        <f t="shared" si="8"/>
        <v>3</v>
      </c>
      <c r="AT10" s="116"/>
      <c r="AU10" s="116"/>
      <c r="AV10" s="115">
        <f t="shared" si="9"/>
        <v>4</v>
      </c>
      <c r="AY10" s="112"/>
    </row>
    <row r="11" spans="1:51" s="119" customFormat="1" ht="15" customHeight="1" x14ac:dyDescent="0.55000000000000004">
      <c r="B11" s="225" t="s">
        <v>123</v>
      </c>
      <c r="C11" s="150">
        <f>'Données Simulation 1'!P10*60+'Données Simulation 1'!Q10</f>
        <v>480</v>
      </c>
      <c r="D11" s="164">
        <f>C11-C9-D10</f>
        <v>48.25</v>
      </c>
      <c r="E11" s="153" t="s">
        <v>124</v>
      </c>
      <c r="M11" s="112">
        <v>1</v>
      </c>
      <c r="N11" s="116"/>
      <c r="O11" s="116"/>
      <c r="P11" s="122">
        <v>2</v>
      </c>
      <c r="Q11" s="121"/>
      <c r="R11" s="234"/>
      <c r="S11" s="234"/>
      <c r="U11" s="112">
        <v>1</v>
      </c>
      <c r="V11" s="116"/>
      <c r="W11" s="116"/>
      <c r="X11" s="122">
        <v>2</v>
      </c>
      <c r="Y11" s="121"/>
      <c r="Z11" s="234"/>
      <c r="AA11" s="234"/>
      <c r="AC11" s="112">
        <v>1</v>
      </c>
      <c r="AD11" s="116"/>
      <c r="AE11" s="116"/>
      <c r="AF11" s="122">
        <v>2</v>
      </c>
      <c r="AG11" s="121"/>
      <c r="AH11" s="234"/>
      <c r="AI11" s="234"/>
      <c r="AK11" s="112">
        <v>1</v>
      </c>
      <c r="AL11" s="116"/>
      <c r="AM11" s="116"/>
      <c r="AN11" s="122">
        <v>2</v>
      </c>
      <c r="AO11" s="121"/>
      <c r="AP11" s="234"/>
      <c r="AQ11" s="234"/>
      <c r="AS11" s="112">
        <v>1</v>
      </c>
      <c r="AT11" s="116"/>
      <c r="AU11" s="116"/>
      <c r="AV11" s="115">
        <v>2</v>
      </c>
    </row>
    <row r="12" spans="1:51" s="119" customFormat="1" ht="15" customHeight="1" x14ac:dyDescent="0.55000000000000004">
      <c r="B12" s="226"/>
      <c r="C12" s="155"/>
      <c r="D12" s="151">
        <f>TRG!G6</f>
        <v>15</v>
      </c>
      <c r="E12" s="152" t="s">
        <v>28</v>
      </c>
      <c r="J12" s="120"/>
      <c r="K12" s="120"/>
      <c r="M12" s="112"/>
      <c r="N12" s="229">
        <f>'Données Simulation 1'!O15</f>
        <v>4</v>
      </c>
      <c r="O12" s="230"/>
      <c r="P12" s="121"/>
      <c r="Q12" s="121"/>
      <c r="R12" s="120"/>
      <c r="S12" s="120"/>
      <c r="U12" s="112"/>
      <c r="V12" s="229">
        <f>'Données Simulation 1'!M15</f>
        <v>4</v>
      </c>
      <c r="W12" s="230"/>
      <c r="X12" s="121"/>
      <c r="Y12" s="121"/>
      <c r="Z12" s="120"/>
      <c r="AA12" s="120"/>
      <c r="AC12" s="112"/>
      <c r="AD12" s="229">
        <f>'Données Simulation 1'!Q15</f>
        <v>2</v>
      </c>
      <c r="AE12" s="230"/>
      <c r="AF12" s="121"/>
      <c r="AG12" s="121"/>
      <c r="AH12" s="120"/>
      <c r="AI12" s="120"/>
      <c r="AK12" s="112"/>
      <c r="AL12" s="229">
        <f>'Données Simulation 1'!P15</f>
        <v>8</v>
      </c>
      <c r="AM12" s="230"/>
      <c r="AN12" s="121"/>
      <c r="AO12" s="121"/>
      <c r="AP12" s="120"/>
      <c r="AQ12" s="120"/>
      <c r="AS12" s="112"/>
      <c r="AT12" s="229">
        <f>'Données Simulation 1'!R15</f>
        <v>2</v>
      </c>
      <c r="AU12" s="230"/>
      <c r="AV12" s="112"/>
    </row>
    <row r="13" spans="1:51" s="119" customFormat="1" ht="15" customHeight="1" x14ac:dyDescent="0.55000000000000004">
      <c r="B13" s="225" t="s">
        <v>122</v>
      </c>
      <c r="C13" s="150">
        <f>'Données Simulation 1'!P11*60+'Données Simulation 1'!Q11</f>
        <v>540</v>
      </c>
      <c r="D13" s="165">
        <f>C13-C11-D12</f>
        <v>45</v>
      </c>
      <c r="E13" s="153" t="s">
        <v>124</v>
      </c>
      <c r="J13" s="120"/>
      <c r="K13" s="120"/>
      <c r="N13" s="235" t="s">
        <v>100</v>
      </c>
      <c r="O13" s="235"/>
      <c r="P13" s="121"/>
      <c r="Q13" s="121"/>
      <c r="R13" s="120"/>
      <c r="S13" s="120"/>
      <c r="V13" s="235" t="s">
        <v>100</v>
      </c>
      <c r="W13" s="235"/>
      <c r="X13" s="121"/>
      <c r="Y13" s="121"/>
      <c r="Z13" s="120"/>
      <c r="AA13" s="120"/>
      <c r="AD13" s="235" t="s">
        <v>100</v>
      </c>
      <c r="AE13" s="235"/>
      <c r="AF13" s="121"/>
      <c r="AG13" s="121"/>
      <c r="AH13" s="120"/>
      <c r="AI13" s="120"/>
      <c r="AL13" s="235" t="s">
        <v>100</v>
      </c>
      <c r="AM13" s="235"/>
      <c r="AN13" s="121"/>
      <c r="AO13" s="121"/>
      <c r="AP13" s="120"/>
      <c r="AQ13" s="120"/>
      <c r="AT13" s="235" t="s">
        <v>100</v>
      </c>
      <c r="AU13" s="235"/>
    </row>
    <row r="14" spans="1:51" ht="15" customHeight="1" x14ac:dyDescent="0.55000000000000004">
      <c r="B14" s="226"/>
      <c r="C14" s="156"/>
      <c r="D14" s="151">
        <v>5</v>
      </c>
      <c r="E14" s="152" t="s">
        <v>28</v>
      </c>
      <c r="G14" s="119"/>
      <c r="H14" s="120"/>
      <c r="I14" s="120"/>
      <c r="O14" s="119"/>
      <c r="P14" s="120"/>
      <c r="Q14" s="120"/>
      <c r="W14" s="119"/>
      <c r="X14" s="120"/>
      <c r="Y14" s="120"/>
      <c r="AE14" s="119"/>
      <c r="AF14" s="120"/>
      <c r="AG14" s="120"/>
      <c r="AM14" s="119"/>
      <c r="AN14" s="120"/>
      <c r="AO14" s="120"/>
      <c r="AP14" s="119"/>
    </row>
    <row r="15" spans="1:51" x14ac:dyDescent="0.55000000000000004">
      <c r="B15" s="157"/>
      <c r="C15" s="158" t="s">
        <v>125</v>
      </c>
      <c r="D15" s="159">
        <f>D14+D12+D10+D8+D6+D4</f>
        <v>63</v>
      </c>
      <c r="E15" s="160"/>
      <c r="G15" s="119"/>
      <c r="H15" s="120"/>
      <c r="I15" s="120"/>
      <c r="O15" s="119"/>
      <c r="P15" s="120"/>
      <c r="Q15" s="120"/>
      <c r="W15" s="119"/>
      <c r="X15" s="120"/>
      <c r="Y15" s="120"/>
      <c r="AE15" s="119"/>
      <c r="AF15" s="120"/>
      <c r="AG15" s="120"/>
      <c r="AM15" s="119"/>
      <c r="AN15" s="120"/>
      <c r="AO15" s="120"/>
      <c r="AP15" s="119"/>
    </row>
    <row r="16" spans="1:51" x14ac:dyDescent="0.55000000000000004">
      <c r="B16" s="31"/>
      <c r="C16" s="31"/>
      <c r="D16" s="237">
        <f>SUM(D4:D14)</f>
        <v>545</v>
      </c>
      <c r="E16" s="31"/>
    </row>
    <row r="17" spans="2:32" ht="14.1" x14ac:dyDescent="0.55000000000000004">
      <c r="B17" s="31"/>
      <c r="C17" s="111" t="s">
        <v>27</v>
      </c>
      <c r="D17" s="238"/>
      <c r="E17" s="31"/>
    </row>
    <row r="18" spans="2:32" x14ac:dyDescent="0.55000000000000004">
      <c r="C18" s="2"/>
    </row>
    <row r="21" spans="2:32" ht="22.5" x14ac:dyDescent="0.55000000000000004">
      <c r="N21" s="2"/>
      <c r="S21" s="2"/>
      <c r="T21" s="112"/>
      <c r="W21" s="112"/>
      <c r="X21" s="112"/>
      <c r="Z21" s="2"/>
      <c r="AA21" s="167"/>
      <c r="AB21" s="168" t="s">
        <v>96</v>
      </c>
      <c r="AC21" s="233">
        <f>D15</f>
        <v>63</v>
      </c>
      <c r="AD21" s="233"/>
      <c r="AE21" s="233"/>
      <c r="AF21" s="233"/>
    </row>
    <row r="22" spans="2:32" x14ac:dyDescent="0.55000000000000004">
      <c r="N22" s="2"/>
      <c r="S22" s="2"/>
      <c r="T22" s="112"/>
      <c r="W22" s="112"/>
      <c r="X22" s="112"/>
      <c r="Z22" s="2"/>
      <c r="AA22" s="2"/>
    </row>
    <row r="23" spans="2:32" ht="22.5" x14ac:dyDescent="0.55000000000000004">
      <c r="N23" s="2"/>
      <c r="S23" s="2"/>
      <c r="T23" s="112"/>
      <c r="W23" s="112"/>
      <c r="X23" s="112"/>
      <c r="Z23" s="2"/>
      <c r="AA23" s="167"/>
      <c r="AB23" s="168" t="s">
        <v>97</v>
      </c>
      <c r="AC23" s="232">
        <f>D16</f>
        <v>545</v>
      </c>
      <c r="AD23" s="232"/>
      <c r="AE23" s="232"/>
      <c r="AF23" s="232"/>
    </row>
    <row r="24" spans="2:32" x14ac:dyDescent="0.55000000000000004">
      <c r="N24" s="2"/>
      <c r="S24" s="2"/>
      <c r="T24" s="112"/>
      <c r="W24" s="112"/>
      <c r="X24" s="112"/>
      <c r="Z24" s="2"/>
      <c r="AA24" s="2"/>
    </row>
    <row r="25" spans="2:32" ht="22.2" x14ac:dyDescent="0.55000000000000004">
      <c r="N25" s="2"/>
      <c r="S25" s="2"/>
      <c r="T25" s="112"/>
      <c r="W25" s="112"/>
      <c r="X25" s="112"/>
      <c r="Z25" s="2"/>
      <c r="AA25" s="167"/>
      <c r="AB25" s="168" t="s">
        <v>98</v>
      </c>
      <c r="AC25" s="231">
        <f>AC21/AC23</f>
        <v>0.11559633027522936</v>
      </c>
      <c r="AD25" s="231"/>
      <c r="AE25" s="231"/>
      <c r="AF25" s="231"/>
    </row>
  </sheetData>
  <sheetProtection sheet="1"/>
  <mergeCells count="36">
    <mergeCell ref="AT12:AU12"/>
    <mergeCell ref="D16:D17"/>
    <mergeCell ref="G5:H6"/>
    <mergeCell ref="Z11:AA11"/>
    <mergeCell ref="AW5:AY5"/>
    <mergeCell ref="AL13:AM13"/>
    <mergeCell ref="AL12:AM12"/>
    <mergeCell ref="AP3:AQ3"/>
    <mergeCell ref="AD13:AE13"/>
    <mergeCell ref="AH11:AI11"/>
    <mergeCell ref="J4:K4"/>
    <mergeCell ref="N12:O12"/>
    <mergeCell ref="R4:S4"/>
    <mergeCell ref="V12:W12"/>
    <mergeCell ref="Z4:AA4"/>
    <mergeCell ref="AC25:AF25"/>
    <mergeCell ref="AC23:AF23"/>
    <mergeCell ref="AC21:AF21"/>
    <mergeCell ref="A1:AU1"/>
    <mergeCell ref="B13:B14"/>
    <mergeCell ref="B11:B12"/>
    <mergeCell ref="AH4:AI4"/>
    <mergeCell ref="AP11:AQ11"/>
    <mergeCell ref="AT13:AU13"/>
    <mergeCell ref="J3:K3"/>
    <mergeCell ref="N13:O13"/>
    <mergeCell ref="R11:S11"/>
    <mergeCell ref="V13:W13"/>
    <mergeCell ref="R3:S3"/>
    <mergeCell ref="Z3:AA3"/>
    <mergeCell ref="AH3:AI3"/>
    <mergeCell ref="B9:B10"/>
    <mergeCell ref="B7:B8"/>
    <mergeCell ref="B5:B6"/>
    <mergeCell ref="AP4:AQ4"/>
    <mergeCell ref="AD12:AE12"/>
  </mergeCells>
  <conditionalFormatting sqref="J5:J6 R5:R6 Z5:Z6 AH5:AH6 AP5:AP6">
    <cfRule type="expression" dxfId="9" priority="49">
      <formula>I5&lt;=J$4</formula>
    </cfRule>
  </conditionalFormatting>
  <conditionalFormatting sqref="K5:K6 S5:S6 AA5:AA6 AI5:AI6 AQ5:AQ6">
    <cfRule type="expression" dxfId="8" priority="51">
      <formula>L5&lt;=J$4</formula>
    </cfRule>
  </conditionalFormatting>
  <conditionalFormatting sqref="N4:N11">
    <cfRule type="expression" dxfId="7" priority="14">
      <formula>M4&lt;=N$12</formula>
    </cfRule>
  </conditionalFormatting>
  <conditionalFormatting sqref="O4:O11">
    <cfRule type="expression" dxfId="6" priority="13">
      <formula>P4&lt;=N$12</formula>
    </cfRule>
  </conditionalFormatting>
  <conditionalFormatting sqref="V4:V11 AD4:AD11 AL4:AL11 AT4:AT11">
    <cfRule type="expression" dxfId="5" priority="2">
      <formula>U4&lt;=V$12</formula>
    </cfRule>
  </conditionalFormatting>
  <conditionalFormatting sqref="W4:W11 AE4:AE11 AM4:AM11 AU4:AU11">
    <cfRule type="expression" dxfId="4" priority="1">
      <formula>X4&lt;=V$12</formula>
    </cfRule>
  </conditionalFormatting>
  <hyperlinks>
    <hyperlink ref="A1:AP1" location="Sommaire!A1" display="Visualisation des stocks" xr:uid="{00000000-0004-0000-0700-000000000000}"/>
  </hyperlink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G16"/>
  <sheetViews>
    <sheetView showGridLines="0" zoomScale="85" zoomScaleNormal="85" workbookViewId="0">
      <selection activeCell="E5" sqref="E5"/>
    </sheetView>
  </sheetViews>
  <sheetFormatPr baseColWidth="10" defaultColWidth="11.41796875" defaultRowHeight="14.4" x14ac:dyDescent="0.55000000000000004"/>
  <cols>
    <col min="1" max="1" width="4.26171875" customWidth="1"/>
    <col min="2" max="2" width="4.41796875" customWidth="1"/>
    <col min="3" max="3" width="104.26171875" customWidth="1"/>
    <col min="4" max="7" width="5.68359375" style="98" customWidth="1"/>
  </cols>
  <sheetData>
    <row r="1" spans="1:7" ht="17.7" x14ac:dyDescent="0.6">
      <c r="A1" s="242" t="s">
        <v>95</v>
      </c>
      <c r="B1" s="242"/>
      <c r="C1" s="242"/>
      <c r="D1" s="242"/>
      <c r="E1" s="242"/>
      <c r="F1" s="242"/>
      <c r="G1" s="242"/>
    </row>
    <row r="2" spans="1:7" ht="11.25" customHeight="1" x14ac:dyDescent="0.55000000000000004"/>
    <row r="3" spans="1:7" ht="24.75" customHeight="1" x14ac:dyDescent="0.55000000000000004">
      <c r="D3" s="108" t="s">
        <v>36</v>
      </c>
      <c r="E3" s="108" t="s">
        <v>37</v>
      </c>
      <c r="F3" s="108" t="s">
        <v>38</v>
      </c>
      <c r="G3" s="108" t="s">
        <v>39</v>
      </c>
    </row>
    <row r="4" spans="1:7" ht="15" x14ac:dyDescent="0.55000000000000004">
      <c r="B4" s="99"/>
      <c r="C4" s="100" t="s">
        <v>29</v>
      </c>
      <c r="D4" s="101" t="s">
        <v>30</v>
      </c>
      <c r="E4" s="101" t="s">
        <v>31</v>
      </c>
      <c r="F4" s="101" t="s">
        <v>32</v>
      </c>
      <c r="G4" s="102" t="s">
        <v>33</v>
      </c>
    </row>
    <row r="5" spans="1:7" ht="32.25" customHeight="1" x14ac:dyDescent="0.55000000000000004">
      <c r="B5" s="103">
        <v>1</v>
      </c>
      <c r="C5" s="104" t="s">
        <v>18</v>
      </c>
      <c r="D5" s="95"/>
      <c r="E5" s="96"/>
      <c r="F5" s="96"/>
      <c r="G5" s="97"/>
    </row>
    <row r="6" spans="1:7" ht="32.25" customHeight="1" x14ac:dyDescent="0.55000000000000004">
      <c r="B6" s="103">
        <v>2</v>
      </c>
      <c r="C6" s="104" t="s">
        <v>19</v>
      </c>
      <c r="D6" s="95"/>
      <c r="E6" s="96"/>
      <c r="F6" s="96"/>
      <c r="G6" s="97"/>
    </row>
    <row r="7" spans="1:7" ht="32.25" customHeight="1" x14ac:dyDescent="0.55000000000000004">
      <c r="B7" s="103">
        <v>3</v>
      </c>
      <c r="C7" s="104" t="s">
        <v>20</v>
      </c>
      <c r="D7" s="95"/>
      <c r="E7" s="96"/>
      <c r="F7" s="96"/>
      <c r="G7" s="97"/>
    </row>
    <row r="8" spans="1:7" ht="32.25" customHeight="1" x14ac:dyDescent="0.55000000000000004">
      <c r="B8" s="103">
        <v>4</v>
      </c>
      <c r="C8" s="104" t="s">
        <v>21</v>
      </c>
      <c r="D8" s="95"/>
      <c r="E8" s="96"/>
      <c r="F8" s="96"/>
      <c r="G8" s="97"/>
    </row>
    <row r="9" spans="1:7" ht="32.25" customHeight="1" x14ac:dyDescent="0.55000000000000004">
      <c r="B9" s="103">
        <v>5</v>
      </c>
      <c r="C9" s="104" t="s">
        <v>22</v>
      </c>
      <c r="D9" s="95"/>
      <c r="E9" s="96"/>
      <c r="F9" s="96"/>
      <c r="G9" s="97"/>
    </row>
    <row r="10" spans="1:7" ht="32.25" customHeight="1" x14ac:dyDescent="0.55000000000000004">
      <c r="B10" s="103">
        <v>6</v>
      </c>
      <c r="C10" s="104" t="s">
        <v>34</v>
      </c>
      <c r="D10" s="95"/>
      <c r="E10" s="96"/>
      <c r="F10" s="96"/>
      <c r="G10" s="97"/>
    </row>
    <row r="11" spans="1:7" ht="36.75" customHeight="1" x14ac:dyDescent="0.55000000000000004">
      <c r="B11" s="103">
        <v>7</v>
      </c>
      <c r="C11" s="104" t="s">
        <v>35</v>
      </c>
      <c r="D11" s="95"/>
      <c r="E11" s="96"/>
      <c r="F11" s="96"/>
      <c r="G11" s="97"/>
    </row>
    <row r="12" spans="1:7" ht="32.25" customHeight="1" thickBot="1" x14ac:dyDescent="0.6">
      <c r="B12" s="105">
        <v>8</v>
      </c>
      <c r="C12" s="106" t="s">
        <v>23</v>
      </c>
      <c r="D12" s="95"/>
      <c r="E12" s="96"/>
      <c r="F12" s="96"/>
      <c r="G12" s="97"/>
    </row>
    <row r="13" spans="1:7" ht="6.75" customHeight="1" x14ac:dyDescent="0.55000000000000004"/>
    <row r="14" spans="1:7" ht="20.25" customHeight="1" x14ac:dyDescent="0.55000000000000004">
      <c r="D14" s="107">
        <f>SUM(D5:D12)</f>
        <v>0</v>
      </c>
      <c r="E14" s="107">
        <f>SUM(E5:E12)</f>
        <v>0</v>
      </c>
      <c r="F14" s="107">
        <f>SUM(F5:F12)</f>
        <v>0</v>
      </c>
      <c r="G14" s="107">
        <f>SUM(G5:G12)</f>
        <v>0</v>
      </c>
    </row>
    <row r="15" spans="1:7" ht="12" customHeight="1" x14ac:dyDescent="0.55000000000000004"/>
    <row r="16" spans="1:7" ht="20.100000000000001" x14ac:dyDescent="0.7">
      <c r="D16" s="109" t="s">
        <v>40</v>
      </c>
      <c r="E16" s="241">
        <f>SUM(D14:G14)/32</f>
        <v>0</v>
      </c>
      <c r="F16" s="241"/>
    </row>
  </sheetData>
  <sheetProtection sheet="1" objects="1" scenarios="1"/>
  <mergeCells count="2">
    <mergeCell ref="E16:F16"/>
    <mergeCell ref="A1:G1"/>
  </mergeCells>
  <conditionalFormatting sqref="D5:D12">
    <cfRule type="cellIs" dxfId="3" priority="8" operator="equal">
      <formula>1</formula>
    </cfRule>
  </conditionalFormatting>
  <conditionalFormatting sqref="E5:E12">
    <cfRule type="cellIs" dxfId="2" priority="7" operator="equal">
      <formula>2</formula>
    </cfRule>
  </conditionalFormatting>
  <conditionalFormatting sqref="F5:F12">
    <cfRule type="cellIs" dxfId="1" priority="6" operator="equal">
      <formula>3</formula>
    </cfRule>
  </conditionalFormatting>
  <conditionalFormatting sqref="G5:G12">
    <cfRule type="cellIs" dxfId="0" priority="5" operator="equal">
      <formula>4</formula>
    </cfRule>
  </conditionalFormatting>
  <hyperlinks>
    <hyperlink ref="A1:G1" location="Sommaire!A1" display="Enquête Motivation" xr:uid="{00000000-0004-0000-0800-000000000000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W48"/>
  <sheetViews>
    <sheetView showGridLines="0" topLeftCell="A31" zoomScale="70" zoomScaleNormal="70" workbookViewId="0">
      <selection activeCell="H21" sqref="H21:J21"/>
    </sheetView>
  </sheetViews>
  <sheetFormatPr baseColWidth="10" defaultColWidth="11.41796875" defaultRowHeight="13.8" x14ac:dyDescent="0.55000000000000004"/>
  <cols>
    <col min="1" max="1" width="1.41796875" style="2" customWidth="1"/>
    <col min="2" max="2" width="8" style="2" customWidth="1"/>
    <col min="3" max="4" width="9.41796875" style="2" customWidth="1"/>
    <col min="5" max="5" width="8.41796875" style="2" customWidth="1"/>
    <col min="6" max="6" width="7.41796875" style="2" customWidth="1"/>
    <col min="7" max="7" width="6" style="2" customWidth="1"/>
    <col min="8" max="8" width="5.41796875" style="2" customWidth="1"/>
    <col min="9" max="9" width="4.68359375" style="2" customWidth="1"/>
    <col min="10" max="10" width="7.41796875" style="2" customWidth="1"/>
    <col min="11" max="11" width="9.68359375" style="2" customWidth="1"/>
    <col min="12" max="12" width="9.15625" style="2" customWidth="1"/>
    <col min="13" max="16384" width="11.41796875" style="2"/>
  </cols>
  <sheetData>
    <row r="1" spans="1:23" ht="17.7" x14ac:dyDescent="0.55000000000000004">
      <c r="A1" s="183" t="s">
        <v>118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</row>
    <row r="2" spans="1:23" ht="21.75" customHeight="1" x14ac:dyDescent="0.55000000000000004"/>
    <row r="3" spans="1:23" ht="27.75" customHeight="1" x14ac:dyDescent="0.55000000000000004">
      <c r="C3" s="219" t="s">
        <v>61</v>
      </c>
      <c r="D3" s="219"/>
      <c r="E3" s="219"/>
      <c r="F3" s="219"/>
      <c r="G3" s="219"/>
      <c r="H3" s="219"/>
      <c r="I3" s="219"/>
      <c r="J3" s="219"/>
    </row>
    <row r="4" spans="1:23" ht="33.75" customHeight="1" x14ac:dyDescent="0.55000000000000004">
      <c r="C4" s="221" t="s">
        <v>74</v>
      </c>
      <c r="D4" s="222"/>
      <c r="E4" s="220" t="s">
        <v>43</v>
      </c>
      <c r="F4" s="220"/>
      <c r="G4" s="220" t="s">
        <v>44</v>
      </c>
      <c r="H4" s="220"/>
      <c r="I4" s="220" t="s">
        <v>45</v>
      </c>
      <c r="J4" s="220"/>
    </row>
    <row r="5" spans="1:23" ht="27.75" customHeight="1" x14ac:dyDescent="0.55000000000000004">
      <c r="B5" s="35" t="s">
        <v>42</v>
      </c>
      <c r="C5" s="35">
        <v>4</v>
      </c>
      <c r="D5" s="36">
        <f>10+C5</f>
        <v>14</v>
      </c>
      <c r="E5" s="35">
        <v>5</v>
      </c>
      <c r="F5" s="37">
        <f>60+5*E5</f>
        <v>85</v>
      </c>
      <c r="G5" s="38">
        <v>0.14000000000000001</v>
      </c>
      <c r="H5" s="39">
        <f>MAX(100-G5*100*5,0)</f>
        <v>29.999999999999986</v>
      </c>
      <c r="I5" s="39">
        <v>30</v>
      </c>
      <c r="J5" s="40">
        <f>8+I5*2/5</f>
        <v>20</v>
      </c>
    </row>
    <row r="6" spans="1:23" ht="27.75" customHeight="1" x14ac:dyDescent="0.55000000000000004">
      <c r="B6" s="41" t="s">
        <v>70</v>
      </c>
      <c r="C6" s="41">
        <v>2</v>
      </c>
      <c r="D6" s="42">
        <f>10+C6</f>
        <v>12</v>
      </c>
      <c r="E6" s="41">
        <v>2</v>
      </c>
      <c r="F6" s="43">
        <f>60+5*E6</f>
        <v>70</v>
      </c>
      <c r="G6" s="44">
        <v>0.06</v>
      </c>
      <c r="H6" s="45">
        <f>MAX(100-G6*100*5,0)</f>
        <v>70</v>
      </c>
      <c r="I6" s="45">
        <v>20</v>
      </c>
      <c r="J6" s="46">
        <f>8+I6*2/5</f>
        <v>16</v>
      </c>
    </row>
    <row r="7" spans="1:23" ht="27.75" customHeight="1" x14ac:dyDescent="0.55000000000000004">
      <c r="B7" s="47" t="s">
        <v>76</v>
      </c>
      <c r="C7" s="47">
        <f>'Données Simulation 1'!H20</f>
        <v>2.0377358490566038</v>
      </c>
      <c r="D7" s="48">
        <f>10+C7</f>
        <v>12.037735849056604</v>
      </c>
      <c r="E7" s="47">
        <f>('Données Simulation 1'!P11*60+'Données Simulation 1'!Q11)/60</f>
        <v>9</v>
      </c>
      <c r="F7" s="49">
        <f>60+5*E7</f>
        <v>105</v>
      </c>
      <c r="G7" s="50">
        <f>'Données Simulation 1'!J13</f>
        <v>0.20895522388059701</v>
      </c>
      <c r="H7" s="51">
        <f>MAX(100-G7*100*5,0)</f>
        <v>0</v>
      </c>
      <c r="I7" s="51">
        <f>'Données Simulation 1'!S15</f>
        <v>24</v>
      </c>
      <c r="J7" s="52">
        <f>8+I7*2/5</f>
        <v>17.600000000000001</v>
      </c>
    </row>
    <row r="8" spans="1:23" ht="27.75" customHeight="1" x14ac:dyDescent="0.55000000000000004">
      <c r="B8" s="53" t="s">
        <v>75</v>
      </c>
      <c r="C8" s="20"/>
      <c r="D8" s="54">
        <f>10+C8</f>
        <v>10</v>
      </c>
      <c r="E8" s="20"/>
      <c r="F8" s="55">
        <f>60+5*E8</f>
        <v>60</v>
      </c>
      <c r="G8" s="33"/>
      <c r="H8" s="56">
        <f>MAX(100-G8*100*5,0)</f>
        <v>100</v>
      </c>
      <c r="I8" s="34"/>
      <c r="J8" s="57">
        <f>8+I8*2/5</f>
        <v>8</v>
      </c>
    </row>
    <row r="9" spans="1:23" ht="18.75" customHeight="1" x14ac:dyDescent="0.55000000000000004">
      <c r="C9" s="255" t="s">
        <v>62</v>
      </c>
      <c r="D9" s="255"/>
      <c r="E9" s="255"/>
      <c r="F9" s="255"/>
      <c r="G9" s="255"/>
      <c r="H9" s="255"/>
      <c r="I9" s="255"/>
      <c r="J9" s="255"/>
    </row>
    <row r="10" spans="1:23" ht="27.75" customHeight="1" x14ac:dyDescent="0.55000000000000004">
      <c r="B10" s="58" t="s">
        <v>71</v>
      </c>
      <c r="C10" s="32"/>
      <c r="D10" s="59">
        <f>10+C10</f>
        <v>10</v>
      </c>
      <c r="E10" s="20"/>
      <c r="F10" s="60">
        <f>60+5*E10</f>
        <v>60</v>
      </c>
      <c r="G10" s="33"/>
      <c r="H10" s="61">
        <f>MAX(100-G10*100*5,0)</f>
        <v>100</v>
      </c>
      <c r="I10" s="34"/>
      <c r="J10" s="62">
        <f>8+I10*2/5</f>
        <v>8</v>
      </c>
    </row>
    <row r="11" spans="1:23" ht="27.75" customHeight="1" x14ac:dyDescent="0.55000000000000004">
      <c r="B11" s="63" t="s">
        <v>72</v>
      </c>
      <c r="C11" s="32"/>
      <c r="D11" s="64">
        <f>10+C11</f>
        <v>10</v>
      </c>
      <c r="E11" s="20"/>
      <c r="F11" s="65">
        <f>60+5*E11</f>
        <v>60</v>
      </c>
      <c r="G11" s="33"/>
      <c r="H11" s="66">
        <f>MAX(100-G11*100*5,0)</f>
        <v>100</v>
      </c>
      <c r="I11" s="34"/>
      <c r="J11" s="67">
        <f>8+I11*2/5</f>
        <v>8</v>
      </c>
    </row>
    <row r="12" spans="1:23" ht="27.75" customHeight="1" x14ac:dyDescent="0.55000000000000004">
      <c r="B12" s="68" t="s">
        <v>73</v>
      </c>
      <c r="C12" s="32"/>
      <c r="D12" s="69">
        <f>10+C12</f>
        <v>10</v>
      </c>
      <c r="E12" s="20"/>
      <c r="F12" s="70">
        <f>60+5*E12</f>
        <v>60</v>
      </c>
      <c r="G12" s="33"/>
      <c r="H12" s="71">
        <f>MAX(100-G12*100*5,0)</f>
        <v>100</v>
      </c>
      <c r="I12" s="34"/>
      <c r="J12" s="72">
        <f>8+I12*2/5</f>
        <v>8</v>
      </c>
    </row>
    <row r="14" spans="1:23" x14ac:dyDescent="0.55000000000000004">
      <c r="B14" s="2" t="s">
        <v>77</v>
      </c>
    </row>
    <row r="15" spans="1:23" x14ac:dyDescent="0.55000000000000004">
      <c r="B15" s="2" t="s">
        <v>78</v>
      </c>
    </row>
    <row r="18" spans="2:10" ht="33.4" customHeight="1" x14ac:dyDescent="0.55000000000000004">
      <c r="B18" s="252" t="s">
        <v>143</v>
      </c>
      <c r="C18" s="252"/>
      <c r="D18" s="252"/>
      <c r="E18" s="252"/>
      <c r="F18" s="252"/>
      <c r="G18" s="252"/>
      <c r="H18" s="252"/>
      <c r="I18" s="252"/>
      <c r="J18" s="252"/>
    </row>
    <row r="19" spans="2:10" ht="33.4" customHeight="1" x14ac:dyDescent="0.55000000000000004">
      <c r="B19" s="253" t="s">
        <v>134</v>
      </c>
      <c r="C19" s="253"/>
      <c r="D19" s="253"/>
      <c r="E19" s="253"/>
      <c r="F19" s="253"/>
      <c r="G19" s="176"/>
      <c r="H19" s="254" t="s">
        <v>141</v>
      </c>
      <c r="I19" s="254"/>
      <c r="J19" s="254"/>
    </row>
    <row r="20" spans="2:10" ht="33.4" customHeight="1" x14ac:dyDescent="0.55000000000000004">
      <c r="B20" s="249" t="s">
        <v>136</v>
      </c>
      <c r="C20" s="249"/>
      <c r="D20" s="249"/>
      <c r="E20" s="248">
        <v>24</v>
      </c>
      <c r="F20" s="248"/>
      <c r="G20" s="176"/>
      <c r="H20" s="248"/>
      <c r="I20" s="248"/>
      <c r="J20" s="248"/>
    </row>
    <row r="21" spans="2:10" ht="33.4" customHeight="1" x14ac:dyDescent="0.55000000000000004">
      <c r="B21" s="249" t="s">
        <v>137</v>
      </c>
      <c r="C21" s="249"/>
      <c r="D21" s="249"/>
      <c r="E21" s="248"/>
      <c r="F21" s="248"/>
      <c r="G21" s="176"/>
      <c r="H21" s="250" t="s">
        <v>142</v>
      </c>
      <c r="I21" s="250"/>
      <c r="J21" s="250"/>
    </row>
    <row r="22" spans="2:10" ht="33.4" customHeight="1" x14ac:dyDescent="0.55000000000000004">
      <c r="B22" s="249" t="s">
        <v>5</v>
      </c>
      <c r="C22" s="249"/>
      <c r="D22" s="249"/>
      <c r="E22" s="251">
        <f>(24-E21)/24</f>
        <v>1</v>
      </c>
      <c r="F22" s="251"/>
      <c r="G22" s="176"/>
      <c r="H22" s="248"/>
      <c r="I22" s="248"/>
      <c r="J22" s="248"/>
    </row>
    <row r="23" spans="2:10" ht="33.4" customHeight="1" x14ac:dyDescent="0.55000000000000004">
      <c r="B23" s="246" t="s">
        <v>135</v>
      </c>
      <c r="C23" s="246"/>
      <c r="D23" s="246"/>
      <c r="E23" s="246"/>
      <c r="F23" s="246"/>
      <c r="G23" s="176"/>
      <c r="H23" s="176"/>
      <c r="I23" s="247"/>
      <c r="J23" s="247"/>
    </row>
    <row r="24" spans="2:10" ht="33.4" customHeight="1" x14ac:dyDescent="0.55000000000000004">
      <c r="B24" s="243" t="s">
        <v>138</v>
      </c>
      <c r="C24" s="243"/>
      <c r="D24" s="243"/>
      <c r="E24" s="248"/>
      <c r="F24" s="248"/>
      <c r="G24" s="176"/>
      <c r="H24" s="176"/>
      <c r="I24" s="177"/>
      <c r="J24" s="177"/>
    </row>
    <row r="25" spans="2:10" ht="33.4" customHeight="1" x14ac:dyDescent="0.55000000000000004">
      <c r="B25" s="243" t="s">
        <v>140</v>
      </c>
      <c r="C25" s="243"/>
      <c r="D25" s="243"/>
      <c r="E25" s="248"/>
      <c r="F25" s="248"/>
      <c r="G25" s="176"/>
      <c r="H25" s="176"/>
      <c r="I25" s="178"/>
      <c r="J25" s="178"/>
    </row>
    <row r="26" spans="2:10" ht="33.4" customHeight="1" x14ac:dyDescent="0.55000000000000004">
      <c r="B26" s="243" t="s">
        <v>139</v>
      </c>
      <c r="C26" s="243"/>
      <c r="D26" s="243"/>
      <c r="E26" s="244" t="str">
        <f>IF(E24=0,"",E24*E25/E21)</f>
        <v/>
      </c>
      <c r="F26" s="244"/>
      <c r="G26" s="176"/>
      <c r="H26" s="176"/>
      <c r="I26" s="245"/>
      <c r="J26" s="245"/>
    </row>
    <row r="27" spans="2:10" ht="15" x14ac:dyDescent="0.55000000000000004">
      <c r="G27" s="176"/>
    </row>
    <row r="29" spans="2:10" ht="33.4" customHeight="1" x14ac:dyDescent="0.55000000000000004">
      <c r="B29" s="252" t="s">
        <v>144</v>
      </c>
      <c r="C29" s="252"/>
      <c r="D29" s="252"/>
      <c r="E29" s="252"/>
      <c r="F29" s="252"/>
      <c r="G29" s="252"/>
      <c r="H29" s="252"/>
      <c r="I29" s="252"/>
      <c r="J29" s="252"/>
    </row>
    <row r="30" spans="2:10" ht="33.4" customHeight="1" x14ac:dyDescent="0.55000000000000004">
      <c r="B30" s="253" t="s">
        <v>134</v>
      </c>
      <c r="C30" s="253"/>
      <c r="D30" s="253"/>
      <c r="E30" s="253"/>
      <c r="F30" s="253"/>
      <c r="G30" s="176"/>
      <c r="H30" s="254" t="s">
        <v>141</v>
      </c>
      <c r="I30" s="254"/>
      <c r="J30" s="254"/>
    </row>
    <row r="31" spans="2:10" ht="33.4" customHeight="1" x14ac:dyDescent="0.55000000000000004">
      <c r="B31" s="249" t="s">
        <v>136</v>
      </c>
      <c r="C31" s="249"/>
      <c r="D31" s="249"/>
      <c r="E31" s="248">
        <v>24</v>
      </c>
      <c r="F31" s="248"/>
      <c r="G31" s="176"/>
      <c r="H31" s="248"/>
      <c r="I31" s="248"/>
      <c r="J31" s="248"/>
    </row>
    <row r="32" spans="2:10" ht="33.4" customHeight="1" x14ac:dyDescent="0.55000000000000004">
      <c r="B32" s="249" t="s">
        <v>137</v>
      </c>
      <c r="C32" s="249"/>
      <c r="D32" s="249"/>
      <c r="E32" s="248"/>
      <c r="F32" s="248"/>
      <c r="G32" s="176"/>
      <c r="H32" s="250" t="s">
        <v>142</v>
      </c>
      <c r="I32" s="250"/>
      <c r="J32" s="250"/>
    </row>
    <row r="33" spans="2:10" ht="33.4" customHeight="1" x14ac:dyDescent="0.55000000000000004">
      <c r="B33" s="249" t="s">
        <v>5</v>
      </c>
      <c r="C33" s="249"/>
      <c r="D33" s="249"/>
      <c r="E33" s="251">
        <f>(24-E32)/24</f>
        <v>1</v>
      </c>
      <c r="F33" s="251"/>
      <c r="G33" s="176"/>
      <c r="H33" s="248"/>
      <c r="I33" s="248"/>
      <c r="J33" s="248"/>
    </row>
    <row r="34" spans="2:10" ht="33.4" customHeight="1" x14ac:dyDescent="0.55000000000000004">
      <c r="B34" s="246" t="s">
        <v>135</v>
      </c>
      <c r="C34" s="246"/>
      <c r="D34" s="246"/>
      <c r="E34" s="246"/>
      <c r="F34" s="246"/>
      <c r="G34" s="176"/>
      <c r="H34" s="176"/>
      <c r="I34" s="247"/>
      <c r="J34" s="247"/>
    </row>
    <row r="35" spans="2:10" ht="33.4" customHeight="1" x14ac:dyDescent="0.55000000000000004">
      <c r="B35" s="243" t="s">
        <v>138</v>
      </c>
      <c r="C35" s="243"/>
      <c r="D35" s="243"/>
      <c r="E35" s="248"/>
      <c r="F35" s="248"/>
      <c r="G35" s="176"/>
      <c r="H35" s="176"/>
      <c r="I35" s="177"/>
      <c r="J35" s="177"/>
    </row>
    <row r="36" spans="2:10" ht="33.4" customHeight="1" x14ac:dyDescent="0.55000000000000004">
      <c r="B36" s="243" t="s">
        <v>140</v>
      </c>
      <c r="C36" s="243"/>
      <c r="D36" s="243"/>
      <c r="E36" s="248"/>
      <c r="F36" s="248"/>
      <c r="G36" s="176"/>
      <c r="H36" s="176"/>
      <c r="I36" s="178"/>
      <c r="J36" s="178"/>
    </row>
    <row r="37" spans="2:10" ht="33.4" customHeight="1" x14ac:dyDescent="0.55000000000000004">
      <c r="B37" s="243" t="s">
        <v>139</v>
      </c>
      <c r="C37" s="243"/>
      <c r="D37" s="243"/>
      <c r="E37" s="244" t="str">
        <f>IF(E35=0,"",E35*E36/E32)</f>
        <v/>
      </c>
      <c r="F37" s="244"/>
      <c r="G37" s="176"/>
      <c r="H37" s="176"/>
      <c r="I37" s="245"/>
      <c r="J37" s="245"/>
    </row>
    <row r="40" spans="2:10" ht="33.4" customHeight="1" x14ac:dyDescent="0.55000000000000004">
      <c r="B40" s="252" t="s">
        <v>145</v>
      </c>
      <c r="C40" s="252"/>
      <c r="D40" s="252"/>
      <c r="E40" s="252"/>
      <c r="F40" s="252"/>
      <c r="G40" s="252"/>
      <c r="H40" s="252"/>
      <c r="I40" s="252"/>
      <c r="J40" s="252"/>
    </row>
    <row r="41" spans="2:10" ht="33.4" customHeight="1" x14ac:dyDescent="0.55000000000000004">
      <c r="B41" s="253" t="s">
        <v>134</v>
      </c>
      <c r="C41" s="253"/>
      <c r="D41" s="253"/>
      <c r="E41" s="253"/>
      <c r="F41" s="253"/>
      <c r="G41" s="176"/>
      <c r="H41" s="254" t="s">
        <v>141</v>
      </c>
      <c r="I41" s="254"/>
      <c r="J41" s="254"/>
    </row>
    <row r="42" spans="2:10" ht="33.4" customHeight="1" x14ac:dyDescent="0.55000000000000004">
      <c r="B42" s="249" t="s">
        <v>136</v>
      </c>
      <c r="C42" s="249"/>
      <c r="D42" s="249"/>
      <c r="E42" s="248">
        <v>24</v>
      </c>
      <c r="F42" s="248"/>
      <c r="G42" s="176"/>
      <c r="H42" s="248"/>
      <c r="I42" s="248"/>
      <c r="J42" s="248"/>
    </row>
    <row r="43" spans="2:10" ht="33.4" customHeight="1" x14ac:dyDescent="0.55000000000000004">
      <c r="B43" s="249" t="s">
        <v>137</v>
      </c>
      <c r="C43" s="249"/>
      <c r="D43" s="249"/>
      <c r="E43" s="248"/>
      <c r="F43" s="248"/>
      <c r="G43" s="176"/>
      <c r="H43" s="250" t="s">
        <v>142</v>
      </c>
      <c r="I43" s="250"/>
      <c r="J43" s="250"/>
    </row>
    <row r="44" spans="2:10" ht="33.4" customHeight="1" x14ac:dyDescent="0.55000000000000004">
      <c r="B44" s="249" t="s">
        <v>5</v>
      </c>
      <c r="C44" s="249"/>
      <c r="D44" s="249"/>
      <c r="E44" s="251">
        <f>(24-E43)/24</f>
        <v>1</v>
      </c>
      <c r="F44" s="251"/>
      <c r="G44" s="176"/>
      <c r="H44" s="248"/>
      <c r="I44" s="248"/>
      <c r="J44" s="248"/>
    </row>
    <row r="45" spans="2:10" ht="33.4" customHeight="1" x14ac:dyDescent="0.55000000000000004">
      <c r="B45" s="246" t="s">
        <v>135</v>
      </c>
      <c r="C45" s="246"/>
      <c r="D45" s="246"/>
      <c r="E45" s="246"/>
      <c r="F45" s="246"/>
      <c r="G45" s="176"/>
      <c r="H45" s="176"/>
      <c r="I45" s="247"/>
      <c r="J45" s="247"/>
    </row>
    <row r="46" spans="2:10" ht="33.4" customHeight="1" x14ac:dyDescent="0.55000000000000004">
      <c r="B46" s="243" t="s">
        <v>138</v>
      </c>
      <c r="C46" s="243"/>
      <c r="D46" s="243"/>
      <c r="E46" s="248"/>
      <c r="F46" s="248"/>
      <c r="G46" s="176"/>
      <c r="H46" s="176"/>
      <c r="I46" s="177"/>
      <c r="J46" s="177"/>
    </row>
    <row r="47" spans="2:10" ht="33.4" customHeight="1" x14ac:dyDescent="0.55000000000000004">
      <c r="B47" s="243" t="s">
        <v>140</v>
      </c>
      <c r="C47" s="243"/>
      <c r="D47" s="243"/>
      <c r="E47" s="248"/>
      <c r="F47" s="248"/>
      <c r="G47" s="176"/>
      <c r="H47" s="176"/>
      <c r="I47" s="178"/>
      <c r="J47" s="178"/>
    </row>
    <row r="48" spans="2:10" ht="33.4" customHeight="1" x14ac:dyDescent="0.55000000000000004">
      <c r="B48" s="243" t="s">
        <v>139</v>
      </c>
      <c r="C48" s="243"/>
      <c r="D48" s="243"/>
      <c r="E48" s="244" t="str">
        <f>IF(E46=0,"",E46*E47/E43)</f>
        <v/>
      </c>
      <c r="F48" s="244"/>
      <c r="G48" s="176"/>
      <c r="H48" s="176"/>
      <c r="I48" s="245"/>
      <c r="J48" s="245"/>
    </row>
  </sheetData>
  <sheetProtection sheet="1" objects="1" scenarios="1"/>
  <mergeCells count="70">
    <mergeCell ref="C9:J9"/>
    <mergeCell ref="A1:W1"/>
    <mergeCell ref="C3:J3"/>
    <mergeCell ref="C4:D4"/>
    <mergeCell ref="E4:F4"/>
    <mergeCell ref="G4:H4"/>
    <mergeCell ref="I4:J4"/>
    <mergeCell ref="I34:J34"/>
    <mergeCell ref="B20:D20"/>
    <mergeCell ref="B32:D32"/>
    <mergeCell ref="E32:F32"/>
    <mergeCell ref="H32:J32"/>
    <mergeCell ref="B33:D33"/>
    <mergeCell ref="E33:F33"/>
    <mergeCell ref="H33:J33"/>
    <mergeCell ref="B34:F34"/>
    <mergeCell ref="E21:F21"/>
    <mergeCell ref="E22:F22"/>
    <mergeCell ref="B23:F23"/>
    <mergeCell ref="B21:D21"/>
    <mergeCell ref="E24:F24"/>
    <mergeCell ref="E25:F25"/>
    <mergeCell ref="E26:F26"/>
    <mergeCell ref="B18:J18"/>
    <mergeCell ref="B29:J29"/>
    <mergeCell ref="B30:F30"/>
    <mergeCell ref="H30:J30"/>
    <mergeCell ref="B31:D31"/>
    <mergeCell ref="E31:F31"/>
    <mergeCell ref="H31:J31"/>
    <mergeCell ref="B19:F19"/>
    <mergeCell ref="I23:J23"/>
    <mergeCell ref="I26:J26"/>
    <mergeCell ref="H19:J19"/>
    <mergeCell ref="H21:J21"/>
    <mergeCell ref="H20:J20"/>
    <mergeCell ref="H22:J22"/>
    <mergeCell ref="B22:D22"/>
    <mergeCell ref="E20:F20"/>
    <mergeCell ref="B26:D26"/>
    <mergeCell ref="B25:D25"/>
    <mergeCell ref="B24:D24"/>
    <mergeCell ref="B35:D35"/>
    <mergeCell ref="E35:F35"/>
    <mergeCell ref="B36:D36"/>
    <mergeCell ref="E36:F36"/>
    <mergeCell ref="B37:D37"/>
    <mergeCell ref="E37:F37"/>
    <mergeCell ref="I37:J37"/>
    <mergeCell ref="B40:J40"/>
    <mergeCell ref="B41:F41"/>
    <mergeCell ref="H41:J41"/>
    <mergeCell ref="B42:D42"/>
    <mergeCell ref="E42:F42"/>
    <mergeCell ref="H42:J42"/>
    <mergeCell ref="B43:D43"/>
    <mergeCell ref="E43:F43"/>
    <mergeCell ref="H43:J43"/>
    <mergeCell ref="B44:D44"/>
    <mergeCell ref="E44:F44"/>
    <mergeCell ref="H44:J44"/>
    <mergeCell ref="B48:D48"/>
    <mergeCell ref="E48:F48"/>
    <mergeCell ref="I48:J48"/>
    <mergeCell ref="B45:F45"/>
    <mergeCell ref="I45:J45"/>
    <mergeCell ref="B46:D46"/>
    <mergeCell ref="E46:F46"/>
    <mergeCell ref="B47:D47"/>
    <mergeCell ref="E47:F47"/>
  </mergeCells>
  <hyperlinks>
    <hyperlink ref="A1:W1" location="Sommaire!A1" display="Performances" xr:uid="{00000000-0004-0000-0900-000000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Sommaire</vt:lpstr>
      <vt:lpstr>Données Simulation 1</vt:lpstr>
      <vt:lpstr>Qualité</vt:lpstr>
      <vt:lpstr>Performances Simul. 1</vt:lpstr>
      <vt:lpstr>Takt Time</vt:lpstr>
      <vt:lpstr>Feuil1</vt:lpstr>
      <vt:lpstr>TRG</vt:lpstr>
      <vt:lpstr>Productivité</vt:lpstr>
      <vt:lpstr>Graphique des flux</vt:lpstr>
      <vt:lpstr>Enquête motivation</vt:lpstr>
      <vt:lpstr>Performances Simul.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michelg</dc:creator>
  <cp:lastModifiedBy>Stéphane JAUBERT</cp:lastModifiedBy>
  <dcterms:created xsi:type="dcterms:W3CDTF">2010-08-12T01:20:12Z</dcterms:created>
  <dcterms:modified xsi:type="dcterms:W3CDTF">2026-09-16T09:30:45Z</dcterms:modified>
</cp:coreProperties>
</file>