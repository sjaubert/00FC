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a4_capability_cartes/"/>
    </mc:Choice>
  </mc:AlternateContent>
  <xr:revisionPtr revIDLastSave="229" documentId="8_{02141FA0-CB3F-46DF-AD2A-01CB0A43BE86}" xr6:coauthVersionLast="47" xr6:coauthVersionMax="47" xr10:uidLastSave="{DCDD3808-94A2-4445-8906-DBEB96284F92}"/>
  <bookViews>
    <workbookView xWindow="-98" yWindow="-98" windowWidth="21795" windowHeight="13875" activeTab="1" xr2:uid="{F23A649A-593B-4030-A82A-7C1A0C2C8981}"/>
  </bookViews>
  <sheets>
    <sheet name="diameter" sheetId="1" r:id="rId1"/>
    <sheet name="Feuil1" sheetId="2" r:id="rId2"/>
  </sheets>
  <calcPr calcId="0"/>
</workbook>
</file>

<file path=xl/calcChain.xml><?xml version="1.0" encoding="utf-8"?>
<calcChain xmlns="http://schemas.openxmlformats.org/spreadsheetml/2006/main">
  <c r="O17" i="2" l="1"/>
  <c r="O15" i="2"/>
  <c r="O14" i="2"/>
  <c r="O12" i="2"/>
  <c r="O9" i="2"/>
  <c r="O8" i="2"/>
  <c r="L9" i="2"/>
  <c r="L8" i="2"/>
  <c r="C9" i="2"/>
  <c r="D9" i="2"/>
  <c r="E9" i="2"/>
  <c r="F9" i="2"/>
  <c r="G9" i="2"/>
  <c r="H9" i="2"/>
  <c r="I9" i="2"/>
  <c r="J9" i="2"/>
  <c r="K9" i="2"/>
  <c r="B9" i="2"/>
  <c r="C8" i="2"/>
  <c r="D8" i="2"/>
  <c r="E8" i="2"/>
  <c r="F8" i="2"/>
  <c r="G8" i="2"/>
  <c r="H8" i="2"/>
  <c r="I8" i="2"/>
  <c r="J8" i="2"/>
  <c r="K8" i="2"/>
  <c r="B8" i="2"/>
  <c r="B35" i="1"/>
  <c r="J35" i="1"/>
  <c r="J36" i="1"/>
  <c r="J37" i="1"/>
  <c r="J38" i="1"/>
  <c r="J34" i="1"/>
  <c r="J33" i="1"/>
  <c r="I34" i="1"/>
  <c r="I35" i="1"/>
  <c r="I36" i="1"/>
  <c r="I37" i="1"/>
  <c r="I38" i="1"/>
  <c r="I33" i="1"/>
  <c r="H34" i="1"/>
  <c r="H35" i="1"/>
  <c r="H36" i="1"/>
  <c r="H37" i="1"/>
  <c r="H38" i="1"/>
  <c r="H33" i="1"/>
  <c r="G39" i="1"/>
  <c r="G33" i="1" a="1"/>
  <c r="G33" i="1" s="1"/>
  <c r="E35" i="1"/>
  <c r="F35" i="1"/>
  <c r="E36" i="1"/>
  <c r="F36" i="1"/>
  <c r="E37" i="1"/>
  <c r="F37" i="1"/>
  <c r="E38" i="1"/>
  <c r="F38" i="1"/>
  <c r="F34" i="1"/>
  <c r="E34" i="1"/>
  <c r="F33" i="1"/>
  <c r="E33" i="1"/>
  <c r="B42" i="1"/>
  <c r="B40" i="1"/>
  <c r="B39" i="1"/>
  <c r="B38" i="1"/>
  <c r="B37" i="1"/>
  <c r="B36" i="1"/>
  <c r="B34" i="1"/>
  <c r="B32" i="1"/>
  <c r="G38" i="1" l="1"/>
  <c r="G37" i="1"/>
  <c r="G36" i="1"/>
  <c r="G35" i="1"/>
  <c r="G34" i="1"/>
</calcChain>
</file>

<file path=xl/sharedStrings.xml><?xml version="1.0" encoding="utf-8"?>
<sst xmlns="http://schemas.openxmlformats.org/spreadsheetml/2006/main" count="25" uniqueCount="25">
  <si>
    <t>diameter</t>
  </si>
  <si>
    <t>Moyenne :</t>
  </si>
  <si>
    <t>Statistique</t>
  </si>
  <si>
    <t>Formule Excel</t>
  </si>
  <si>
    <t>Nombre de mesures (n)</t>
  </si>
  <si>
    <t>Moyenne (x̄)</t>
  </si>
  <si>
    <t>Écart-type (s)</t>
  </si>
  <si>
    <t>Minimum</t>
  </si>
  <si>
    <t>Maximum</t>
  </si>
  <si>
    <t>Étendue (R)</t>
  </si>
  <si>
    <t>Médiane</t>
  </si>
  <si>
    <t>Nombre de classes</t>
  </si>
  <si>
    <t>h=</t>
  </si>
  <si>
    <t>centre des classes</t>
  </si>
  <si>
    <t>Effectifs</t>
  </si>
  <si>
    <t>fi</t>
  </si>
  <si>
    <t>Fréquence cumulées croissantes</t>
  </si>
  <si>
    <t xml:space="preserve">Moyenne </t>
  </si>
  <si>
    <t>Etendue R</t>
  </si>
  <si>
    <t>LCI =</t>
  </si>
  <si>
    <t>LCS =</t>
  </si>
  <si>
    <t>Cp =</t>
  </si>
  <si>
    <t>Cpl =</t>
  </si>
  <si>
    <t>Cpu=</t>
  </si>
  <si>
    <t>Donc Cpk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</si>
</sst>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"/>
    <numFmt numFmtId="173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CBD5E1"/>
      <name val="Arial"/>
      <family val="2"/>
    </font>
    <font>
      <sz val="8"/>
      <color rgb="FF34D399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9" fillId="0" borderId="10" xfId="0" applyFont="1" applyBorder="1" applyAlignment="1">
      <alignment horizontal="left" vertical="center" wrapText="1" indent="1"/>
    </xf>
    <xf numFmtId="0" fontId="20" fillId="0" borderId="10" xfId="0" applyFont="1" applyBorder="1" applyAlignment="1">
      <alignment horizontal="left" vertical="center" wrapText="1" indent="1"/>
    </xf>
    <xf numFmtId="0" fontId="18" fillId="0" borderId="10" xfId="0" applyFont="1" applyBorder="1" applyAlignment="1">
      <alignment horizontal="left" vertical="center" wrapText="1" indent="1"/>
    </xf>
    <xf numFmtId="0" fontId="0" fillId="0" borderId="10" xfId="0" applyBorder="1"/>
    <xf numFmtId="167" fontId="20" fillId="0" borderId="10" xfId="0" applyNumberFormat="1" applyFont="1" applyBorder="1" applyAlignment="1">
      <alignment horizontal="left" vertical="center" wrapText="1" indent="1"/>
    </xf>
    <xf numFmtId="2" fontId="20" fillId="0" borderId="10" xfId="0" applyNumberFormat="1" applyFont="1" applyBorder="1" applyAlignment="1">
      <alignment horizontal="left" vertical="center" wrapText="1" indent="1"/>
    </xf>
    <xf numFmtId="167" fontId="16" fillId="33" borderId="11" xfId="0" applyNumberFormat="1" applyFont="1" applyFill="1" applyBorder="1"/>
    <xf numFmtId="0" fontId="20" fillId="0" borderId="12" xfId="0" applyFont="1" applyFill="1" applyBorder="1" applyAlignment="1">
      <alignment horizontal="left" vertical="center" wrapText="1" indent="1"/>
    </xf>
    <xf numFmtId="0" fontId="0" fillId="0" borderId="13" xfId="0" applyBorder="1"/>
    <xf numFmtId="9" fontId="0" fillId="0" borderId="13" xfId="1" applyFont="1" applyBorder="1"/>
    <xf numFmtId="0" fontId="21" fillId="0" borderId="0" xfId="0" applyFont="1" applyAlignment="1">
      <alignment horizontal="center" vertical="center" wrapText="1"/>
    </xf>
    <xf numFmtId="9" fontId="0" fillId="0" borderId="0" xfId="0" applyNumberFormat="1"/>
    <xf numFmtId="173" fontId="0" fillId="0" borderId="13" xfId="0" applyNumberFormat="1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34" borderId="10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167" fontId="0" fillId="0" borderId="0" xfId="0" applyNumberFormat="1" applyAlignment="1">
      <alignment horizontal="left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914260717410326E-2"/>
          <c:y val="7.407407407407407E-2"/>
          <c:w val="0.91564129483814527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diameter!$H$33:$H$38</c:f>
              <c:numCache>
                <c:formatCode>General</c:formatCode>
                <c:ptCount val="6"/>
                <c:pt idx="0">
                  <c:v>11.8475</c:v>
                </c:pt>
                <c:pt idx="1">
                  <c:v>11.862500000000001</c:v>
                </c:pt>
                <c:pt idx="2">
                  <c:v>11.877500000000001</c:v>
                </c:pt>
                <c:pt idx="3">
                  <c:v>11.892500000000002</c:v>
                </c:pt>
                <c:pt idx="4">
                  <c:v>11.907500000000002</c:v>
                </c:pt>
                <c:pt idx="5">
                  <c:v>11.922500000000003</c:v>
                </c:pt>
              </c:numCache>
            </c:numRef>
          </c:cat>
          <c:val>
            <c:numRef>
              <c:f>diameter!$G$33:$G$38</c:f>
              <c:numCache>
                <c:formatCode>General</c:formatCode>
                <c:ptCount val="6"/>
                <c:pt idx="0">
                  <c:v>4</c:v>
                </c:pt>
                <c:pt idx="1">
                  <c:v>7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C-46A1-BAD3-CF5796283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1193262639"/>
        <c:axId val="1193263119"/>
      </c:barChart>
      <c:catAx>
        <c:axId val="119326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263119"/>
        <c:crosses val="autoZero"/>
        <c:auto val="1"/>
        <c:lblAlgn val="ctr"/>
        <c:lblOffset val="100"/>
        <c:noMultiLvlLbl val="0"/>
      </c:catAx>
      <c:valAx>
        <c:axId val="119326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26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Carte 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Feuil1!$B$8:$K$8</c:f>
              <c:numCache>
                <c:formatCode>General</c:formatCode>
                <c:ptCount val="10"/>
                <c:pt idx="0">
                  <c:v>11.863999999999999</c:v>
                </c:pt>
                <c:pt idx="1">
                  <c:v>11.862</c:v>
                </c:pt>
                <c:pt idx="2">
                  <c:v>11.884</c:v>
                </c:pt>
                <c:pt idx="3">
                  <c:v>11.898</c:v>
                </c:pt>
                <c:pt idx="4">
                  <c:v>11.91</c:v>
                </c:pt>
                <c:pt idx="5">
                  <c:v>11.901999999999999</c:v>
                </c:pt>
                <c:pt idx="6">
                  <c:v>11.936600000000002</c:v>
                </c:pt>
                <c:pt idx="7">
                  <c:v>11.9396</c:v>
                </c:pt>
                <c:pt idx="8">
                  <c:v>11.9428</c:v>
                </c:pt>
                <c:pt idx="9">
                  <c:v>11.960800000000001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1-4441-9BD1-3C92F25985A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Feuil1!$C$25:$D$25</c:f>
              <c:numCache>
                <c:formatCode>General</c:formatCode>
                <c:ptCount val="2"/>
                <c:pt idx="0">
                  <c:v>1</c:v>
                </c:pt>
                <c:pt idx="1">
                  <c:v>12</c:v>
                </c:pt>
              </c:numCache>
            </c:numRef>
          </c:xVal>
          <c:yVal>
            <c:numRef>
              <c:f>Feuil1!$C$26:$D$26</c:f>
              <c:numCache>
                <c:formatCode>General</c:formatCode>
                <c:ptCount val="2"/>
                <c:pt idx="0">
                  <c:v>11.88</c:v>
                </c:pt>
                <c:pt idx="1">
                  <c:v>11.88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71-4441-9BD1-3C92F25985AE}"/>
            </c:ext>
          </c:extLst>
        </c:ser>
        <c:ser>
          <c:idx val="2"/>
          <c:order val="2"/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Feuil1!$C$25:$D$25</c:f>
              <c:numCache>
                <c:formatCode>General</c:formatCode>
                <c:ptCount val="2"/>
                <c:pt idx="0">
                  <c:v>1</c:v>
                </c:pt>
                <c:pt idx="1">
                  <c:v>12</c:v>
                </c:pt>
              </c:numCache>
            </c:numRef>
          </c:xVal>
          <c:yVal>
            <c:numRef>
              <c:f>Feuil1!$C$27:$D$27</c:f>
              <c:numCache>
                <c:formatCode>General</c:formatCode>
                <c:ptCount val="2"/>
                <c:pt idx="0">
                  <c:v>11.8</c:v>
                </c:pt>
                <c:pt idx="1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71-4441-9BD1-3C92F25985AE}"/>
            </c:ext>
          </c:extLst>
        </c:ser>
        <c:ser>
          <c:idx val="3"/>
          <c:order val="3"/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Feuil1!$C$25:$D$25</c:f>
              <c:numCache>
                <c:formatCode>General</c:formatCode>
                <c:ptCount val="2"/>
                <c:pt idx="0">
                  <c:v>1</c:v>
                </c:pt>
                <c:pt idx="1">
                  <c:v>12</c:v>
                </c:pt>
              </c:numCache>
            </c:numRef>
          </c:xVal>
          <c:yVal>
            <c:numRef>
              <c:f>Feuil1!$C$28:$D$28</c:f>
              <c:numCache>
                <c:formatCode>General</c:formatCode>
                <c:ptCount val="2"/>
                <c:pt idx="0">
                  <c:v>11.96</c:v>
                </c:pt>
                <c:pt idx="1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71-4441-9BD1-3C92F25985AE}"/>
            </c:ext>
          </c:extLst>
        </c:ser>
        <c:ser>
          <c:idx val="4"/>
          <c:order val="4"/>
          <c:tx>
            <c:v>LCI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12</c:v>
              </c:pt>
            </c:numLit>
          </c:xVal>
          <c:yVal>
            <c:numLit>
              <c:formatCode>General</c:formatCode>
              <c:ptCount val="2"/>
              <c:pt idx="0">
                <c:v>11.885999999999999</c:v>
              </c:pt>
              <c:pt idx="1">
                <c:v>11.885999999999999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A71-4441-9BD1-3C92F25985AE}"/>
            </c:ext>
          </c:extLst>
        </c:ser>
        <c:ser>
          <c:idx val="5"/>
          <c:order val="5"/>
          <c:tx>
            <c:v>LCS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12</c:v>
              </c:pt>
            </c:numLit>
          </c:xVal>
          <c:yVal>
            <c:numLit>
              <c:formatCode>General</c:formatCode>
              <c:ptCount val="2"/>
              <c:pt idx="0">
                <c:v>11.933999999999999</c:v>
              </c:pt>
              <c:pt idx="1">
                <c:v>11.933999999999999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AA71-4441-9BD1-3C92F2598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961199"/>
        <c:axId val="892957839"/>
      </c:scatterChart>
      <c:valAx>
        <c:axId val="892961199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957839"/>
        <c:crosses val="autoZero"/>
        <c:crossBetween val="midCat"/>
        <c:majorUnit val="1"/>
      </c:valAx>
      <c:valAx>
        <c:axId val="8929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96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Carte 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Feuil1!$B$9:$K$9</c:f>
              <c:numCache>
                <c:formatCode>General</c:formatCode>
                <c:ptCount val="10"/>
                <c:pt idx="0">
                  <c:v>4.0000000000000924E-2</c:v>
                </c:pt>
                <c:pt idx="1">
                  <c:v>5.0000000000000711E-2</c:v>
                </c:pt>
                <c:pt idx="2">
                  <c:v>5.0000000000000711E-2</c:v>
                </c:pt>
                <c:pt idx="3">
                  <c:v>3.9999999999999147E-2</c:v>
                </c:pt>
                <c:pt idx="4">
                  <c:v>3.9999999999999147E-2</c:v>
                </c:pt>
                <c:pt idx="5">
                  <c:v>8.0000000000000071E-2</c:v>
                </c:pt>
                <c:pt idx="6">
                  <c:v>2.5000000000000355E-2</c:v>
                </c:pt>
                <c:pt idx="7">
                  <c:v>2.1000000000000796E-2</c:v>
                </c:pt>
                <c:pt idx="8">
                  <c:v>2.0999999999999019E-2</c:v>
                </c:pt>
                <c:pt idx="9">
                  <c:v>4.1999999999999815E-2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7-4251-A798-268D50630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426127"/>
        <c:axId val="1048943375"/>
      </c:scatterChart>
      <c:valAx>
        <c:axId val="12314261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43375"/>
        <c:crosses val="autoZero"/>
        <c:crossBetween val="midCat"/>
        <c:majorUnit val="1"/>
      </c:valAx>
      <c:valAx>
        <c:axId val="10489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142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13851</xdr:colOff>
      <xdr:row>40</xdr:row>
      <xdr:rowOff>52290</xdr:rowOff>
    </xdr:from>
    <xdr:to>
      <xdr:col>6</xdr:col>
      <xdr:colOff>532137</xdr:colOff>
      <xdr:row>53</xdr:row>
      <xdr:rowOff>19439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6B267C-502F-3B8F-C8A5-25841339E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524194</xdr:colOff>
      <xdr:row>10</xdr:row>
      <xdr:rowOff>51141</xdr:rowOff>
    </xdr:from>
    <xdr:to>
      <xdr:col>6</xdr:col>
      <xdr:colOff>418716</xdr:colOff>
      <xdr:row>23</xdr:row>
      <xdr:rowOff>49926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3CFAC45-C8B4-06D6-9C9C-61516E49D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437254</xdr:colOff>
      <xdr:row>10</xdr:row>
      <xdr:rowOff>33179</xdr:rowOff>
    </xdr:from>
    <xdr:to>
      <xdr:col>12</xdr:col>
      <xdr:colOff>444925</xdr:colOff>
      <xdr:row>23</xdr:row>
      <xdr:rowOff>31963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7BCC6BA-BBDF-C6CD-131A-345D64BA5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79779</xdr:colOff>
      <xdr:row>7</xdr:row>
      <xdr:rowOff>17450</xdr:rowOff>
    </xdr:from>
    <xdr:ext cx="120802" cy="19184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EDEBA8AA-BA10-0DED-6C25-F6B1D831E69F}"/>
                </a:ext>
              </a:extLst>
            </xdr:cNvPr>
            <xdr:cNvSpPr txBox="1"/>
          </xdr:nvSpPr>
          <xdr:spPr>
            <a:xfrm>
              <a:off x="9208437" y="1292778"/>
              <a:ext cx="120802" cy="1918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̿"/>
                        <m:ctrlPr>
                          <a:rPr lang="fr-FR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</m:oMath>
                </m:oMathPara>
              </a14:m>
              <a:endParaRPr lang="fr-FR" sz="1100"/>
            </a:p>
          </xdr:txBody>
        </xdr:sp>
      </mc:Choice>
      <mc:Fallback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EDEBA8AA-BA10-0DED-6C25-F6B1D831E69F}"/>
                </a:ext>
              </a:extLst>
            </xdr:cNvPr>
            <xdr:cNvSpPr txBox="1"/>
          </xdr:nvSpPr>
          <xdr:spPr>
            <a:xfrm>
              <a:off x="9208437" y="1292778"/>
              <a:ext cx="120802" cy="1918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FR" sz="1100" b="0" i="0">
                  <a:latin typeface="Cambria Math" panose="02040503050406030204" pitchFamily="18" charset="0"/>
                </a:rPr>
                <a:t>𝑋 ̿</a:t>
              </a:r>
              <a:endParaRPr lang="fr-FR" sz="1100"/>
            </a:p>
          </xdr:txBody>
        </xdr:sp>
      </mc:Fallback>
    </mc:AlternateContent>
    <xdr:clientData/>
  </xdr:oneCellAnchor>
  <xdr:oneCellAnchor>
    <xdr:from>
      <xdr:col>12</xdr:col>
      <xdr:colOff>25442</xdr:colOff>
      <xdr:row>7</xdr:row>
      <xdr:rowOff>177266</xdr:rowOff>
    </xdr:from>
    <xdr:ext cx="120353" cy="176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4EFC4B25-8F36-D39D-3309-80A4E843E07A}"/>
                </a:ext>
              </a:extLst>
            </xdr:cNvPr>
            <xdr:cNvSpPr txBox="1"/>
          </xdr:nvSpPr>
          <xdr:spPr>
            <a:xfrm>
              <a:off x="9154100" y="1452594"/>
              <a:ext cx="120353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FR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</m:acc>
                  </m:oMath>
                </m:oMathPara>
              </a14:m>
              <a:endParaRPr lang="fr-FR" sz="1100"/>
            </a:p>
          </xdr:txBody>
        </xdr:sp>
      </mc:Choice>
      <mc:Fallback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4EFC4B25-8F36-D39D-3309-80A4E843E07A}"/>
                </a:ext>
              </a:extLst>
            </xdr:cNvPr>
            <xdr:cNvSpPr txBox="1"/>
          </xdr:nvSpPr>
          <xdr:spPr>
            <a:xfrm>
              <a:off x="9154100" y="1452594"/>
              <a:ext cx="120353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FR" sz="1100" b="0" i="0">
                  <a:latin typeface="Cambria Math" panose="02040503050406030204" pitchFamily="18" charset="0"/>
                </a:rPr>
                <a:t>𝑅 ̅</a:t>
              </a:r>
              <a:endParaRPr lang="fr-FR" sz="1100"/>
            </a:p>
          </xdr:txBody>
        </xdr:sp>
      </mc:Fallback>
    </mc:AlternateContent>
    <xdr:clientData/>
  </xdr:oneCellAnchor>
  <xdr:oneCellAnchor>
    <xdr:from>
      <xdr:col>13</xdr:col>
      <xdr:colOff>453748</xdr:colOff>
      <xdr:row>11</xdr:row>
      <xdr:rowOff>103751</xdr:rowOff>
    </xdr:from>
    <xdr:ext cx="65" cy="172227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F47943D1-089F-038A-ADD9-B508A3588AC7}"/>
            </a:ext>
          </a:extLst>
        </xdr:cNvPr>
        <xdr:cNvSpPr txBox="1"/>
      </xdr:nvSpPr>
      <xdr:spPr>
        <a:xfrm>
          <a:off x="10343127" y="2107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20FF-E92B-4D01-86D0-CA81BB807C9D}">
  <dimension ref="A1:J42"/>
  <sheetViews>
    <sheetView topLeftCell="B19" zoomScale="196" workbookViewId="0">
      <selection activeCell="B1" sqref="B1:B31"/>
    </sheetView>
  </sheetViews>
  <sheetFormatPr baseColWidth="10" defaultRowHeight="14.25" x14ac:dyDescent="0.45"/>
  <cols>
    <col min="2" max="2" width="13.1328125" customWidth="1"/>
  </cols>
  <sheetData>
    <row r="1" spans="2:2" x14ac:dyDescent="0.45">
      <c r="B1" t="s">
        <v>0</v>
      </c>
    </row>
    <row r="2" spans="2:2" x14ac:dyDescent="0.45">
      <c r="B2">
        <v>11.87</v>
      </c>
    </row>
    <row r="3" spans="2:2" x14ac:dyDescent="0.45">
      <c r="B3">
        <v>11.86</v>
      </c>
    </row>
    <row r="4" spans="2:2" x14ac:dyDescent="0.45">
      <c r="B4">
        <v>11.84</v>
      </c>
    </row>
    <row r="5" spans="2:2" x14ac:dyDescent="0.45">
      <c r="B5">
        <v>11.88</v>
      </c>
    </row>
    <row r="6" spans="2:2" x14ac:dyDescent="0.45">
      <c r="B6">
        <v>11.87</v>
      </c>
    </row>
    <row r="7" spans="2:2" x14ac:dyDescent="0.45">
      <c r="B7">
        <v>11.87</v>
      </c>
    </row>
    <row r="8" spans="2:2" x14ac:dyDescent="0.45">
      <c r="B8">
        <v>11.85</v>
      </c>
    </row>
    <row r="9" spans="2:2" x14ac:dyDescent="0.45">
      <c r="B9">
        <v>11.86</v>
      </c>
    </row>
    <row r="10" spans="2:2" x14ac:dyDescent="0.45">
      <c r="B10">
        <v>11.84</v>
      </c>
    </row>
    <row r="11" spans="2:2" x14ac:dyDescent="0.45">
      <c r="B11">
        <v>11.89</v>
      </c>
    </row>
    <row r="12" spans="2:2" x14ac:dyDescent="0.45">
      <c r="B12">
        <v>11.91</v>
      </c>
    </row>
    <row r="13" spans="2:2" x14ac:dyDescent="0.45">
      <c r="B13">
        <v>11.9</v>
      </c>
    </row>
    <row r="14" spans="2:2" x14ac:dyDescent="0.45">
      <c r="B14">
        <v>11.86</v>
      </c>
    </row>
    <row r="15" spans="2:2" x14ac:dyDescent="0.45">
      <c r="B15">
        <v>11.88</v>
      </c>
    </row>
    <row r="16" spans="2:2" x14ac:dyDescent="0.45">
      <c r="B16">
        <v>11.87</v>
      </c>
    </row>
    <row r="17" spans="1:10" x14ac:dyDescent="0.45">
      <c r="B17">
        <v>11.89</v>
      </c>
    </row>
    <row r="18" spans="1:10" x14ac:dyDescent="0.45">
      <c r="B18">
        <v>11.91</v>
      </c>
    </row>
    <row r="19" spans="1:10" x14ac:dyDescent="0.45">
      <c r="B19">
        <v>11.89</v>
      </c>
    </row>
    <row r="20" spans="1:10" x14ac:dyDescent="0.45">
      <c r="B20">
        <v>11.88</v>
      </c>
    </row>
    <row r="21" spans="1:10" x14ac:dyDescent="0.45">
      <c r="B21">
        <v>11.92</v>
      </c>
    </row>
    <row r="22" spans="1:10" x14ac:dyDescent="0.45">
      <c r="B22">
        <v>11.91</v>
      </c>
    </row>
    <row r="23" spans="1:10" x14ac:dyDescent="0.45">
      <c r="B23">
        <v>11.92</v>
      </c>
    </row>
    <row r="24" spans="1:10" x14ac:dyDescent="0.45">
      <c r="B24">
        <v>11.93</v>
      </c>
    </row>
    <row r="25" spans="1:10" x14ac:dyDescent="0.45">
      <c r="B25">
        <v>11.89</v>
      </c>
    </row>
    <row r="26" spans="1:10" x14ac:dyDescent="0.45">
      <c r="B26">
        <v>11.9</v>
      </c>
    </row>
    <row r="27" spans="1:10" x14ac:dyDescent="0.45">
      <c r="B27">
        <v>11.85</v>
      </c>
    </row>
    <row r="28" spans="1:10" x14ac:dyDescent="0.45">
      <c r="B28">
        <v>11.91</v>
      </c>
    </row>
    <row r="29" spans="1:10" x14ac:dyDescent="0.45">
      <c r="B29">
        <v>11.92</v>
      </c>
    </row>
    <row r="30" spans="1:10" x14ac:dyDescent="0.45">
      <c r="B30">
        <v>11.93</v>
      </c>
    </row>
    <row r="31" spans="1:10" ht="14.65" thickBot="1" x14ac:dyDescent="0.5">
      <c r="B31">
        <v>11.9</v>
      </c>
    </row>
    <row r="32" spans="1:10" ht="31.9" thickBot="1" x14ac:dyDescent="0.5">
      <c r="A32" t="s">
        <v>1</v>
      </c>
      <c r="B32" s="7">
        <f>SUM(B2:B31)/30</f>
        <v>11.886666666666667</v>
      </c>
      <c r="G32" s="11" t="s">
        <v>14</v>
      </c>
      <c r="H32" s="11" t="s">
        <v>13</v>
      </c>
      <c r="I32" s="11" t="s">
        <v>15</v>
      </c>
      <c r="J32" s="11" t="s">
        <v>16</v>
      </c>
    </row>
    <row r="33" spans="1:10" ht="15" thickTop="1" thickBot="1" x14ac:dyDescent="0.5">
      <c r="A33" s="1" t="s">
        <v>2</v>
      </c>
      <c r="B33" s="1" t="s">
        <v>3</v>
      </c>
      <c r="C33" s="1"/>
      <c r="E33" s="9">
        <f>B37</f>
        <v>11.84</v>
      </c>
      <c r="F33" s="9">
        <f>E33+$B$42</f>
        <v>11.855</v>
      </c>
      <c r="G33" s="9">
        <f t="array" ref="G33:G38">FREQUENCY(B2:B31,F33:F38)</f>
        <v>4</v>
      </c>
      <c r="H33" s="9">
        <f>(E33+F33)/2</f>
        <v>11.8475</v>
      </c>
      <c r="I33" s="10">
        <f>G33/$G$39</f>
        <v>0.13333333333333333</v>
      </c>
      <c r="J33" s="12">
        <f>I33</f>
        <v>0.13333333333333333</v>
      </c>
    </row>
    <row r="34" spans="1:10" ht="21" thickTop="1" thickBot="1" x14ac:dyDescent="0.5">
      <c r="A34" s="2" t="s">
        <v>4</v>
      </c>
      <c r="B34" s="2">
        <f>COUNT(B2:B31)</f>
        <v>30</v>
      </c>
      <c r="C34" s="3"/>
      <c r="E34" s="9">
        <f>F33</f>
        <v>11.855</v>
      </c>
      <c r="F34" s="9">
        <f>E34+$B$42</f>
        <v>11.870000000000001</v>
      </c>
      <c r="G34" s="9">
        <v>7</v>
      </c>
      <c r="H34" s="9">
        <f t="shared" ref="H34:H38" si="0">(E34+F34)/2</f>
        <v>11.862500000000001</v>
      </c>
      <c r="I34" s="10">
        <f t="shared" ref="I34:I38" si="1">G34/$G$39</f>
        <v>0.23333333333333334</v>
      </c>
      <c r="J34" s="12">
        <f>J33+I34</f>
        <v>0.3666666666666667</v>
      </c>
    </row>
    <row r="35" spans="1:10" ht="18" thickTop="1" thickBot="1" x14ac:dyDescent="0.5">
      <c r="A35" s="2" t="s">
        <v>5</v>
      </c>
      <c r="B35" s="5">
        <f>B32</f>
        <v>11.886666666666667</v>
      </c>
      <c r="C35" s="3"/>
      <c r="E35" s="9">
        <f t="shared" ref="E35:E38" si="2">F34</f>
        <v>11.870000000000001</v>
      </c>
      <c r="F35" s="9">
        <f t="shared" ref="F35:F38" si="3">E35+$B$42</f>
        <v>11.885000000000002</v>
      </c>
      <c r="G35" s="9">
        <v>3</v>
      </c>
      <c r="H35" s="9">
        <f t="shared" si="0"/>
        <v>11.877500000000001</v>
      </c>
      <c r="I35" s="10">
        <f t="shared" si="1"/>
        <v>0.1</v>
      </c>
      <c r="J35" s="12">
        <f t="shared" ref="J35:J38" si="4">J34+I35</f>
        <v>0.46666666666666667</v>
      </c>
    </row>
    <row r="36" spans="1:10" ht="18" thickTop="1" thickBot="1" x14ac:dyDescent="0.5">
      <c r="A36" s="2" t="s">
        <v>6</v>
      </c>
      <c r="B36" s="6">
        <f>_xlfn.STDEV.S(B2:B31)</f>
        <v>2.6435782090050829E-2</v>
      </c>
      <c r="C36" s="3"/>
      <c r="E36" s="9">
        <f t="shared" si="2"/>
        <v>11.885000000000002</v>
      </c>
      <c r="F36" s="13">
        <f t="shared" si="3"/>
        <v>11.900000000000002</v>
      </c>
      <c r="G36" s="9">
        <v>7</v>
      </c>
      <c r="H36" s="9">
        <f t="shared" si="0"/>
        <v>11.892500000000002</v>
      </c>
      <c r="I36" s="10">
        <f t="shared" si="1"/>
        <v>0.23333333333333334</v>
      </c>
      <c r="J36" s="12">
        <f t="shared" si="4"/>
        <v>0.7</v>
      </c>
    </row>
    <row r="37" spans="1:10" ht="18" thickTop="1" thickBot="1" x14ac:dyDescent="0.5">
      <c r="A37" s="2" t="s">
        <v>7</v>
      </c>
      <c r="B37" s="2">
        <f>MIN(B2:B31)</f>
        <v>11.84</v>
      </c>
      <c r="C37" s="3"/>
      <c r="E37" s="9">
        <f t="shared" si="2"/>
        <v>11.900000000000002</v>
      </c>
      <c r="F37" s="9">
        <f t="shared" si="3"/>
        <v>11.915000000000003</v>
      </c>
      <c r="G37" s="9">
        <v>4</v>
      </c>
      <c r="H37" s="9">
        <f t="shared" si="0"/>
        <v>11.907500000000002</v>
      </c>
      <c r="I37" s="10">
        <f t="shared" si="1"/>
        <v>0.13333333333333333</v>
      </c>
      <c r="J37" s="12">
        <f t="shared" si="4"/>
        <v>0.83333333333333326</v>
      </c>
    </row>
    <row r="38" spans="1:10" ht="18" thickTop="1" thickBot="1" x14ac:dyDescent="0.5">
      <c r="A38" s="2" t="s">
        <v>8</v>
      </c>
      <c r="B38" s="2">
        <f>MAX(B2:B31)</f>
        <v>11.93</v>
      </c>
      <c r="C38" s="3"/>
      <c r="E38" s="9">
        <f t="shared" si="2"/>
        <v>11.915000000000003</v>
      </c>
      <c r="F38" s="9">
        <f t="shared" si="3"/>
        <v>11.930000000000003</v>
      </c>
      <c r="G38" s="9">
        <v>5</v>
      </c>
      <c r="H38" s="9">
        <f t="shared" si="0"/>
        <v>11.922500000000003</v>
      </c>
      <c r="I38" s="10">
        <f t="shared" si="1"/>
        <v>0.16666666666666666</v>
      </c>
      <c r="J38" s="12">
        <f t="shared" si="4"/>
        <v>0.99999999999999989</v>
      </c>
    </row>
    <row r="39" spans="1:10" ht="17.649999999999999" thickTop="1" x14ac:dyDescent="0.45">
      <c r="A39" s="2" t="s">
        <v>9</v>
      </c>
      <c r="B39" s="2">
        <f>B38-B37</f>
        <v>8.9999999999999858E-2</v>
      </c>
      <c r="C39" s="3"/>
      <c r="G39">
        <f>SUM(G33:G38)</f>
        <v>30</v>
      </c>
    </row>
    <row r="40" spans="1:10" x14ac:dyDescent="0.45">
      <c r="A40" s="2" t="s">
        <v>10</v>
      </c>
      <c r="B40" s="6">
        <f>MEDIAN(B2:B31)</f>
        <v>11.89</v>
      </c>
      <c r="C40" s="4"/>
    </row>
    <row r="41" spans="1:10" ht="20.25" x14ac:dyDescent="0.45">
      <c r="A41" s="8" t="s">
        <v>11</v>
      </c>
      <c r="B41">
        <v>6</v>
      </c>
    </row>
    <row r="42" spans="1:10" x14ac:dyDescent="0.45">
      <c r="A42" s="8" t="s">
        <v>12</v>
      </c>
      <c r="B42">
        <f>B39/6</f>
        <v>1.4999999999999977E-2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2736-07A2-450D-8D60-3C0833423FA5}">
  <dimension ref="A2:O28"/>
  <sheetViews>
    <sheetView tabSelected="1" topLeftCell="B6" zoomScale="149" workbookViewId="0">
      <selection activeCell="K26" sqref="K26"/>
    </sheetView>
  </sheetViews>
  <sheetFormatPr baseColWidth="10" defaultRowHeight="14.25" x14ac:dyDescent="0.45"/>
  <sheetData>
    <row r="2" spans="1:15" x14ac:dyDescent="0.45">
      <c r="B2" s="15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</row>
    <row r="3" spans="1:15" x14ac:dyDescent="0.45">
      <c r="B3" s="14">
        <v>11.87</v>
      </c>
      <c r="C3" s="4">
        <v>11.87</v>
      </c>
      <c r="D3" s="4">
        <v>11.91</v>
      </c>
      <c r="E3" s="4">
        <v>11.89</v>
      </c>
      <c r="F3" s="4">
        <v>11.91</v>
      </c>
      <c r="G3" s="4">
        <v>11.85</v>
      </c>
      <c r="H3" s="14">
        <v>11.932</v>
      </c>
      <c r="I3" s="14">
        <v>11.927</v>
      </c>
      <c r="J3" s="14">
        <v>11.95</v>
      </c>
      <c r="K3" s="14">
        <v>11.942</v>
      </c>
    </row>
    <row r="4" spans="1:15" x14ac:dyDescent="0.45">
      <c r="B4" s="14">
        <v>11.86</v>
      </c>
      <c r="C4" s="4">
        <v>11.85</v>
      </c>
      <c r="D4" s="4">
        <v>11.9</v>
      </c>
      <c r="E4" s="4">
        <v>11.91</v>
      </c>
      <c r="F4" s="4">
        <v>11.92</v>
      </c>
      <c r="G4" s="4">
        <v>11.91</v>
      </c>
      <c r="H4" s="14">
        <v>11.936</v>
      </c>
      <c r="I4" s="14">
        <v>11.936</v>
      </c>
      <c r="J4" s="14">
        <v>11.945</v>
      </c>
      <c r="K4" s="14">
        <v>11.952999999999999</v>
      </c>
    </row>
    <row r="5" spans="1:15" x14ac:dyDescent="0.45">
      <c r="B5" s="14">
        <v>11.84</v>
      </c>
      <c r="C5" s="4">
        <v>11.86</v>
      </c>
      <c r="D5" s="4">
        <v>11.86</v>
      </c>
      <c r="E5" s="4">
        <v>11.89</v>
      </c>
      <c r="F5" s="4">
        <v>11.93</v>
      </c>
      <c r="G5" s="4">
        <v>11.92</v>
      </c>
      <c r="H5" s="14">
        <v>11.944000000000001</v>
      </c>
      <c r="I5" s="14">
        <v>11.944000000000001</v>
      </c>
      <c r="J5" s="14">
        <v>11.929</v>
      </c>
      <c r="K5" s="14">
        <v>11.984</v>
      </c>
    </row>
    <row r="6" spans="1:15" x14ac:dyDescent="0.45">
      <c r="B6" s="14">
        <v>11.88</v>
      </c>
      <c r="C6" s="4">
        <v>11.84</v>
      </c>
      <c r="D6" s="4">
        <v>11.88</v>
      </c>
      <c r="E6" s="4">
        <v>11.88</v>
      </c>
      <c r="F6" s="4">
        <v>11.89</v>
      </c>
      <c r="G6" s="4">
        <v>11.93</v>
      </c>
      <c r="H6" s="14">
        <v>11.923</v>
      </c>
      <c r="I6" s="14">
        <v>11.943</v>
      </c>
      <c r="J6" s="14">
        <v>11.943</v>
      </c>
      <c r="K6" s="14">
        <v>11.951000000000001</v>
      </c>
    </row>
    <row r="7" spans="1:15" x14ac:dyDescent="0.45">
      <c r="B7" s="16">
        <v>11.87</v>
      </c>
      <c r="C7" s="17">
        <v>11.89</v>
      </c>
      <c r="D7" s="17">
        <v>11.87</v>
      </c>
      <c r="E7" s="17">
        <v>11.92</v>
      </c>
      <c r="F7" s="17">
        <v>11.9</v>
      </c>
      <c r="G7" s="17">
        <v>11.9</v>
      </c>
      <c r="H7" s="16">
        <v>11.948</v>
      </c>
      <c r="I7" s="16">
        <v>11.948</v>
      </c>
      <c r="J7" s="16">
        <v>11.946999999999999</v>
      </c>
      <c r="K7" s="16">
        <v>11.974</v>
      </c>
    </row>
    <row r="8" spans="1:15" x14ac:dyDescent="0.45">
      <c r="A8" s="18" t="s">
        <v>17</v>
      </c>
      <c r="B8" s="18">
        <f>AVERAGE(B3:B7)</f>
        <v>11.863999999999999</v>
      </c>
      <c r="C8" s="18">
        <f t="shared" ref="C8:K8" si="0">AVERAGE(C3:C7)</f>
        <v>11.862</v>
      </c>
      <c r="D8" s="18">
        <f t="shared" si="0"/>
        <v>11.884</v>
      </c>
      <c r="E8" s="18">
        <f t="shared" si="0"/>
        <v>11.898</v>
      </c>
      <c r="F8" s="18">
        <f t="shared" si="0"/>
        <v>11.91</v>
      </c>
      <c r="G8" s="18">
        <f t="shared" si="0"/>
        <v>11.901999999999999</v>
      </c>
      <c r="H8" s="18">
        <f t="shared" si="0"/>
        <v>11.936600000000002</v>
      </c>
      <c r="I8" s="18">
        <f t="shared" si="0"/>
        <v>11.9396</v>
      </c>
      <c r="J8" s="18">
        <f t="shared" si="0"/>
        <v>11.9428</v>
      </c>
      <c r="K8" s="18">
        <f t="shared" si="0"/>
        <v>11.960800000000001</v>
      </c>
      <c r="L8" s="19">
        <f>AVERAGE(B8:K8)</f>
        <v>11.909980000000001</v>
      </c>
      <c r="N8" t="s">
        <v>19</v>
      </c>
      <c r="O8" s="20">
        <f>L8-0.577*L9</f>
        <v>11.8863807</v>
      </c>
    </row>
    <row r="9" spans="1:15" x14ac:dyDescent="0.45">
      <c r="A9" s="18" t="s">
        <v>18</v>
      </c>
      <c r="B9" s="18">
        <f>MAX(B3:B7)-MIN(B3:B7)</f>
        <v>4.0000000000000924E-2</v>
      </c>
      <c r="C9" s="18">
        <f t="shared" ref="C9:K9" si="1">MAX(C3:C7)-MIN(C3:C7)</f>
        <v>5.0000000000000711E-2</v>
      </c>
      <c r="D9" s="18">
        <f t="shared" si="1"/>
        <v>5.0000000000000711E-2</v>
      </c>
      <c r="E9" s="18">
        <f t="shared" si="1"/>
        <v>3.9999999999999147E-2</v>
      </c>
      <c r="F9" s="18">
        <f t="shared" si="1"/>
        <v>3.9999999999999147E-2</v>
      </c>
      <c r="G9" s="18">
        <f t="shared" si="1"/>
        <v>8.0000000000000071E-2</v>
      </c>
      <c r="H9" s="18">
        <f t="shared" si="1"/>
        <v>2.5000000000000355E-2</v>
      </c>
      <c r="I9" s="18">
        <f t="shared" si="1"/>
        <v>2.1000000000000796E-2</v>
      </c>
      <c r="J9" s="18">
        <f t="shared" si="1"/>
        <v>2.0999999999999019E-2</v>
      </c>
      <c r="K9" s="18">
        <f t="shared" si="1"/>
        <v>4.1999999999999815E-2</v>
      </c>
      <c r="L9" s="19">
        <f>AVERAGE(B9:K9)</f>
        <v>4.0900000000000068E-2</v>
      </c>
      <c r="N9" t="s">
        <v>20</v>
      </c>
      <c r="O9" s="20">
        <f>L8+0.577*L9</f>
        <v>11.933579300000002</v>
      </c>
    </row>
    <row r="12" spans="1:15" x14ac:dyDescent="0.45">
      <c r="N12" t="s">
        <v>21</v>
      </c>
      <c r="O12">
        <f>0.16/(6*L9/2.326)</f>
        <v>1.5165444172779112</v>
      </c>
    </row>
    <row r="14" spans="1:15" x14ac:dyDescent="0.45">
      <c r="N14" t="s">
        <v>22</v>
      </c>
      <c r="O14">
        <f>(L8-11.8)/(3*L9/2.326)</f>
        <v>2.0848694376528121</v>
      </c>
    </row>
    <row r="15" spans="1:15" x14ac:dyDescent="0.45">
      <c r="N15" t="s">
        <v>23</v>
      </c>
      <c r="O15">
        <f>(11.96-L8)/(3*L9/2.326)</f>
        <v>0.94821939690301316</v>
      </c>
    </row>
    <row r="17" spans="3:15" x14ac:dyDescent="0.45">
      <c r="N17" t="s">
        <v>24</v>
      </c>
      <c r="O17">
        <f>O15</f>
        <v>0.94821939690301316</v>
      </c>
    </row>
    <row r="25" spans="3:15" x14ac:dyDescent="0.45">
      <c r="C25">
        <v>1</v>
      </c>
      <c r="D25">
        <v>12</v>
      </c>
    </row>
    <row r="26" spans="3:15" x14ac:dyDescent="0.45">
      <c r="C26">
        <v>11.88</v>
      </c>
      <c r="D26">
        <v>11.88</v>
      </c>
    </row>
    <row r="27" spans="3:15" x14ac:dyDescent="0.45">
      <c r="C27">
        <v>11.8</v>
      </c>
      <c r="D27">
        <v>11.8</v>
      </c>
    </row>
    <row r="28" spans="3:15" x14ac:dyDescent="0.45">
      <c r="C28">
        <v>11.96</v>
      </c>
      <c r="D28">
        <v>11.96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diameter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Stéphane JAUBERT</cp:lastModifiedBy>
  <dcterms:created xsi:type="dcterms:W3CDTF">2026-03-16T08:39:51Z</dcterms:created>
  <dcterms:modified xsi:type="dcterms:W3CDTF">2026-03-16T14:42:17Z</dcterms:modified>
</cp:coreProperties>
</file>