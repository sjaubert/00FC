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00FC/OI/Habilitations Nucléaires Ouzouer sur Loire 28-29 Janv 9-10-11 Fev/"/>
    </mc:Choice>
  </mc:AlternateContent>
  <xr:revisionPtr revIDLastSave="0" documentId="13_ncr:1_{4E929FCC-ACDD-47E0-A12F-F4FC7BA36476}" xr6:coauthVersionLast="47" xr6:coauthVersionMax="47" xr10:uidLastSave="{00000000-0000-0000-0000-000000000000}"/>
  <bookViews>
    <workbookView xWindow="-98" yWindow="-98" windowWidth="21795" windowHeight="13875" xr2:uid="{D17A5247-4B7E-4F2D-8051-B78F30B21410}"/>
  </bookViews>
  <sheets>
    <sheet name="Feuil1" sheetId="1" r:id="rId1"/>
  </sheets>
  <definedNames>
    <definedName name="_xlnm.Print_Area" localSheetId="0">Feuil1!$B$1:$AQ$40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0" i="1" l="1"/>
  <c r="R40" i="1"/>
  <c r="M40" i="1"/>
  <c r="L40" i="1"/>
  <c r="G40" i="1"/>
  <c r="F40" i="1"/>
  <c r="AQ40" i="1"/>
  <c r="AP40" i="1"/>
  <c r="AK40" i="1"/>
  <c r="AJ40" i="1"/>
  <c r="AE40" i="1"/>
  <c r="AD40" i="1"/>
  <c r="W4" i="1" l="1"/>
</calcChain>
</file>

<file path=xl/sharedStrings.xml><?xml version="1.0" encoding="utf-8"?>
<sst xmlns="http://schemas.openxmlformats.org/spreadsheetml/2006/main" count="199" uniqueCount="82">
  <si>
    <t>Total heures de formation en centre :</t>
  </si>
  <si>
    <t>Total heures de stage en entreprise :</t>
  </si>
  <si>
    <t>Décembre 2025</t>
  </si>
  <si>
    <t>Janvier 2026</t>
  </si>
  <si>
    <t>Février 2026</t>
  </si>
  <si>
    <t>Mars 2026</t>
  </si>
  <si>
    <t>Avril 2026</t>
  </si>
  <si>
    <t>THEME</t>
  </si>
  <si>
    <t>Formateur</t>
  </si>
  <si>
    <t>Hrs Centre</t>
  </si>
  <si>
    <t>Hrs entrep</t>
  </si>
  <si>
    <t>FERIE</t>
  </si>
  <si>
    <t>S49</t>
  </si>
  <si>
    <t>Technique</t>
  </si>
  <si>
    <t>S1</t>
  </si>
  <si>
    <t>S14</t>
  </si>
  <si>
    <t>S6</t>
  </si>
  <si>
    <t>S10</t>
  </si>
  <si>
    <t>S2</t>
  </si>
  <si>
    <t>S. HALLE</t>
  </si>
  <si>
    <t>Technique / Bilan Interm.</t>
  </si>
  <si>
    <t>S15</t>
  </si>
  <si>
    <t>SS</t>
  </si>
  <si>
    <t>CQPM</t>
  </si>
  <si>
    <t>S50</t>
  </si>
  <si>
    <t>Bilan</t>
  </si>
  <si>
    <t>S7</t>
  </si>
  <si>
    <t>S11</t>
  </si>
  <si>
    <t>TRE</t>
  </si>
  <si>
    <t>S3</t>
  </si>
  <si>
    <t>S16</t>
  </si>
  <si>
    <t>S51</t>
  </si>
  <si>
    <t>S8</t>
  </si>
  <si>
    <t>S12</t>
  </si>
  <si>
    <t>S4</t>
  </si>
  <si>
    <t>S17</t>
  </si>
  <si>
    <t>S52</t>
  </si>
  <si>
    <t>Fermeture</t>
  </si>
  <si>
    <t>S9</t>
  </si>
  <si>
    <t>S13</t>
  </si>
  <si>
    <t>S5</t>
  </si>
  <si>
    <t>S18</t>
  </si>
  <si>
    <t>Entreprise</t>
  </si>
  <si>
    <t>Formation : Habilitations Nucléaires</t>
  </si>
  <si>
    <t>Dates : 15/12/2025 au 13/02/2026</t>
  </si>
  <si>
    <t>Lieu : TRIHOM . ZA de la Jouanne, 45570 OUZOUER SUR LOIRE</t>
  </si>
  <si>
    <t>Total heures :</t>
  </si>
  <si>
    <t>Horaires
Lundi au Vendredi
08h30/12h30  13h30/16h30</t>
  </si>
  <si>
    <t>CSQ</t>
  </si>
  <si>
    <t>SCN1</t>
  </si>
  <si>
    <t xml:space="preserve"> Sécu Elec BO HO</t>
  </si>
  <si>
    <t>RP1</t>
  </si>
  <si>
    <t>Port du Heaume…</t>
  </si>
  <si>
    <t>Qual/Sécu (SST)</t>
  </si>
  <si>
    <t>OI</t>
  </si>
  <si>
    <t>AC + MRP</t>
  </si>
  <si>
    <t>Trans Eco</t>
  </si>
  <si>
    <r>
      <t>SCN1 =</t>
    </r>
    <r>
      <rPr>
        <b/>
        <sz val="9"/>
        <rFont val="Arial"/>
        <family val="2"/>
      </rPr>
      <t xml:space="preserve"> TRIHOM</t>
    </r>
  </si>
  <si>
    <r>
      <t>CSQ =</t>
    </r>
    <r>
      <rPr>
        <b/>
        <sz val="9"/>
        <rFont val="Arial"/>
        <family val="2"/>
      </rPr>
      <t xml:space="preserve"> TRIHOM</t>
    </r>
  </si>
  <si>
    <r>
      <t>Sécu Elec BO HO =</t>
    </r>
    <r>
      <rPr>
        <b/>
        <sz val="9"/>
        <rFont val="Arial"/>
        <family val="2"/>
      </rPr>
      <t xml:space="preserve"> TRIHOM</t>
    </r>
  </si>
  <si>
    <r>
      <t>RP1 =</t>
    </r>
    <r>
      <rPr>
        <b/>
        <sz val="9"/>
        <rFont val="Arial"/>
        <family val="2"/>
      </rPr>
      <t xml:space="preserve"> TRIHOM</t>
    </r>
  </si>
  <si>
    <r>
      <t>Port du HEAUME =</t>
    </r>
    <r>
      <rPr>
        <b/>
        <sz val="9"/>
        <rFont val="Arial"/>
        <family val="2"/>
      </rPr>
      <t xml:space="preserve"> TRIHOM</t>
    </r>
  </si>
  <si>
    <t>Sophie CADOU</t>
  </si>
  <si>
    <t>Stéphane JAUBERT</t>
  </si>
  <si>
    <t>Christophe DUROS</t>
  </si>
  <si>
    <t>RAN (Français)</t>
  </si>
  <si>
    <t>BILAN</t>
  </si>
  <si>
    <t>Accueil / RAN (Maths)</t>
  </si>
  <si>
    <t>RAN (Maths)</t>
  </si>
  <si>
    <t>Stéphane YANG</t>
  </si>
  <si>
    <t>Sébastien HALLE</t>
  </si>
  <si>
    <t>LM CONSULTING</t>
  </si>
  <si>
    <t>CFAI</t>
  </si>
  <si>
    <t>SS: Softskills</t>
  </si>
  <si>
    <t>TRE: Prépa Après</t>
  </si>
  <si>
    <t>OI: Organisation Industrielle</t>
  </si>
  <si>
    <t>AC: Amélioration continue</t>
  </si>
  <si>
    <t>MRP: Méth de résolution de pb</t>
  </si>
  <si>
    <t>TR: Transition écologique</t>
  </si>
  <si>
    <t xml:space="preserve">RAN Français : Remise à niveau </t>
  </si>
  <si>
    <t>RAN Maths : Remise à niveau</t>
  </si>
  <si>
    <t>SST : Qualité / Sécurité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</si>
</sst>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"/>
  </numFmts>
  <fonts count="21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8"/>
      <name val="Arial"/>
      <family val="2"/>
    </font>
    <font>
      <sz val="9"/>
      <color theme="0"/>
      <name val="Arial"/>
      <family val="2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FF0000"/>
      <name val="Arial"/>
      <family val="2"/>
    </font>
    <font>
      <sz val="9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47"/>
      </patternFill>
    </fill>
    <fill>
      <patternFill patternType="solid">
        <fgColor theme="5" tint="0.39997558519241921"/>
        <bgColor indexed="47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164" fontId="2" fillId="0" borderId="4" xfId="0" applyNumberFormat="1" applyFont="1" applyBorder="1" applyAlignment="1">
      <alignment horizontal="left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164" fontId="2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 applyProtection="1">
      <alignment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vertical="center" wrapText="1"/>
    </xf>
    <xf numFmtId="164" fontId="3" fillId="0" borderId="4" xfId="0" applyNumberFormat="1" applyFont="1" applyBorder="1" applyAlignment="1">
      <alignment vertical="center" textRotation="90"/>
    </xf>
    <xf numFmtId="0" fontId="3" fillId="3" borderId="4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7" fillId="0" borderId="0" xfId="0" applyFont="1" applyAlignment="1">
      <alignment horizontal="center"/>
    </xf>
    <xf numFmtId="164" fontId="2" fillId="0" borderId="3" xfId="0" applyNumberFormat="1" applyFont="1" applyBorder="1" applyAlignment="1">
      <alignment horizontal="left" vertical="center"/>
    </xf>
    <xf numFmtId="0" fontId="2" fillId="2" borderId="5" xfId="0" applyFont="1" applyFill="1" applyBorder="1" applyAlignment="1">
      <alignment horizontal="center" wrapText="1"/>
    </xf>
    <xf numFmtId="164" fontId="2" fillId="5" borderId="4" xfId="0" applyNumberFormat="1" applyFont="1" applyFill="1" applyBorder="1" applyAlignment="1">
      <alignment horizontal="left" vertical="center"/>
    </xf>
    <xf numFmtId="0" fontId="2" fillId="5" borderId="4" xfId="0" applyFont="1" applyFill="1" applyBorder="1" applyAlignment="1" applyProtection="1">
      <alignment horizontal="center" vertical="center"/>
      <protection locked="0"/>
    </xf>
    <xf numFmtId="164" fontId="4" fillId="5" borderId="4" xfId="0" applyNumberFormat="1" applyFont="1" applyFill="1" applyBorder="1" applyAlignment="1">
      <alignment vertical="center"/>
    </xf>
    <xf numFmtId="164" fontId="2" fillId="5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 applyProtection="1">
      <alignment vertical="center"/>
      <protection locked="0"/>
    </xf>
    <xf numFmtId="164" fontId="3" fillId="5" borderId="4" xfId="0" applyNumberFormat="1" applyFont="1" applyFill="1" applyBorder="1" applyAlignment="1">
      <alignment vertical="center" textRotation="90"/>
    </xf>
    <xf numFmtId="0" fontId="2" fillId="5" borderId="1" xfId="0" applyFont="1" applyFill="1" applyBorder="1" applyAlignment="1" applyProtection="1">
      <alignment horizontal="center" vertical="center"/>
      <protection locked="0"/>
    </xf>
    <xf numFmtId="164" fontId="2" fillId="5" borderId="3" xfId="0" applyNumberFormat="1" applyFont="1" applyFill="1" applyBorder="1" applyAlignment="1">
      <alignment horizontal="left" vertical="center"/>
    </xf>
    <xf numFmtId="0" fontId="8" fillId="0" borderId="0" xfId="0" applyFont="1"/>
    <xf numFmtId="0" fontId="9" fillId="0" borderId="0" xfId="0" applyFont="1"/>
    <xf numFmtId="1" fontId="10" fillId="0" borderId="0" xfId="0" applyNumberFormat="1" applyFont="1"/>
    <xf numFmtId="0" fontId="10" fillId="0" borderId="0" xfId="0" applyFont="1"/>
    <xf numFmtId="164" fontId="4" fillId="5" borderId="1" xfId="0" applyNumberFormat="1" applyFont="1" applyFill="1" applyBorder="1" applyAlignment="1">
      <alignment horizontal="center" vertical="center"/>
    </xf>
    <xf numFmtId="164" fontId="4" fillId="0" borderId="4" xfId="0" applyNumberFormat="1" applyFont="1" applyBorder="1" applyAlignment="1">
      <alignment vertical="center"/>
    </xf>
    <xf numFmtId="164" fontId="4" fillId="0" borderId="3" xfId="0" applyNumberFormat="1" applyFont="1" applyBorder="1" applyAlignment="1">
      <alignment vertical="center"/>
    </xf>
    <xf numFmtId="164" fontId="2" fillId="0" borderId="3" xfId="0" applyNumberFormat="1" applyFont="1" applyBorder="1" applyAlignment="1">
      <alignment horizontal="center" vertical="center"/>
    </xf>
    <xf numFmtId="164" fontId="2" fillId="5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 applyProtection="1">
      <alignment vertical="center"/>
      <protection locked="0"/>
    </xf>
    <xf numFmtId="164" fontId="3" fillId="0" borderId="5" xfId="0" applyNumberFormat="1" applyFont="1" applyBorder="1" applyAlignment="1">
      <alignment vertical="center" textRotation="90"/>
    </xf>
    <xf numFmtId="0" fontId="11" fillId="5" borderId="4" xfId="0" applyFont="1" applyFill="1" applyBorder="1" applyAlignment="1" applyProtection="1">
      <alignment horizontal="center" vertical="center"/>
      <protection locked="0"/>
    </xf>
    <xf numFmtId="0" fontId="11" fillId="5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164" fontId="4" fillId="5" borderId="1" xfId="0" applyNumberFormat="1" applyFont="1" applyFill="1" applyBorder="1" applyAlignment="1">
      <alignment vertical="center"/>
    </xf>
    <xf numFmtId="164" fontId="2" fillId="5" borderId="4" xfId="0" applyNumberFormat="1" applyFont="1" applyFill="1" applyBorder="1" applyAlignment="1">
      <alignment horizontal="left"/>
    </xf>
    <xf numFmtId="0" fontId="0" fillId="5" borderId="4" xfId="0" applyFill="1" applyBorder="1"/>
    <xf numFmtId="0" fontId="3" fillId="0" borderId="0" xfId="0" applyFont="1" applyAlignment="1">
      <alignment horizontal="center"/>
    </xf>
    <xf numFmtId="0" fontId="3" fillId="3" borderId="4" xfId="0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164" fontId="2" fillId="6" borderId="4" xfId="0" applyNumberFormat="1" applyFont="1" applyFill="1" applyBorder="1" applyAlignment="1">
      <alignment horizontal="center" vertical="center"/>
    </xf>
    <xf numFmtId="164" fontId="2" fillId="7" borderId="4" xfId="0" applyNumberFormat="1" applyFont="1" applyFill="1" applyBorder="1" applyAlignment="1">
      <alignment horizontal="center" vertical="center"/>
    </xf>
    <xf numFmtId="164" fontId="2" fillId="8" borderId="4" xfId="0" applyNumberFormat="1" applyFont="1" applyFill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 textRotation="90"/>
    </xf>
    <xf numFmtId="164" fontId="3" fillId="0" borderId="7" xfId="0" applyNumberFormat="1" applyFont="1" applyBorder="1" applyAlignment="1">
      <alignment horizontal="center" vertical="center" textRotation="90"/>
    </xf>
    <xf numFmtId="164" fontId="4" fillId="5" borderId="8" xfId="0" applyNumberFormat="1" applyFont="1" applyFill="1" applyBorder="1" applyAlignment="1">
      <alignment horizontal="center" vertical="center"/>
    </xf>
    <xf numFmtId="164" fontId="4" fillId="5" borderId="9" xfId="0" applyNumberFormat="1" applyFont="1" applyFill="1" applyBorder="1" applyAlignment="1">
      <alignment horizontal="center" vertical="center"/>
    </xf>
    <xf numFmtId="164" fontId="4" fillId="5" borderId="10" xfId="0" applyNumberFormat="1" applyFont="1" applyFill="1" applyBorder="1" applyAlignment="1">
      <alignment horizontal="center" vertical="center"/>
    </xf>
    <xf numFmtId="164" fontId="4" fillId="5" borderId="11" xfId="0" applyNumberFormat="1" applyFont="1" applyFill="1" applyBorder="1" applyAlignment="1">
      <alignment horizontal="center" vertical="center"/>
    </xf>
    <xf numFmtId="164" fontId="4" fillId="5" borderId="12" xfId="0" applyNumberFormat="1" applyFont="1" applyFill="1" applyBorder="1" applyAlignment="1">
      <alignment horizontal="center" vertical="center"/>
    </xf>
    <xf numFmtId="164" fontId="4" fillId="5" borderId="13" xfId="0" applyNumberFormat="1" applyFont="1" applyFill="1" applyBorder="1" applyAlignment="1">
      <alignment horizontal="center" vertical="center"/>
    </xf>
    <xf numFmtId="164" fontId="14" fillId="5" borderId="8" xfId="0" applyNumberFormat="1" applyFont="1" applyFill="1" applyBorder="1" applyAlignment="1">
      <alignment horizontal="center" vertical="center"/>
    </xf>
    <xf numFmtId="164" fontId="14" fillId="5" borderId="9" xfId="0" applyNumberFormat="1" applyFont="1" applyFill="1" applyBorder="1" applyAlignment="1">
      <alignment horizontal="center" vertical="center"/>
    </xf>
    <xf numFmtId="164" fontId="14" fillId="5" borderId="10" xfId="0" applyNumberFormat="1" applyFont="1" applyFill="1" applyBorder="1" applyAlignment="1">
      <alignment horizontal="center" vertical="center"/>
    </xf>
    <xf numFmtId="164" fontId="14" fillId="5" borderId="11" xfId="0" applyNumberFormat="1" applyFont="1" applyFill="1" applyBorder="1" applyAlignment="1">
      <alignment horizontal="center" vertical="center"/>
    </xf>
    <xf numFmtId="164" fontId="14" fillId="5" borderId="12" xfId="0" applyNumberFormat="1" applyFont="1" applyFill="1" applyBorder="1" applyAlignment="1">
      <alignment horizontal="center" vertical="center"/>
    </xf>
    <xf numFmtId="164" fontId="14" fillId="5" borderId="13" xfId="0" applyNumberFormat="1" applyFont="1" applyFill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 textRotation="90"/>
    </xf>
    <xf numFmtId="49" fontId="1" fillId="0" borderId="3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164" fontId="2" fillId="9" borderId="4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wrapText="1"/>
    </xf>
    <xf numFmtId="164" fontId="3" fillId="0" borderId="3" xfId="0" applyNumberFormat="1" applyFont="1" applyBorder="1" applyAlignment="1">
      <alignment vertical="center" textRotation="90"/>
    </xf>
    <xf numFmtId="0" fontId="2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6" fillId="9" borderId="0" xfId="0" applyFont="1" applyFill="1" applyAlignment="1">
      <alignment horizontal="center" wrapText="1"/>
    </xf>
    <xf numFmtId="164" fontId="2" fillId="9" borderId="0" xfId="0" applyNumberFormat="1" applyFont="1" applyFill="1" applyAlignment="1">
      <alignment horizontal="left" vertical="center"/>
    </xf>
    <xf numFmtId="164" fontId="4" fillId="9" borderId="0" xfId="0" applyNumberFormat="1" applyFont="1" applyFill="1" applyAlignment="1">
      <alignment horizontal="center" vertical="center"/>
    </xf>
    <xf numFmtId="164" fontId="4" fillId="9" borderId="0" xfId="0" applyNumberFormat="1" applyFont="1" applyFill="1" applyAlignment="1">
      <alignment vertical="center"/>
    </xf>
    <xf numFmtId="0" fontId="11" fillId="9" borderId="0" xfId="0" applyFont="1" applyFill="1" applyAlignment="1" applyProtection="1">
      <alignment horizontal="center" vertical="center"/>
      <protection locked="0"/>
    </xf>
    <xf numFmtId="0" fontId="2" fillId="9" borderId="0" xfId="0" applyFont="1" applyFill="1" applyAlignment="1" applyProtection="1">
      <alignment horizontal="center" vertical="center"/>
      <protection locked="0"/>
    </xf>
    <xf numFmtId="164" fontId="2" fillId="9" borderId="0" xfId="0" applyNumberFormat="1" applyFont="1" applyFill="1" applyAlignment="1">
      <alignment horizontal="center" vertical="center"/>
    </xf>
    <xf numFmtId="164" fontId="15" fillId="9" borderId="0" xfId="0" applyNumberFormat="1" applyFont="1" applyFill="1" applyAlignment="1">
      <alignment horizontal="center" vertical="center"/>
    </xf>
    <xf numFmtId="164" fontId="2" fillId="9" borderId="0" xfId="0" applyNumberFormat="1" applyFont="1" applyFill="1" applyAlignment="1">
      <alignment horizontal="left"/>
    </xf>
    <xf numFmtId="0" fontId="0" fillId="9" borderId="0" xfId="0" applyFill="1"/>
    <xf numFmtId="0" fontId="3" fillId="9" borderId="0" xfId="0" applyFont="1" applyFill="1" applyAlignment="1">
      <alignment horizontal="center"/>
    </xf>
    <xf numFmtId="0" fontId="12" fillId="9" borderId="0" xfId="0" applyFont="1" applyFill="1"/>
    <xf numFmtId="0" fontId="13" fillId="9" borderId="0" xfId="0" applyFont="1" applyFill="1"/>
    <xf numFmtId="0" fontId="5" fillId="9" borderId="0" xfId="0" applyFont="1" applyFill="1" applyAlignment="1" applyProtection="1">
      <alignment horizontal="center" vertical="center"/>
      <protection locked="0"/>
    </xf>
    <xf numFmtId="0" fontId="7" fillId="0" borderId="10" xfId="0" applyFont="1" applyBorder="1" applyAlignment="1">
      <alignment horizontal="center"/>
    </xf>
    <xf numFmtId="0" fontId="0" fillId="0" borderId="12" xfId="0" applyBorder="1"/>
    <xf numFmtId="0" fontId="0" fillId="0" borderId="14" xfId="0" applyBorder="1"/>
    <xf numFmtId="164" fontId="2" fillId="10" borderId="4" xfId="0" applyNumberFormat="1" applyFont="1" applyFill="1" applyBorder="1" applyAlignment="1">
      <alignment horizontal="center" vertical="center"/>
    </xf>
    <xf numFmtId="164" fontId="2" fillId="12" borderId="4" xfId="0" applyNumberFormat="1" applyFont="1" applyFill="1" applyBorder="1" applyAlignment="1">
      <alignment horizontal="center" vertical="center"/>
    </xf>
    <xf numFmtId="164" fontId="2" fillId="11" borderId="4" xfId="0" applyNumberFormat="1" applyFont="1" applyFill="1" applyBorder="1" applyAlignment="1">
      <alignment horizontal="center" vertical="center"/>
    </xf>
    <xf numFmtId="164" fontId="2" fillId="13" borderId="4" xfId="0" applyNumberFormat="1" applyFont="1" applyFill="1" applyBorder="1" applyAlignment="1">
      <alignment horizontal="center" vertical="center"/>
    </xf>
    <xf numFmtId="164" fontId="2" fillId="14" borderId="4" xfId="0" applyNumberFormat="1" applyFont="1" applyFill="1" applyBorder="1" applyAlignment="1">
      <alignment horizontal="center" vertical="center"/>
    </xf>
    <xf numFmtId="164" fontId="19" fillId="16" borderId="4" xfId="0" applyNumberFormat="1" applyFont="1" applyFill="1" applyBorder="1" applyAlignment="1">
      <alignment horizontal="center" vertical="center"/>
    </xf>
    <xf numFmtId="164" fontId="2" fillId="17" borderId="4" xfId="0" applyNumberFormat="1" applyFont="1" applyFill="1" applyBorder="1" applyAlignment="1">
      <alignment horizontal="center" vertical="center"/>
    </xf>
    <xf numFmtId="0" fontId="2" fillId="17" borderId="4" xfId="0" applyFont="1" applyFill="1" applyBorder="1" applyAlignment="1">
      <alignment horizontal="center" vertical="center"/>
    </xf>
    <xf numFmtId="0" fontId="0" fillId="17" borderId="4" xfId="0" applyFill="1" applyBorder="1" applyAlignment="1">
      <alignment horizontal="center"/>
    </xf>
    <xf numFmtId="164" fontId="3" fillId="9" borderId="0" xfId="0" applyNumberFormat="1" applyFont="1" applyFill="1" applyAlignment="1">
      <alignment horizontal="center" vertical="center" textRotation="90"/>
    </xf>
    <xf numFmtId="164" fontId="3" fillId="0" borderId="1" xfId="0" applyNumberFormat="1" applyFont="1" applyBorder="1" applyAlignment="1">
      <alignment horizontal="center" vertical="center" textRotation="90"/>
    </xf>
    <xf numFmtId="164" fontId="3" fillId="0" borderId="2" xfId="0" applyNumberFormat="1" applyFont="1" applyBorder="1" applyAlignment="1">
      <alignment horizontal="center" vertical="center" textRotation="90"/>
    </xf>
    <xf numFmtId="164" fontId="3" fillId="0" borderId="3" xfId="0" applyNumberFormat="1" applyFont="1" applyBorder="1" applyAlignment="1">
      <alignment horizontal="center" vertical="center" textRotation="90"/>
    </xf>
    <xf numFmtId="49" fontId="1" fillId="0" borderId="4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textRotation="90"/>
    </xf>
    <xf numFmtId="164" fontId="4" fillId="5" borderId="1" xfId="0" applyNumberFormat="1" applyFont="1" applyFill="1" applyBorder="1" applyAlignment="1">
      <alignment horizontal="center" vertical="center"/>
    </xf>
    <xf numFmtId="164" fontId="4" fillId="5" borderId="3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 textRotation="90"/>
    </xf>
    <xf numFmtId="164" fontId="3" fillId="0" borderId="6" xfId="0" applyNumberFormat="1" applyFont="1" applyBorder="1" applyAlignment="1">
      <alignment horizontal="center" vertical="center" textRotation="90"/>
    </xf>
    <xf numFmtId="164" fontId="3" fillId="0" borderId="7" xfId="0" applyNumberFormat="1" applyFont="1" applyBorder="1" applyAlignment="1">
      <alignment horizontal="center" vertical="center" textRotation="90"/>
    </xf>
    <xf numFmtId="0" fontId="16" fillId="15" borderId="8" xfId="0" applyFont="1" applyFill="1" applyBorder="1" applyAlignment="1">
      <alignment horizontal="center" wrapText="1"/>
    </xf>
    <xf numFmtId="0" fontId="16" fillId="15" borderId="9" xfId="0" applyFont="1" applyFill="1" applyBorder="1" applyAlignment="1">
      <alignment horizontal="center"/>
    </xf>
    <xf numFmtId="0" fontId="16" fillId="15" borderId="10" xfId="0" applyFont="1" applyFill="1" applyBorder="1" applyAlignment="1">
      <alignment horizontal="center"/>
    </xf>
    <xf numFmtId="0" fontId="16" fillId="15" borderId="11" xfId="0" applyFont="1" applyFill="1" applyBorder="1" applyAlignment="1">
      <alignment horizontal="center"/>
    </xf>
    <xf numFmtId="0" fontId="16" fillId="15" borderId="12" xfId="0" applyFont="1" applyFill="1" applyBorder="1" applyAlignment="1">
      <alignment horizontal="center"/>
    </xf>
    <xf numFmtId="0" fontId="16" fillId="15" borderId="13" xfId="0" applyFont="1" applyFill="1" applyBorder="1" applyAlignment="1">
      <alignment horizontal="center"/>
    </xf>
    <xf numFmtId="164" fontId="4" fillId="9" borderId="0" xfId="0" applyNumberFormat="1" applyFont="1" applyFill="1" applyAlignment="1">
      <alignment horizontal="center" vertical="center"/>
    </xf>
    <xf numFmtId="49" fontId="1" fillId="9" borderId="0" xfId="0" applyNumberFormat="1" applyFont="1" applyFill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/>
    </xf>
    <xf numFmtId="0" fontId="20" fillId="10" borderId="3" xfId="0" applyFont="1" applyFill="1" applyBorder="1" applyAlignment="1">
      <alignment horizontal="center"/>
    </xf>
    <xf numFmtId="0" fontId="18" fillId="10" borderId="1" xfId="0" applyFont="1" applyFill="1" applyBorder="1" applyAlignment="1">
      <alignment horizontal="center"/>
    </xf>
    <xf numFmtId="0" fontId="18" fillId="10" borderId="3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475C-F95C-459E-BADE-05E492A23F57}">
  <sheetPr>
    <pageSetUpPr fitToPage="1"/>
  </sheetPr>
  <dimension ref="B2:AQ49"/>
  <sheetViews>
    <sheetView tabSelected="1" topLeftCell="A2" zoomScale="85" zoomScaleNormal="85" workbookViewId="0">
      <selection activeCell="V8" sqref="V8:W8"/>
    </sheetView>
  </sheetViews>
  <sheetFormatPr baseColWidth="10" defaultColWidth="11.42578125" defaultRowHeight="15" x14ac:dyDescent="0.25"/>
  <cols>
    <col min="2" max="2" width="2.28515625" customWidth="1"/>
    <col min="3" max="3" width="6.5703125" customWidth="1"/>
    <col min="4" max="4" width="30.28515625" bestFit="1" customWidth="1"/>
    <col min="5" max="5" width="14.7109375" bestFit="1" customWidth="1"/>
    <col min="6" max="6" width="5.85546875" customWidth="1"/>
    <col min="7" max="7" width="5.7109375" customWidth="1"/>
    <col min="8" max="8" width="2.5703125" customWidth="1"/>
    <col min="9" max="9" width="6.7109375" bestFit="1" customWidth="1"/>
    <col min="10" max="10" width="17.28515625" bestFit="1" customWidth="1"/>
    <col min="11" max="11" width="15.7109375" bestFit="1" customWidth="1"/>
    <col min="12" max="12" width="5.7109375" customWidth="1"/>
    <col min="13" max="13" width="6.42578125" customWidth="1"/>
    <col min="14" max="14" width="2.28515625" customWidth="1"/>
    <col min="15" max="15" width="6.7109375" bestFit="1" customWidth="1"/>
    <col min="16" max="16" width="14.42578125" customWidth="1"/>
    <col min="17" max="17" width="15.7109375" bestFit="1" customWidth="1"/>
    <col min="18" max="18" width="5.5703125" customWidth="1"/>
    <col min="19" max="19" width="5.140625" customWidth="1"/>
    <col min="20" max="20" width="2.5703125" customWidth="1"/>
    <col min="21" max="21" width="6.7109375" bestFit="1" customWidth="1"/>
    <col min="22" max="22" width="11.42578125" customWidth="1"/>
    <col min="23" max="23" width="20.5703125" customWidth="1"/>
    <col min="24" max="24" width="5.42578125" customWidth="1"/>
    <col min="25" max="25" width="4.85546875" customWidth="1"/>
    <col min="26" max="26" width="2.28515625" hidden="1" customWidth="1"/>
    <col min="27" max="27" width="7.28515625" hidden="1" customWidth="1"/>
    <col min="28" max="28" width="20.5703125" hidden="1" customWidth="1"/>
    <col min="29" max="29" width="11.42578125" hidden="1" customWidth="1"/>
    <col min="30" max="30" width="5.7109375" hidden="1" customWidth="1"/>
    <col min="31" max="31" width="5.42578125" hidden="1" customWidth="1"/>
    <col min="32" max="32" width="2.7109375" hidden="1" customWidth="1"/>
    <col min="33" max="33" width="6.7109375" hidden="1" customWidth="1"/>
    <col min="34" max="35" width="11.42578125" hidden="1" customWidth="1"/>
    <col min="36" max="36" width="6.140625" hidden="1" customWidth="1"/>
    <col min="37" max="37" width="5.5703125" hidden="1" customWidth="1"/>
    <col min="38" max="38" width="2.5703125" hidden="1" customWidth="1"/>
    <col min="39" max="39" width="6.5703125" hidden="1" customWidth="1"/>
    <col min="40" max="41" width="11.42578125" hidden="1" customWidth="1"/>
    <col min="42" max="42" width="6.5703125" hidden="1" customWidth="1"/>
    <col min="43" max="43" width="6" hidden="1" customWidth="1"/>
  </cols>
  <sheetData>
    <row r="2" spans="2:43" s="22" customFormat="1" ht="21" x14ac:dyDescent="0.35">
      <c r="C2" s="23" t="s">
        <v>43</v>
      </c>
      <c r="P2" s="23" t="s">
        <v>0</v>
      </c>
      <c r="W2" s="24">
        <v>245</v>
      </c>
    </row>
    <row r="3" spans="2:43" s="22" customFormat="1" ht="21" x14ac:dyDescent="0.35">
      <c r="C3" s="23" t="s">
        <v>44</v>
      </c>
      <c r="P3" s="23" t="s">
        <v>1</v>
      </c>
      <c r="W3" s="25">
        <v>0</v>
      </c>
    </row>
    <row r="4" spans="2:43" s="22" customFormat="1" ht="21" x14ac:dyDescent="0.35">
      <c r="C4" s="23" t="s">
        <v>45</v>
      </c>
      <c r="P4" s="23" t="s">
        <v>46</v>
      </c>
      <c r="W4" s="25">
        <f>W2+W3</f>
        <v>245</v>
      </c>
    </row>
    <row r="5" spans="2:43" s="22" customFormat="1" ht="21" x14ac:dyDescent="0.35"/>
    <row r="6" spans="2:43" x14ac:dyDescent="0.25">
      <c r="B6" s="62"/>
      <c r="C6" s="63"/>
      <c r="D6" s="63" t="s">
        <v>2</v>
      </c>
      <c r="E6" s="63"/>
      <c r="F6" s="63"/>
      <c r="G6" s="61"/>
      <c r="H6" s="100" t="s">
        <v>3</v>
      </c>
      <c r="I6" s="100"/>
      <c r="J6" s="100"/>
      <c r="K6" s="100"/>
      <c r="L6" s="100"/>
      <c r="M6" s="100"/>
      <c r="N6" s="100" t="s">
        <v>4</v>
      </c>
      <c r="O6" s="100"/>
      <c r="P6" s="100"/>
      <c r="Q6" s="100"/>
      <c r="R6" s="100"/>
      <c r="S6" s="100"/>
      <c r="T6" s="115"/>
      <c r="U6" s="115"/>
      <c r="V6" s="115"/>
      <c r="W6" s="115"/>
      <c r="X6" s="115"/>
      <c r="Y6" s="115"/>
      <c r="Z6" s="116" t="s">
        <v>4</v>
      </c>
      <c r="AA6" s="100"/>
      <c r="AB6" s="100"/>
      <c r="AC6" s="100"/>
      <c r="AD6" s="100"/>
      <c r="AE6" s="100"/>
      <c r="AF6" s="100" t="s">
        <v>5</v>
      </c>
      <c r="AG6" s="100"/>
      <c r="AH6" s="100"/>
      <c r="AI6" s="100"/>
      <c r="AJ6" s="100"/>
      <c r="AK6" s="100"/>
      <c r="AL6" s="100" t="s">
        <v>6</v>
      </c>
      <c r="AM6" s="100"/>
      <c r="AN6" s="100"/>
      <c r="AO6" s="100"/>
      <c r="AP6" s="100"/>
      <c r="AQ6" s="100"/>
    </row>
    <row r="7" spans="2:43" ht="25.15" customHeight="1" x14ac:dyDescent="0.25">
      <c r="B7" s="13"/>
      <c r="C7" s="6"/>
      <c r="D7" s="7" t="s">
        <v>7</v>
      </c>
      <c r="E7" s="7" t="s">
        <v>8</v>
      </c>
      <c r="F7" s="9" t="s">
        <v>9</v>
      </c>
      <c r="G7" s="10" t="s">
        <v>10</v>
      </c>
      <c r="H7" s="13"/>
      <c r="I7" s="6"/>
      <c r="J7" s="7" t="s">
        <v>7</v>
      </c>
      <c r="K7" s="7" t="s">
        <v>8</v>
      </c>
      <c r="L7" s="9" t="s">
        <v>9</v>
      </c>
      <c r="M7" s="10" t="s">
        <v>10</v>
      </c>
      <c r="N7" s="6"/>
      <c r="O7" s="6"/>
      <c r="P7" s="7" t="s">
        <v>7</v>
      </c>
      <c r="Q7" s="7" t="s">
        <v>8</v>
      </c>
      <c r="R7" s="9" t="s">
        <v>9</v>
      </c>
      <c r="S7" s="10" t="s">
        <v>10</v>
      </c>
      <c r="T7" s="67"/>
      <c r="U7" s="67"/>
      <c r="V7" s="68"/>
      <c r="W7" s="68"/>
      <c r="X7" s="69"/>
      <c r="Y7" s="70"/>
      <c r="Z7" s="65"/>
      <c r="AA7" s="6"/>
      <c r="AB7" s="7" t="s">
        <v>7</v>
      </c>
      <c r="AC7" s="7" t="s">
        <v>8</v>
      </c>
      <c r="AD7" s="9" t="s">
        <v>9</v>
      </c>
      <c r="AE7" s="10" t="s">
        <v>10</v>
      </c>
      <c r="AF7" s="13"/>
      <c r="AG7" s="6"/>
      <c r="AH7" s="7" t="s">
        <v>7</v>
      </c>
      <c r="AI7" s="7" t="s">
        <v>8</v>
      </c>
      <c r="AJ7" s="9" t="s">
        <v>9</v>
      </c>
      <c r="AK7" s="10" t="s">
        <v>10</v>
      </c>
      <c r="AL7" s="13"/>
      <c r="AM7" s="6"/>
      <c r="AN7" s="7" t="s">
        <v>7</v>
      </c>
      <c r="AO7" s="7" t="s">
        <v>8</v>
      </c>
      <c r="AP7" s="9" t="s">
        <v>9</v>
      </c>
      <c r="AQ7" s="10" t="s">
        <v>10</v>
      </c>
    </row>
    <row r="8" spans="2:43" ht="14.45" customHeight="1" x14ac:dyDescent="0.25">
      <c r="B8" s="46"/>
      <c r="C8" s="12">
        <v>45992</v>
      </c>
      <c r="D8" s="64"/>
      <c r="E8" s="28"/>
      <c r="F8" s="2"/>
      <c r="G8" s="2"/>
      <c r="H8" s="101" t="s">
        <v>14</v>
      </c>
      <c r="I8" s="21">
        <v>46023</v>
      </c>
      <c r="J8" s="102" t="s">
        <v>11</v>
      </c>
      <c r="K8" s="104"/>
      <c r="L8" s="16"/>
      <c r="M8" s="16"/>
      <c r="N8" s="8"/>
      <c r="O8" s="14">
        <v>46054</v>
      </c>
      <c r="P8" s="14"/>
      <c r="Q8" s="14"/>
      <c r="R8" s="15"/>
      <c r="S8" s="15"/>
      <c r="T8" s="96"/>
      <c r="U8" s="71"/>
      <c r="V8" s="114"/>
      <c r="W8" s="114"/>
      <c r="X8" s="73"/>
      <c r="Y8" s="73"/>
      <c r="Z8" s="66"/>
      <c r="AA8" s="14">
        <v>46054</v>
      </c>
      <c r="AB8" s="14"/>
      <c r="AC8" s="14"/>
      <c r="AD8" s="15"/>
      <c r="AE8" s="15"/>
      <c r="AF8" s="32"/>
      <c r="AG8" s="21">
        <v>46082</v>
      </c>
      <c r="AH8" s="14"/>
      <c r="AI8" s="14"/>
      <c r="AJ8" s="15"/>
      <c r="AK8" s="15"/>
      <c r="AL8" s="101" t="s">
        <v>15</v>
      </c>
      <c r="AM8" s="12">
        <v>46113</v>
      </c>
      <c r="AN8" s="43" t="s">
        <v>13</v>
      </c>
      <c r="AO8" s="1"/>
      <c r="AP8" s="2">
        <v>7</v>
      </c>
      <c r="AQ8" s="2"/>
    </row>
    <row r="9" spans="2:43" x14ac:dyDescent="0.25">
      <c r="B9" s="60"/>
      <c r="C9" s="12">
        <v>45993</v>
      </c>
      <c r="D9" s="64"/>
      <c r="E9" s="29"/>
      <c r="F9" s="2"/>
      <c r="G9" s="2"/>
      <c r="H9" s="101"/>
      <c r="I9" s="21">
        <v>46024</v>
      </c>
      <c r="J9" s="14"/>
      <c r="K9" s="14"/>
      <c r="L9" s="33"/>
      <c r="M9" s="34"/>
      <c r="N9" s="101" t="s">
        <v>16</v>
      </c>
      <c r="O9" s="1">
        <v>46055</v>
      </c>
      <c r="P9" s="87" t="s">
        <v>65</v>
      </c>
      <c r="Q9" s="3" t="s">
        <v>62</v>
      </c>
      <c r="R9" s="2">
        <v>7</v>
      </c>
      <c r="S9" s="2"/>
      <c r="T9" s="96"/>
      <c r="U9" s="71"/>
      <c r="V9" s="71"/>
      <c r="W9" s="71"/>
      <c r="X9" s="74"/>
      <c r="Y9" s="74"/>
      <c r="Z9" s="99" t="s">
        <v>16</v>
      </c>
      <c r="AA9" s="1">
        <v>46055</v>
      </c>
      <c r="AB9" s="43" t="s">
        <v>13</v>
      </c>
      <c r="AC9" s="3"/>
      <c r="AD9" s="2">
        <v>7</v>
      </c>
      <c r="AE9" s="2"/>
      <c r="AF9" s="101" t="s">
        <v>17</v>
      </c>
      <c r="AG9" s="12">
        <v>46083</v>
      </c>
      <c r="AH9" s="44" t="s">
        <v>42</v>
      </c>
      <c r="AI9" s="3"/>
      <c r="AJ9" s="2"/>
      <c r="AK9" s="2">
        <v>7</v>
      </c>
      <c r="AL9" s="101"/>
      <c r="AM9" s="12">
        <v>46114</v>
      </c>
      <c r="AN9" s="43" t="s">
        <v>13</v>
      </c>
      <c r="AO9" s="3"/>
      <c r="AP9" s="2">
        <v>7</v>
      </c>
      <c r="AQ9" s="2"/>
    </row>
    <row r="10" spans="2:43" ht="14.45" customHeight="1" x14ac:dyDescent="0.25">
      <c r="B10" s="60"/>
      <c r="C10" s="12">
        <v>45994</v>
      </c>
      <c r="D10" s="64"/>
      <c r="E10" s="29"/>
      <c r="F10" s="2"/>
      <c r="G10" s="2"/>
      <c r="H10" s="101"/>
      <c r="I10" s="21">
        <v>46025</v>
      </c>
      <c r="J10" s="14"/>
      <c r="K10" s="14"/>
      <c r="L10" s="15"/>
      <c r="M10" s="20"/>
      <c r="N10" s="101"/>
      <c r="O10" s="1">
        <v>46056</v>
      </c>
      <c r="P10" s="94" t="s">
        <v>68</v>
      </c>
      <c r="Q10" s="3" t="s">
        <v>70</v>
      </c>
      <c r="R10" s="2">
        <v>7</v>
      </c>
      <c r="S10" s="2"/>
      <c r="T10" s="96"/>
      <c r="U10" s="71"/>
      <c r="V10" s="71"/>
      <c r="W10" s="71"/>
      <c r="X10" s="75"/>
      <c r="Y10" s="75"/>
      <c r="Z10" s="99"/>
      <c r="AA10" s="1">
        <v>46056</v>
      </c>
      <c r="AB10" s="43" t="s">
        <v>13</v>
      </c>
      <c r="AC10" s="3"/>
      <c r="AD10" s="2">
        <v>7</v>
      </c>
      <c r="AE10" s="2"/>
      <c r="AF10" s="101"/>
      <c r="AG10" s="12">
        <v>46084</v>
      </c>
      <c r="AH10" s="44" t="s">
        <v>42</v>
      </c>
      <c r="AI10" s="3"/>
      <c r="AJ10" s="2"/>
      <c r="AK10" s="2">
        <v>7</v>
      </c>
      <c r="AL10" s="101"/>
      <c r="AM10" s="12">
        <v>46115</v>
      </c>
      <c r="AN10" s="43" t="s">
        <v>13</v>
      </c>
      <c r="AO10" s="3"/>
      <c r="AP10" s="2">
        <v>7</v>
      </c>
      <c r="AQ10" s="2"/>
    </row>
    <row r="11" spans="2:43" ht="19.5" x14ac:dyDescent="0.25">
      <c r="B11" s="60" t="s">
        <v>12</v>
      </c>
      <c r="C11" s="12">
        <v>45995</v>
      </c>
      <c r="D11" s="64"/>
      <c r="E11" s="29"/>
      <c r="F11" s="2"/>
      <c r="G11" s="2"/>
      <c r="H11" s="101"/>
      <c r="I11" s="21">
        <v>46026</v>
      </c>
      <c r="J11" s="14"/>
      <c r="K11" s="14"/>
      <c r="L11" s="15"/>
      <c r="M11" s="20"/>
      <c r="N11" s="101"/>
      <c r="O11" s="1">
        <v>46057</v>
      </c>
      <c r="P11" s="87" t="s">
        <v>28</v>
      </c>
      <c r="Q11" s="3" t="s">
        <v>69</v>
      </c>
      <c r="R11" s="2">
        <v>7</v>
      </c>
      <c r="S11" s="2"/>
      <c r="T11" s="96"/>
      <c r="U11" s="71"/>
      <c r="V11" s="71"/>
      <c r="W11" s="71"/>
      <c r="X11" s="75"/>
      <c r="Y11" s="75"/>
      <c r="Z11" s="99"/>
      <c r="AA11" s="1">
        <v>46057</v>
      </c>
      <c r="AB11" s="43" t="s">
        <v>13</v>
      </c>
      <c r="AC11" s="3"/>
      <c r="AD11" s="2">
        <v>7</v>
      </c>
      <c r="AE11" s="2"/>
      <c r="AF11" s="101"/>
      <c r="AG11" s="12">
        <v>46085</v>
      </c>
      <c r="AH11" s="44" t="s">
        <v>42</v>
      </c>
      <c r="AI11" s="3"/>
      <c r="AJ11" s="2"/>
      <c r="AK11" s="2">
        <v>7</v>
      </c>
      <c r="AL11" s="101"/>
      <c r="AM11" s="21">
        <v>46116</v>
      </c>
      <c r="AN11" s="17"/>
      <c r="AO11" s="17"/>
      <c r="AP11" s="15"/>
      <c r="AQ11" s="15"/>
    </row>
    <row r="12" spans="2:43" x14ac:dyDescent="0.25">
      <c r="B12" s="60"/>
      <c r="C12" s="12">
        <v>45996</v>
      </c>
      <c r="D12" s="64"/>
      <c r="E12" s="29"/>
      <c r="F12" s="2"/>
      <c r="G12" s="2"/>
      <c r="H12" s="101" t="s">
        <v>18</v>
      </c>
      <c r="I12" s="12">
        <v>46027</v>
      </c>
      <c r="J12" s="87" t="s">
        <v>22</v>
      </c>
      <c r="K12" s="3" t="s">
        <v>69</v>
      </c>
      <c r="L12" s="2">
        <v>7</v>
      </c>
      <c r="M12" s="2"/>
      <c r="N12" s="101"/>
      <c r="O12" s="1">
        <v>46058</v>
      </c>
      <c r="P12" s="93" t="s">
        <v>53</v>
      </c>
      <c r="Q12" s="3" t="s">
        <v>71</v>
      </c>
      <c r="R12" s="2">
        <v>7</v>
      </c>
      <c r="S12" s="2"/>
      <c r="T12" s="96"/>
      <c r="U12" s="71"/>
      <c r="V12" s="76"/>
      <c r="W12" s="71"/>
      <c r="X12" s="75"/>
      <c r="Y12" s="75"/>
      <c r="Z12" s="99"/>
      <c r="AA12" s="1">
        <v>46058</v>
      </c>
      <c r="AB12" s="43" t="s">
        <v>13</v>
      </c>
      <c r="AC12" s="3"/>
      <c r="AD12" s="2">
        <v>7</v>
      </c>
      <c r="AE12" s="2"/>
      <c r="AF12" s="101"/>
      <c r="AG12" s="12">
        <v>46086</v>
      </c>
      <c r="AH12" s="44" t="s">
        <v>42</v>
      </c>
      <c r="AI12" s="3"/>
      <c r="AJ12" s="2"/>
      <c r="AK12" s="2">
        <v>7</v>
      </c>
      <c r="AL12" s="101"/>
      <c r="AM12" s="21">
        <v>46117</v>
      </c>
      <c r="AN12" s="17"/>
      <c r="AO12" s="17"/>
      <c r="AP12" s="15"/>
      <c r="AQ12" s="15"/>
    </row>
    <row r="13" spans="2:43" ht="14.45" customHeight="1" x14ac:dyDescent="0.25">
      <c r="B13" s="60"/>
      <c r="C13" s="21">
        <v>45997</v>
      </c>
      <c r="D13" s="17"/>
      <c r="E13" s="30"/>
      <c r="F13" s="15"/>
      <c r="G13" s="15"/>
      <c r="H13" s="101"/>
      <c r="I13" s="12">
        <v>46028</v>
      </c>
      <c r="J13" s="89" t="s">
        <v>49</v>
      </c>
      <c r="K13" s="1"/>
      <c r="L13" s="2">
        <v>7</v>
      </c>
      <c r="M13" s="2"/>
      <c r="N13" s="101"/>
      <c r="O13" s="1">
        <v>46059</v>
      </c>
      <c r="P13" s="93" t="s">
        <v>53</v>
      </c>
      <c r="Q13" s="3" t="s">
        <v>71</v>
      </c>
      <c r="R13" s="2">
        <v>7</v>
      </c>
      <c r="S13" s="2"/>
      <c r="T13" s="96"/>
      <c r="U13" s="71"/>
      <c r="V13" s="76"/>
      <c r="W13" s="71"/>
      <c r="X13" s="75"/>
      <c r="Y13" s="75"/>
      <c r="Z13" s="99"/>
      <c r="AA13" s="1">
        <v>46059</v>
      </c>
      <c r="AB13" s="43" t="s">
        <v>20</v>
      </c>
      <c r="AC13" s="3"/>
      <c r="AD13" s="2">
        <v>7</v>
      </c>
      <c r="AE13" s="2"/>
      <c r="AF13" s="101"/>
      <c r="AG13" s="12">
        <v>46087</v>
      </c>
      <c r="AH13" s="44" t="s">
        <v>42</v>
      </c>
      <c r="AI13" s="3"/>
      <c r="AJ13" s="2"/>
      <c r="AK13" s="2">
        <v>7</v>
      </c>
      <c r="AL13" s="101" t="s">
        <v>21</v>
      </c>
      <c r="AM13" s="21">
        <v>46118</v>
      </c>
      <c r="AN13" s="102" t="s">
        <v>11</v>
      </c>
      <c r="AO13" s="103"/>
      <c r="AP13" s="15"/>
      <c r="AQ13" s="15"/>
    </row>
    <row r="14" spans="2:43" x14ac:dyDescent="0.25">
      <c r="B14" s="47"/>
      <c r="C14" s="21">
        <v>45998</v>
      </c>
      <c r="D14" s="14"/>
      <c r="E14" s="21"/>
      <c r="F14" s="15"/>
      <c r="G14" s="15"/>
      <c r="H14" s="101"/>
      <c r="I14" s="12">
        <v>46029</v>
      </c>
      <c r="J14" s="89" t="s">
        <v>49</v>
      </c>
      <c r="K14" s="1"/>
      <c r="L14" s="2">
        <v>7</v>
      </c>
      <c r="M14" s="2"/>
      <c r="N14" s="101"/>
      <c r="O14" s="14">
        <v>46060</v>
      </c>
      <c r="P14" s="14"/>
      <c r="Q14" s="14"/>
      <c r="R14" s="15"/>
      <c r="S14" s="15"/>
      <c r="T14" s="96"/>
      <c r="U14" s="71"/>
      <c r="V14" s="76"/>
      <c r="W14" s="71"/>
      <c r="X14" s="75"/>
      <c r="Y14" s="75"/>
      <c r="Z14" s="99"/>
      <c r="AA14" s="14">
        <v>46060</v>
      </c>
      <c r="AB14" s="14"/>
      <c r="AC14" s="14"/>
      <c r="AD14" s="15"/>
      <c r="AE14" s="15"/>
      <c r="AF14" s="101"/>
      <c r="AG14" s="21">
        <v>46088</v>
      </c>
      <c r="AH14" s="14"/>
      <c r="AI14" s="14"/>
      <c r="AJ14" s="15"/>
      <c r="AK14" s="15"/>
      <c r="AL14" s="101"/>
      <c r="AM14" s="12">
        <v>46119</v>
      </c>
      <c r="AN14" s="43" t="s">
        <v>23</v>
      </c>
      <c r="AO14" s="1"/>
      <c r="AP14" s="2">
        <v>7</v>
      </c>
      <c r="AQ14" s="2"/>
    </row>
    <row r="15" spans="2:43" ht="14.45" customHeight="1" x14ac:dyDescent="0.25">
      <c r="B15" s="46"/>
      <c r="C15" s="12">
        <v>45999</v>
      </c>
      <c r="D15" s="64"/>
      <c r="E15" s="31"/>
      <c r="F15" s="2"/>
      <c r="G15" s="2"/>
      <c r="H15" s="101"/>
      <c r="I15" s="12">
        <v>46030</v>
      </c>
      <c r="J15" s="89" t="s">
        <v>49</v>
      </c>
      <c r="K15" s="1"/>
      <c r="L15" s="2">
        <v>7</v>
      </c>
      <c r="M15" s="2"/>
      <c r="N15" s="101"/>
      <c r="O15" s="14">
        <v>46061</v>
      </c>
      <c r="P15" s="18"/>
      <c r="Q15" s="18"/>
      <c r="R15" s="18"/>
      <c r="S15" s="18"/>
      <c r="T15" s="96"/>
      <c r="U15" s="71"/>
      <c r="V15" s="76"/>
      <c r="W15" s="71"/>
      <c r="X15" s="75"/>
      <c r="Y15" s="75"/>
      <c r="Z15" s="99"/>
      <c r="AA15" s="14">
        <v>46061</v>
      </c>
      <c r="AB15" s="18"/>
      <c r="AC15" s="18"/>
      <c r="AD15" s="18"/>
      <c r="AE15" s="18"/>
      <c r="AF15" s="101"/>
      <c r="AG15" s="21">
        <v>46089</v>
      </c>
      <c r="AH15" s="18"/>
      <c r="AI15" s="18"/>
      <c r="AJ15" s="18"/>
      <c r="AK15" s="18"/>
      <c r="AL15" s="101"/>
      <c r="AM15" s="12">
        <v>46120</v>
      </c>
      <c r="AN15" s="3" t="s">
        <v>25</v>
      </c>
      <c r="AO15" s="4"/>
      <c r="AP15" s="2">
        <v>7</v>
      </c>
      <c r="AQ15" s="4"/>
    </row>
    <row r="16" spans="2:43" x14ac:dyDescent="0.25">
      <c r="B16" s="60"/>
      <c r="C16" s="12">
        <v>46000</v>
      </c>
      <c r="D16" s="64"/>
      <c r="E16" s="29"/>
      <c r="F16" s="2"/>
      <c r="G16" s="2"/>
      <c r="H16" s="101"/>
      <c r="I16" s="12">
        <v>46031</v>
      </c>
      <c r="J16" s="89" t="s">
        <v>49</v>
      </c>
      <c r="K16" s="1"/>
      <c r="L16" s="2">
        <v>7</v>
      </c>
      <c r="M16" s="2"/>
      <c r="N16" s="101" t="s">
        <v>26</v>
      </c>
      <c r="O16" s="1">
        <v>46062</v>
      </c>
      <c r="P16" s="87" t="s">
        <v>55</v>
      </c>
      <c r="Q16" s="3" t="s">
        <v>63</v>
      </c>
      <c r="R16" s="2">
        <v>7</v>
      </c>
      <c r="S16" s="2"/>
      <c r="T16" s="96"/>
      <c r="U16" s="71"/>
      <c r="V16" s="76"/>
      <c r="W16" s="71"/>
      <c r="X16" s="75"/>
      <c r="Y16" s="75"/>
      <c r="Z16" s="99" t="s">
        <v>26</v>
      </c>
      <c r="AA16" s="1">
        <v>46062</v>
      </c>
      <c r="AB16" s="43" t="s">
        <v>13</v>
      </c>
      <c r="AC16" s="3"/>
      <c r="AD16" s="2">
        <v>7</v>
      </c>
      <c r="AE16" s="2"/>
      <c r="AF16" s="101" t="s">
        <v>27</v>
      </c>
      <c r="AG16" s="12">
        <v>46090</v>
      </c>
      <c r="AH16" s="43" t="s">
        <v>13</v>
      </c>
      <c r="AI16" s="3"/>
      <c r="AJ16" s="2">
        <v>7</v>
      </c>
      <c r="AK16" s="2"/>
      <c r="AL16" s="101"/>
      <c r="AM16" s="12">
        <v>46121</v>
      </c>
      <c r="AN16" s="3"/>
      <c r="AO16" s="3"/>
      <c r="AP16" s="2"/>
      <c r="AQ16" s="2"/>
    </row>
    <row r="17" spans="2:43" ht="14.45" customHeight="1" x14ac:dyDescent="0.25">
      <c r="B17" s="60"/>
      <c r="C17" s="12">
        <v>46001</v>
      </c>
      <c r="D17" s="64"/>
      <c r="E17" s="29"/>
      <c r="F17" s="2"/>
      <c r="G17" s="2"/>
      <c r="H17" s="101"/>
      <c r="I17" s="21">
        <v>46032</v>
      </c>
      <c r="J17" s="14"/>
      <c r="K17" s="14"/>
      <c r="L17" s="15"/>
      <c r="M17" s="20"/>
      <c r="N17" s="101"/>
      <c r="O17" s="1">
        <v>46063</v>
      </c>
      <c r="P17" s="87" t="s">
        <v>55</v>
      </c>
      <c r="Q17" s="3" t="s">
        <v>63</v>
      </c>
      <c r="R17" s="2">
        <v>7</v>
      </c>
      <c r="S17" s="2"/>
      <c r="T17" s="96"/>
      <c r="U17" s="71"/>
      <c r="V17" s="71"/>
      <c r="W17" s="71"/>
      <c r="X17" s="75"/>
      <c r="Y17" s="75"/>
      <c r="Z17" s="99"/>
      <c r="AA17" s="1">
        <v>46063</v>
      </c>
      <c r="AB17" s="43" t="s">
        <v>13</v>
      </c>
      <c r="AC17" s="3"/>
      <c r="AD17" s="2">
        <v>7</v>
      </c>
      <c r="AE17" s="2"/>
      <c r="AF17" s="101"/>
      <c r="AG17" s="12">
        <v>46091</v>
      </c>
      <c r="AH17" s="43" t="s">
        <v>13</v>
      </c>
      <c r="AI17" s="3"/>
      <c r="AJ17" s="2">
        <v>7</v>
      </c>
      <c r="AK17" s="2"/>
      <c r="AL17" s="101"/>
      <c r="AM17" s="12">
        <v>46122</v>
      </c>
      <c r="AN17" s="3"/>
      <c r="AO17" s="3"/>
      <c r="AP17" s="2"/>
      <c r="AQ17" s="2"/>
    </row>
    <row r="18" spans="2:43" ht="19.5" x14ac:dyDescent="0.25">
      <c r="B18" s="60" t="s">
        <v>24</v>
      </c>
      <c r="C18" s="12">
        <v>46002</v>
      </c>
      <c r="D18" s="64"/>
      <c r="E18" s="28"/>
      <c r="F18" s="2"/>
      <c r="G18" s="2"/>
      <c r="H18" s="101"/>
      <c r="I18" s="21">
        <v>46033</v>
      </c>
      <c r="J18" s="16"/>
      <c r="K18" s="16"/>
      <c r="L18" s="16"/>
      <c r="M18" s="36"/>
      <c r="N18" s="101"/>
      <c r="O18" s="1">
        <v>46064</v>
      </c>
      <c r="P18" s="87" t="s">
        <v>55</v>
      </c>
      <c r="Q18" s="3" t="s">
        <v>63</v>
      </c>
      <c r="R18" s="2">
        <v>7</v>
      </c>
      <c r="S18" s="2"/>
      <c r="T18" s="96"/>
      <c r="U18" s="71"/>
      <c r="V18" s="73"/>
      <c r="W18" s="73"/>
      <c r="X18" s="73"/>
      <c r="Y18" s="73"/>
      <c r="Z18" s="99"/>
      <c r="AA18" s="1">
        <v>46064</v>
      </c>
      <c r="AB18" s="43" t="s">
        <v>13</v>
      </c>
      <c r="AC18" s="3"/>
      <c r="AD18" s="2">
        <v>7</v>
      </c>
      <c r="AE18" s="2"/>
      <c r="AF18" s="101"/>
      <c r="AG18" s="12">
        <v>46092</v>
      </c>
      <c r="AH18" s="43" t="s">
        <v>13</v>
      </c>
      <c r="AI18" s="3"/>
      <c r="AJ18" s="2">
        <v>7</v>
      </c>
      <c r="AK18" s="2"/>
      <c r="AL18" s="101"/>
      <c r="AM18" s="21">
        <v>46123</v>
      </c>
      <c r="AN18" s="17"/>
      <c r="AO18" s="17"/>
      <c r="AP18" s="15"/>
      <c r="AQ18" s="15"/>
    </row>
    <row r="19" spans="2:43" x14ac:dyDescent="0.25">
      <c r="B19" s="60"/>
      <c r="C19" s="12">
        <v>46003</v>
      </c>
      <c r="D19" s="64"/>
      <c r="E19" s="29"/>
      <c r="F19" s="2"/>
      <c r="G19" s="2"/>
      <c r="H19" s="101" t="s">
        <v>29</v>
      </c>
      <c r="I19" s="12">
        <v>46034</v>
      </c>
      <c r="J19" s="88" t="s">
        <v>48</v>
      </c>
      <c r="K19" s="1"/>
      <c r="L19" s="2">
        <v>7</v>
      </c>
      <c r="M19" s="35"/>
      <c r="N19" s="101"/>
      <c r="O19" s="1">
        <v>46065</v>
      </c>
      <c r="P19" s="87" t="s">
        <v>28</v>
      </c>
      <c r="Q19" s="3" t="s">
        <v>69</v>
      </c>
      <c r="R19" s="2">
        <v>7</v>
      </c>
      <c r="S19" s="2"/>
      <c r="T19" s="96"/>
      <c r="U19" s="71"/>
      <c r="V19" s="76"/>
      <c r="W19" s="71"/>
      <c r="X19" s="75"/>
      <c r="Y19" s="75"/>
      <c r="Z19" s="99"/>
      <c r="AA19" s="1">
        <v>46065</v>
      </c>
      <c r="AB19" s="43" t="s">
        <v>13</v>
      </c>
      <c r="AC19" s="3"/>
      <c r="AD19" s="2">
        <v>7</v>
      </c>
      <c r="AE19" s="2"/>
      <c r="AF19" s="101"/>
      <c r="AG19" s="12">
        <v>46093</v>
      </c>
      <c r="AH19" s="43" t="s">
        <v>13</v>
      </c>
      <c r="AI19" s="3"/>
      <c r="AJ19" s="2">
        <v>7</v>
      </c>
      <c r="AK19" s="2"/>
      <c r="AL19" s="101"/>
      <c r="AM19" s="21">
        <v>46124</v>
      </c>
      <c r="AN19" s="17"/>
      <c r="AO19" s="17"/>
      <c r="AP19" s="15"/>
      <c r="AQ19" s="15"/>
    </row>
    <row r="20" spans="2:43" ht="14.45" customHeight="1" x14ac:dyDescent="0.25">
      <c r="B20" s="60"/>
      <c r="C20" s="21">
        <v>46004</v>
      </c>
      <c r="D20" s="17"/>
      <c r="E20" s="17"/>
      <c r="F20" s="15"/>
      <c r="G20" s="15"/>
      <c r="H20" s="101"/>
      <c r="I20" s="12">
        <v>46035</v>
      </c>
      <c r="J20" s="88" t="s">
        <v>48</v>
      </c>
      <c r="K20" s="3"/>
      <c r="L20" s="2">
        <v>7</v>
      </c>
      <c r="M20" s="35"/>
      <c r="N20" s="101"/>
      <c r="O20" s="1">
        <v>46066</v>
      </c>
      <c r="P20" s="92" t="s">
        <v>66</v>
      </c>
      <c r="Q20" s="3"/>
      <c r="R20" s="2">
        <v>7</v>
      </c>
      <c r="S20" s="2"/>
      <c r="T20" s="96"/>
      <c r="U20" s="71"/>
      <c r="V20" s="76"/>
      <c r="W20" s="76"/>
      <c r="X20" s="75"/>
      <c r="Y20" s="75"/>
      <c r="Z20" s="99"/>
      <c r="AA20" s="1">
        <v>46066</v>
      </c>
      <c r="AB20" s="43" t="s">
        <v>13</v>
      </c>
      <c r="AC20" s="3"/>
      <c r="AD20" s="2">
        <v>7</v>
      </c>
      <c r="AE20" s="2"/>
      <c r="AF20" s="101"/>
      <c r="AG20" s="12">
        <v>46094</v>
      </c>
      <c r="AH20" s="43" t="s">
        <v>13</v>
      </c>
      <c r="AI20" s="3"/>
      <c r="AJ20" s="2">
        <v>7</v>
      </c>
      <c r="AK20" s="2"/>
      <c r="AL20" s="101" t="s">
        <v>30</v>
      </c>
      <c r="AM20" s="12">
        <v>46125</v>
      </c>
      <c r="AN20" s="3"/>
      <c r="AO20" s="3"/>
      <c r="AP20" s="2"/>
      <c r="AQ20" s="2"/>
    </row>
    <row r="21" spans="2:43" x14ac:dyDescent="0.25">
      <c r="B21" s="47"/>
      <c r="C21" s="21">
        <v>46005</v>
      </c>
      <c r="D21" s="16"/>
      <c r="E21" s="16"/>
      <c r="F21" s="16"/>
      <c r="G21" s="16"/>
      <c r="H21" s="101"/>
      <c r="I21" s="12">
        <v>46036</v>
      </c>
      <c r="J21" s="88" t="s">
        <v>48</v>
      </c>
      <c r="K21" s="3"/>
      <c r="L21" s="2">
        <v>7</v>
      </c>
      <c r="M21" s="35"/>
      <c r="N21" s="101"/>
      <c r="O21" s="14">
        <v>46067</v>
      </c>
      <c r="P21" s="14"/>
      <c r="Q21" s="14"/>
      <c r="R21" s="15"/>
      <c r="S21" s="15"/>
      <c r="T21" s="96"/>
      <c r="U21" s="71"/>
      <c r="V21" s="76"/>
      <c r="W21" s="76"/>
      <c r="X21" s="75"/>
      <c r="Y21" s="75"/>
      <c r="Z21" s="99"/>
      <c r="AA21" s="14">
        <v>46067</v>
      </c>
      <c r="AB21" s="14"/>
      <c r="AC21" s="14"/>
      <c r="AD21" s="15"/>
      <c r="AE21" s="15"/>
      <c r="AF21" s="101"/>
      <c r="AG21" s="21">
        <v>46095</v>
      </c>
      <c r="AH21" s="14"/>
      <c r="AI21" s="14"/>
      <c r="AJ21" s="15"/>
      <c r="AK21" s="15"/>
      <c r="AL21" s="101"/>
      <c r="AM21" s="12">
        <v>46126</v>
      </c>
      <c r="AN21" s="1"/>
      <c r="AO21" s="1"/>
      <c r="AP21" s="2"/>
      <c r="AQ21" s="2"/>
    </row>
    <row r="22" spans="2:43" ht="14.45" customHeight="1" x14ac:dyDescent="0.25">
      <c r="B22" s="46"/>
      <c r="C22" s="12">
        <v>46006</v>
      </c>
      <c r="D22" s="93" t="s">
        <v>67</v>
      </c>
      <c r="E22" s="1" t="s">
        <v>70</v>
      </c>
      <c r="F22" s="2">
        <v>7</v>
      </c>
      <c r="G22" s="2"/>
      <c r="H22" s="101"/>
      <c r="I22" s="12">
        <v>46037</v>
      </c>
      <c r="J22" s="90" t="s">
        <v>50</v>
      </c>
      <c r="K22" s="3"/>
      <c r="L22" s="2">
        <v>7</v>
      </c>
      <c r="M22" s="35"/>
      <c r="N22" s="101"/>
      <c r="O22" s="14">
        <v>46068</v>
      </c>
      <c r="P22" s="14"/>
      <c r="Q22" s="14"/>
      <c r="R22" s="15"/>
      <c r="S22" s="15"/>
      <c r="T22" s="96"/>
      <c r="U22" s="71"/>
      <c r="V22" s="76"/>
      <c r="W22" s="76"/>
      <c r="X22" s="75"/>
      <c r="Y22" s="75"/>
      <c r="Z22" s="99"/>
      <c r="AA22" s="14">
        <v>46068</v>
      </c>
      <c r="AB22" s="14"/>
      <c r="AC22" s="14"/>
      <c r="AD22" s="15"/>
      <c r="AE22" s="15"/>
      <c r="AF22" s="101"/>
      <c r="AG22" s="21">
        <v>46096</v>
      </c>
      <c r="AH22" s="14"/>
      <c r="AI22" s="14"/>
      <c r="AJ22" s="15"/>
      <c r="AK22" s="15"/>
      <c r="AL22" s="101"/>
      <c r="AM22" s="12">
        <v>46127</v>
      </c>
      <c r="AN22" s="1"/>
      <c r="AO22" s="1"/>
      <c r="AP22" s="2"/>
      <c r="AQ22" s="2"/>
    </row>
    <row r="23" spans="2:43" x14ac:dyDescent="0.25">
      <c r="B23" s="60"/>
      <c r="C23" s="12">
        <v>46007</v>
      </c>
      <c r="D23" s="93" t="s">
        <v>68</v>
      </c>
      <c r="E23" s="3" t="s">
        <v>70</v>
      </c>
      <c r="F23" s="2">
        <v>7</v>
      </c>
      <c r="G23" s="2"/>
      <c r="H23" s="101"/>
      <c r="I23" s="12">
        <v>46038</v>
      </c>
      <c r="J23" s="87" t="s">
        <v>65</v>
      </c>
      <c r="K23" s="3" t="s">
        <v>62</v>
      </c>
      <c r="L23" s="2">
        <v>7</v>
      </c>
      <c r="M23" s="35"/>
      <c r="N23" s="101" t="s">
        <v>32</v>
      </c>
      <c r="O23" s="1">
        <v>46069</v>
      </c>
      <c r="P23" s="64"/>
      <c r="Q23" s="3"/>
      <c r="R23" s="2"/>
      <c r="S23" s="2"/>
      <c r="T23" s="96"/>
      <c r="U23" s="71"/>
      <c r="V23" s="76"/>
      <c r="W23" s="71"/>
      <c r="X23" s="75"/>
      <c r="Y23" s="75"/>
      <c r="Z23" s="99" t="s">
        <v>32</v>
      </c>
      <c r="AA23" s="1">
        <v>46069</v>
      </c>
      <c r="AB23" s="44" t="s">
        <v>42</v>
      </c>
      <c r="AC23" s="3"/>
      <c r="AD23" s="2"/>
      <c r="AE23" s="2">
        <v>7</v>
      </c>
      <c r="AF23" s="101" t="s">
        <v>33</v>
      </c>
      <c r="AG23" s="12">
        <v>46097</v>
      </c>
      <c r="AH23" s="43" t="s">
        <v>13</v>
      </c>
      <c r="AI23" s="3"/>
      <c r="AJ23" s="2">
        <v>7</v>
      </c>
      <c r="AK23" s="2"/>
      <c r="AL23" s="101"/>
      <c r="AM23" s="12">
        <v>46128</v>
      </c>
      <c r="AN23" s="3"/>
      <c r="AO23" s="3"/>
      <c r="AP23" s="2"/>
      <c r="AQ23" s="2"/>
    </row>
    <row r="24" spans="2:43" ht="14.45" customHeight="1" x14ac:dyDescent="0.25">
      <c r="B24" s="60"/>
      <c r="C24" s="12">
        <v>46008</v>
      </c>
      <c r="D24" s="87" t="s">
        <v>22</v>
      </c>
      <c r="E24" s="3" t="s">
        <v>69</v>
      </c>
      <c r="F24" s="2">
        <v>7</v>
      </c>
      <c r="G24" s="2"/>
      <c r="H24" s="101"/>
      <c r="I24" s="21">
        <v>46039</v>
      </c>
      <c r="J24" s="14"/>
      <c r="K24" s="14"/>
      <c r="L24" s="15"/>
      <c r="M24" s="20"/>
      <c r="N24" s="101"/>
      <c r="O24" s="1">
        <v>46070</v>
      </c>
      <c r="P24" s="64"/>
      <c r="Q24" s="3"/>
      <c r="R24" s="2"/>
      <c r="S24" s="2"/>
      <c r="T24" s="96"/>
      <c r="U24" s="71"/>
      <c r="V24" s="71"/>
      <c r="W24" s="71"/>
      <c r="X24" s="75"/>
      <c r="Y24" s="75"/>
      <c r="Z24" s="99"/>
      <c r="AA24" s="1">
        <v>46070</v>
      </c>
      <c r="AB24" s="44" t="s">
        <v>42</v>
      </c>
      <c r="AC24" s="3"/>
      <c r="AD24" s="2"/>
      <c r="AE24" s="2">
        <v>7</v>
      </c>
      <c r="AF24" s="101"/>
      <c r="AG24" s="12">
        <v>46098</v>
      </c>
      <c r="AH24" s="43" t="s">
        <v>13</v>
      </c>
      <c r="AI24" s="3"/>
      <c r="AJ24" s="2">
        <v>7</v>
      </c>
      <c r="AK24" s="2"/>
      <c r="AL24" s="101"/>
      <c r="AM24" s="12">
        <v>46129</v>
      </c>
      <c r="AN24" s="3"/>
      <c r="AO24" s="3"/>
      <c r="AP24" s="2"/>
      <c r="AQ24" s="2"/>
    </row>
    <row r="25" spans="2:43" ht="19.5" x14ac:dyDescent="0.25">
      <c r="B25" s="60" t="s">
        <v>31</v>
      </c>
      <c r="C25" s="12">
        <v>46009</v>
      </c>
      <c r="D25" s="87" t="s">
        <v>22</v>
      </c>
      <c r="E25" s="3" t="s">
        <v>69</v>
      </c>
      <c r="F25" s="2">
        <v>7</v>
      </c>
      <c r="G25" s="2"/>
      <c r="H25" s="101"/>
      <c r="I25" s="21">
        <v>46040</v>
      </c>
      <c r="J25" s="17"/>
      <c r="K25" s="17"/>
      <c r="L25" s="15"/>
      <c r="M25" s="26"/>
      <c r="N25" s="101"/>
      <c r="O25" s="1">
        <v>46071</v>
      </c>
      <c r="P25" s="64"/>
      <c r="Q25" s="3"/>
      <c r="R25" s="2"/>
      <c r="S25" s="2"/>
      <c r="T25" s="96"/>
      <c r="U25" s="71"/>
      <c r="V25" s="76"/>
      <c r="W25" s="76"/>
      <c r="X25" s="75"/>
      <c r="Y25" s="72"/>
      <c r="Z25" s="99"/>
      <c r="AA25" s="1">
        <v>46071</v>
      </c>
      <c r="AB25" s="44" t="s">
        <v>42</v>
      </c>
      <c r="AC25" s="3"/>
      <c r="AD25" s="2"/>
      <c r="AE25" s="2">
        <v>7</v>
      </c>
      <c r="AF25" s="101"/>
      <c r="AG25" s="12">
        <v>46099</v>
      </c>
      <c r="AH25" s="43" t="s">
        <v>13</v>
      </c>
      <c r="AI25" s="3"/>
      <c r="AJ25" s="2">
        <v>7</v>
      </c>
      <c r="AK25" s="2"/>
      <c r="AL25" s="101"/>
      <c r="AM25" s="21">
        <v>46130</v>
      </c>
      <c r="AN25" s="17"/>
      <c r="AO25" s="17"/>
      <c r="AP25" s="15"/>
      <c r="AQ25" s="15"/>
    </row>
    <row r="26" spans="2:43" x14ac:dyDescent="0.25">
      <c r="B26" s="60"/>
      <c r="C26" s="12">
        <v>46010</v>
      </c>
      <c r="D26" s="87" t="s">
        <v>65</v>
      </c>
      <c r="E26" s="3" t="s">
        <v>62</v>
      </c>
      <c r="F26" s="2">
        <v>7</v>
      </c>
      <c r="G26" s="2"/>
      <c r="H26" s="101" t="s">
        <v>34</v>
      </c>
      <c r="I26" s="12">
        <v>46041</v>
      </c>
      <c r="J26" s="43" t="s">
        <v>51</v>
      </c>
      <c r="K26" s="3"/>
      <c r="L26" s="2">
        <v>7</v>
      </c>
      <c r="M26" s="35"/>
      <c r="N26" s="101"/>
      <c r="O26" s="1">
        <v>46072</v>
      </c>
      <c r="P26" s="64"/>
      <c r="Q26" s="3"/>
      <c r="R26" s="2"/>
      <c r="S26" s="2"/>
      <c r="T26" s="96"/>
      <c r="U26" s="71"/>
      <c r="V26" s="77"/>
      <c r="W26" s="76"/>
      <c r="X26" s="75"/>
      <c r="Y26" s="75"/>
      <c r="Z26" s="99"/>
      <c r="AA26" s="1">
        <v>46072</v>
      </c>
      <c r="AB26" s="44" t="s">
        <v>42</v>
      </c>
      <c r="AC26" s="3"/>
      <c r="AD26" s="2"/>
      <c r="AE26" s="2">
        <v>7</v>
      </c>
      <c r="AF26" s="101"/>
      <c r="AG26" s="12">
        <v>46100</v>
      </c>
      <c r="AH26" s="43" t="s">
        <v>13</v>
      </c>
      <c r="AI26" s="3"/>
      <c r="AJ26" s="2">
        <v>7</v>
      </c>
      <c r="AK26" s="2"/>
      <c r="AL26" s="101"/>
      <c r="AM26" s="21">
        <v>46131</v>
      </c>
      <c r="AN26" s="17"/>
      <c r="AO26" s="17"/>
      <c r="AP26" s="15"/>
      <c r="AQ26" s="15"/>
    </row>
    <row r="27" spans="2:43" ht="14.45" customHeight="1" x14ac:dyDescent="0.25">
      <c r="B27" s="60"/>
      <c r="C27" s="21">
        <v>46011</v>
      </c>
      <c r="D27" s="17"/>
      <c r="E27" s="17"/>
      <c r="F27" s="15"/>
      <c r="G27" s="15"/>
      <c r="H27" s="101"/>
      <c r="I27" s="12">
        <v>46042</v>
      </c>
      <c r="J27" s="43" t="s">
        <v>51</v>
      </c>
      <c r="K27" s="3"/>
      <c r="L27" s="2">
        <v>7</v>
      </c>
      <c r="M27" s="35"/>
      <c r="N27" s="101"/>
      <c r="O27" s="1">
        <v>46073</v>
      </c>
      <c r="P27" s="64"/>
      <c r="Q27" s="3"/>
      <c r="R27" s="2"/>
      <c r="S27" s="2"/>
      <c r="T27" s="96"/>
      <c r="U27" s="71"/>
      <c r="V27" s="77"/>
      <c r="W27" s="76"/>
      <c r="X27" s="75"/>
      <c r="Y27" s="75"/>
      <c r="Z27" s="99"/>
      <c r="AA27" s="1">
        <v>46073</v>
      </c>
      <c r="AB27" s="44" t="s">
        <v>42</v>
      </c>
      <c r="AC27" s="3"/>
      <c r="AD27" s="2"/>
      <c r="AE27" s="2">
        <v>7</v>
      </c>
      <c r="AF27" s="101"/>
      <c r="AG27" s="12">
        <v>46101</v>
      </c>
      <c r="AH27" s="43" t="s">
        <v>13</v>
      </c>
      <c r="AI27" s="3"/>
      <c r="AJ27" s="2">
        <v>7</v>
      </c>
      <c r="AK27" s="2"/>
      <c r="AL27" s="101" t="s">
        <v>35</v>
      </c>
      <c r="AM27" s="12">
        <v>46132</v>
      </c>
      <c r="AN27" s="3"/>
      <c r="AO27" s="3"/>
      <c r="AP27" s="2"/>
      <c r="AQ27" s="2"/>
    </row>
    <row r="28" spans="2:43" x14ac:dyDescent="0.25">
      <c r="B28" s="47"/>
      <c r="C28" s="21">
        <v>46012</v>
      </c>
      <c r="D28" s="14"/>
      <c r="E28" s="14"/>
      <c r="F28" s="15"/>
      <c r="G28" s="15"/>
      <c r="H28" s="101"/>
      <c r="I28" s="12">
        <v>46043</v>
      </c>
      <c r="J28" s="43" t="s">
        <v>51</v>
      </c>
      <c r="K28" s="3"/>
      <c r="L28" s="2">
        <v>7</v>
      </c>
      <c r="M28" s="35"/>
      <c r="N28" s="101"/>
      <c r="O28" s="14">
        <v>46074</v>
      </c>
      <c r="P28" s="14"/>
      <c r="Q28" s="14"/>
      <c r="R28" s="15"/>
      <c r="S28" s="15"/>
      <c r="T28" s="96"/>
      <c r="U28" s="71"/>
      <c r="V28" s="76"/>
      <c r="W28" s="76"/>
      <c r="X28" s="75"/>
      <c r="Y28" s="75"/>
      <c r="Z28" s="99"/>
      <c r="AA28" s="14">
        <v>46074</v>
      </c>
      <c r="AB28" s="14"/>
      <c r="AC28" s="14"/>
      <c r="AD28" s="15"/>
      <c r="AE28" s="15"/>
      <c r="AF28" s="101"/>
      <c r="AG28" s="21">
        <v>46102</v>
      </c>
      <c r="AH28" s="14"/>
      <c r="AI28" s="14"/>
      <c r="AJ28" s="15"/>
      <c r="AK28" s="15"/>
      <c r="AL28" s="101"/>
      <c r="AM28" s="12">
        <v>46133</v>
      </c>
      <c r="AN28" s="27"/>
      <c r="AO28" s="27"/>
      <c r="AP28" s="27"/>
      <c r="AQ28" s="27"/>
    </row>
    <row r="29" spans="2:43" ht="14.45" customHeight="1" x14ac:dyDescent="0.25">
      <c r="B29" s="46"/>
      <c r="C29" s="21">
        <v>46013</v>
      </c>
      <c r="D29" s="48" t="s">
        <v>37</v>
      </c>
      <c r="E29" s="49"/>
      <c r="F29" s="15"/>
      <c r="G29" s="15"/>
      <c r="H29" s="101"/>
      <c r="I29" s="12">
        <v>46044</v>
      </c>
      <c r="J29" s="43" t="s">
        <v>51</v>
      </c>
      <c r="K29" s="3"/>
      <c r="L29" s="2">
        <v>7</v>
      </c>
      <c r="M29" s="35"/>
      <c r="N29" s="101"/>
      <c r="O29" s="14">
        <v>46075</v>
      </c>
      <c r="P29" s="14"/>
      <c r="Q29" s="14"/>
      <c r="R29" s="15"/>
      <c r="S29" s="15"/>
      <c r="T29" s="96"/>
      <c r="U29" s="71"/>
      <c r="V29" s="76"/>
      <c r="W29" s="76"/>
      <c r="X29" s="75"/>
      <c r="Y29" s="75"/>
      <c r="Z29" s="99"/>
      <c r="AA29" s="14">
        <v>46075</v>
      </c>
      <c r="AB29" s="14"/>
      <c r="AC29" s="14"/>
      <c r="AD29" s="15"/>
      <c r="AE29" s="15"/>
      <c r="AF29" s="101"/>
      <c r="AG29" s="21">
        <v>46103</v>
      </c>
      <c r="AH29" s="14"/>
      <c r="AI29" s="14"/>
      <c r="AJ29" s="15"/>
      <c r="AK29" s="15"/>
      <c r="AL29" s="101"/>
      <c r="AM29" s="12">
        <v>46134</v>
      </c>
      <c r="AN29" s="1"/>
      <c r="AO29" s="1"/>
      <c r="AP29" s="2"/>
      <c r="AQ29" s="2"/>
    </row>
    <row r="30" spans="2:43" x14ac:dyDescent="0.25">
      <c r="B30" s="60"/>
      <c r="C30" s="21">
        <v>46014</v>
      </c>
      <c r="D30" s="50"/>
      <c r="E30" s="51"/>
      <c r="F30" s="15"/>
      <c r="G30" s="15"/>
      <c r="H30" s="101"/>
      <c r="I30" s="12">
        <v>46045</v>
      </c>
      <c r="J30" s="91" t="s">
        <v>52</v>
      </c>
      <c r="K30" s="3"/>
      <c r="L30" s="2">
        <v>7</v>
      </c>
      <c r="M30" s="35"/>
      <c r="N30" s="101" t="s">
        <v>38</v>
      </c>
      <c r="O30" s="1">
        <v>46076</v>
      </c>
      <c r="P30" s="64"/>
      <c r="Q30" s="1"/>
      <c r="R30" s="2"/>
      <c r="S30" s="2"/>
      <c r="T30" s="96"/>
      <c r="U30" s="71"/>
      <c r="V30" s="76"/>
      <c r="W30" s="76"/>
      <c r="X30" s="75"/>
      <c r="Y30" s="75"/>
      <c r="Z30" s="99" t="s">
        <v>38</v>
      </c>
      <c r="AA30" s="1">
        <v>46076</v>
      </c>
      <c r="AB30" s="44" t="s">
        <v>42</v>
      </c>
      <c r="AC30" s="1"/>
      <c r="AD30" s="2"/>
      <c r="AE30" s="2">
        <v>7</v>
      </c>
      <c r="AF30" s="101" t="s">
        <v>39</v>
      </c>
      <c r="AG30" s="12">
        <v>46104</v>
      </c>
      <c r="AH30" s="43" t="s">
        <v>13</v>
      </c>
      <c r="AI30" s="1"/>
      <c r="AJ30" s="2">
        <v>7</v>
      </c>
      <c r="AK30" s="2"/>
      <c r="AL30" s="101"/>
      <c r="AM30" s="12">
        <v>46135</v>
      </c>
      <c r="AN30" s="1"/>
      <c r="AO30" s="1"/>
      <c r="AP30" s="2"/>
      <c r="AQ30" s="2"/>
    </row>
    <row r="31" spans="2:43" ht="14.45" customHeight="1" x14ac:dyDescent="0.25">
      <c r="B31" s="60"/>
      <c r="C31" s="21">
        <v>46015</v>
      </c>
      <c r="D31" s="50"/>
      <c r="E31" s="51"/>
      <c r="F31" s="15"/>
      <c r="G31" s="15"/>
      <c r="H31" s="101"/>
      <c r="I31" s="21">
        <v>46046</v>
      </c>
      <c r="J31" s="14"/>
      <c r="K31" s="14"/>
      <c r="L31" s="15"/>
      <c r="M31" s="20"/>
      <c r="N31" s="101"/>
      <c r="O31" s="1">
        <v>46077</v>
      </c>
      <c r="P31" s="64"/>
      <c r="Q31" s="1"/>
      <c r="R31" s="2"/>
      <c r="S31" s="2"/>
      <c r="T31" s="96"/>
      <c r="U31" s="71"/>
      <c r="V31" s="71"/>
      <c r="W31" s="71"/>
      <c r="X31" s="75"/>
      <c r="Y31" s="75"/>
      <c r="Z31" s="99"/>
      <c r="AA31" s="1">
        <v>46077</v>
      </c>
      <c r="AB31" s="44" t="s">
        <v>42</v>
      </c>
      <c r="AC31" s="1"/>
      <c r="AD31" s="2"/>
      <c r="AE31" s="2">
        <v>7</v>
      </c>
      <c r="AF31" s="101"/>
      <c r="AG31" s="12">
        <v>46105</v>
      </c>
      <c r="AH31" s="43" t="s">
        <v>13</v>
      </c>
      <c r="AI31" s="1"/>
      <c r="AJ31" s="2">
        <v>7</v>
      </c>
      <c r="AK31" s="2"/>
      <c r="AL31" s="101"/>
      <c r="AM31" s="12">
        <v>46136</v>
      </c>
      <c r="AN31" s="1"/>
      <c r="AO31" s="1"/>
      <c r="AP31" s="2"/>
      <c r="AQ31" s="2"/>
    </row>
    <row r="32" spans="2:43" ht="19.5" x14ac:dyDescent="0.25">
      <c r="B32" s="60" t="s">
        <v>36</v>
      </c>
      <c r="C32" s="21">
        <v>46016</v>
      </c>
      <c r="D32" s="50"/>
      <c r="E32" s="51"/>
      <c r="F32" s="15"/>
      <c r="G32" s="15"/>
      <c r="H32" s="101"/>
      <c r="I32" s="21">
        <v>46047</v>
      </c>
      <c r="J32" s="17"/>
      <c r="K32" s="17"/>
      <c r="L32" s="15"/>
      <c r="M32" s="20"/>
      <c r="N32" s="101"/>
      <c r="O32" s="1">
        <v>46078</v>
      </c>
      <c r="P32" s="64"/>
      <c r="Q32" s="1"/>
      <c r="R32" s="2"/>
      <c r="S32" s="2"/>
      <c r="T32" s="96"/>
      <c r="U32" s="71"/>
      <c r="V32" s="76"/>
      <c r="W32" s="76"/>
      <c r="X32" s="75"/>
      <c r="Y32" s="75"/>
      <c r="Z32" s="99"/>
      <c r="AA32" s="1">
        <v>46078</v>
      </c>
      <c r="AB32" s="44" t="s">
        <v>42</v>
      </c>
      <c r="AC32" s="1"/>
      <c r="AD32" s="2"/>
      <c r="AE32" s="2">
        <v>7</v>
      </c>
      <c r="AF32" s="101"/>
      <c r="AG32" s="12">
        <v>46106</v>
      </c>
      <c r="AH32" s="43" t="s">
        <v>13</v>
      </c>
      <c r="AI32" s="1"/>
      <c r="AJ32" s="2">
        <v>7</v>
      </c>
      <c r="AK32" s="2"/>
      <c r="AL32" s="101"/>
      <c r="AM32" s="21">
        <v>46137</v>
      </c>
      <c r="AN32" s="14"/>
      <c r="AO32" s="14"/>
      <c r="AP32" s="15"/>
      <c r="AQ32" s="15"/>
    </row>
    <row r="33" spans="2:43" ht="24.75" customHeight="1" x14ac:dyDescent="0.25">
      <c r="B33" s="60"/>
      <c r="C33" s="21">
        <v>46017</v>
      </c>
      <c r="D33" s="52"/>
      <c r="E33" s="53"/>
      <c r="F33" s="18"/>
      <c r="G33" s="18"/>
      <c r="H33" s="105" t="s">
        <v>40</v>
      </c>
      <c r="I33" s="12">
        <v>46048</v>
      </c>
      <c r="J33" s="87" t="s">
        <v>56</v>
      </c>
      <c r="K33" s="3" t="s">
        <v>64</v>
      </c>
      <c r="L33" s="2">
        <v>7</v>
      </c>
      <c r="M33" s="2"/>
      <c r="N33" s="101"/>
      <c r="O33" s="1">
        <v>46079</v>
      </c>
      <c r="P33" s="64"/>
      <c r="Q33" s="4"/>
      <c r="R33" s="2"/>
      <c r="S33" s="2"/>
      <c r="T33" s="96"/>
      <c r="U33" s="71"/>
      <c r="V33" s="76"/>
      <c r="W33" s="76"/>
      <c r="X33" s="75"/>
      <c r="Y33" s="75"/>
      <c r="Z33" s="99"/>
      <c r="AA33" s="1">
        <v>46079</v>
      </c>
      <c r="AB33" s="44" t="s">
        <v>42</v>
      </c>
      <c r="AC33" s="4"/>
      <c r="AD33" s="2"/>
      <c r="AE33" s="2">
        <v>7</v>
      </c>
      <c r="AF33" s="101"/>
      <c r="AG33" s="12">
        <v>46107</v>
      </c>
      <c r="AH33" s="45" t="s">
        <v>28</v>
      </c>
      <c r="AI33" s="3" t="s">
        <v>19</v>
      </c>
      <c r="AJ33" s="2">
        <v>7</v>
      </c>
      <c r="AK33" s="4"/>
      <c r="AL33" s="101"/>
      <c r="AM33" s="21">
        <v>46138</v>
      </c>
      <c r="AN33" s="14"/>
      <c r="AO33" s="18"/>
      <c r="AP33" s="18"/>
      <c r="AQ33" s="18"/>
    </row>
    <row r="34" spans="2:43" ht="22.5" customHeight="1" x14ac:dyDescent="0.25">
      <c r="B34" s="60"/>
      <c r="C34" s="21">
        <v>46018</v>
      </c>
      <c r="D34" s="14"/>
      <c r="E34" s="14"/>
      <c r="F34" s="15"/>
      <c r="G34" s="15"/>
      <c r="H34" s="106"/>
      <c r="I34" s="12">
        <v>46049</v>
      </c>
      <c r="J34" s="87" t="s">
        <v>56</v>
      </c>
      <c r="K34" s="3" t="s">
        <v>64</v>
      </c>
      <c r="L34" s="2">
        <v>7</v>
      </c>
      <c r="M34" s="2"/>
      <c r="N34" s="101"/>
      <c r="O34" s="1">
        <v>46080</v>
      </c>
      <c r="P34" s="64"/>
      <c r="Q34" s="1"/>
      <c r="R34" s="2"/>
      <c r="S34" s="2"/>
      <c r="T34" s="96"/>
      <c r="U34" s="71"/>
      <c r="V34" s="76"/>
      <c r="W34" s="76"/>
      <c r="X34" s="75"/>
      <c r="Y34" s="75"/>
      <c r="Z34" s="99"/>
      <c r="AA34" s="1">
        <v>46080</v>
      </c>
      <c r="AB34" s="44" t="s">
        <v>42</v>
      </c>
      <c r="AC34" s="1"/>
      <c r="AD34" s="2"/>
      <c r="AE34" s="2">
        <v>7</v>
      </c>
      <c r="AF34" s="101"/>
      <c r="AG34" s="12">
        <v>46108</v>
      </c>
      <c r="AH34" s="45" t="s">
        <v>22</v>
      </c>
      <c r="AI34" s="3" t="s">
        <v>19</v>
      </c>
      <c r="AJ34" s="2">
        <v>7</v>
      </c>
      <c r="AK34" s="2"/>
      <c r="AL34" s="101" t="s">
        <v>41</v>
      </c>
      <c r="AM34" s="12">
        <v>46139</v>
      </c>
      <c r="AN34" s="1"/>
      <c r="AO34" s="1"/>
      <c r="AP34" s="2"/>
      <c r="AQ34" s="2"/>
    </row>
    <row r="35" spans="2:43" ht="21" customHeight="1" x14ac:dyDescent="0.25">
      <c r="B35" s="47"/>
      <c r="C35" s="21">
        <v>46019</v>
      </c>
      <c r="D35" s="14"/>
      <c r="E35" s="14"/>
      <c r="F35" s="15"/>
      <c r="G35" s="15"/>
      <c r="H35" s="106"/>
      <c r="I35" s="12">
        <v>46050</v>
      </c>
      <c r="J35" s="87" t="s">
        <v>54</v>
      </c>
      <c r="K35" s="3" t="s">
        <v>63</v>
      </c>
      <c r="L35" s="2">
        <v>7</v>
      </c>
      <c r="M35" s="2"/>
      <c r="N35" s="101"/>
      <c r="O35" s="14">
        <v>46081</v>
      </c>
      <c r="P35" s="14"/>
      <c r="Q35" s="14"/>
      <c r="R35" s="15"/>
      <c r="S35" s="15"/>
      <c r="T35" s="96"/>
      <c r="U35" s="71"/>
      <c r="V35" s="76"/>
      <c r="W35" s="76"/>
      <c r="X35" s="75"/>
      <c r="Y35" s="75"/>
      <c r="Z35" s="99"/>
      <c r="AA35" s="14">
        <v>46081</v>
      </c>
      <c r="AB35" s="14"/>
      <c r="AC35" s="14"/>
      <c r="AD35" s="15"/>
      <c r="AE35" s="15"/>
      <c r="AF35" s="101"/>
      <c r="AG35" s="21">
        <v>46109</v>
      </c>
      <c r="AH35" s="14"/>
      <c r="AI35" s="14"/>
      <c r="AJ35" s="15"/>
      <c r="AK35" s="15"/>
      <c r="AL35" s="101"/>
      <c r="AM35" s="12">
        <v>46140</v>
      </c>
      <c r="AN35" s="1"/>
      <c r="AO35" s="1"/>
      <c r="AP35" s="2"/>
      <c r="AQ35" s="2"/>
    </row>
    <row r="36" spans="2:43" ht="25.9" customHeight="1" x14ac:dyDescent="0.25">
      <c r="B36" s="46"/>
      <c r="C36" s="21">
        <v>46020</v>
      </c>
      <c r="D36" s="54" t="s">
        <v>37</v>
      </c>
      <c r="E36" s="55"/>
      <c r="F36" s="19"/>
      <c r="G36" s="19"/>
      <c r="H36" s="106"/>
      <c r="I36" s="12">
        <v>46051</v>
      </c>
      <c r="J36" s="87" t="s">
        <v>54</v>
      </c>
      <c r="K36" s="3" t="s">
        <v>63</v>
      </c>
      <c r="L36" s="2">
        <v>7</v>
      </c>
      <c r="M36" s="2"/>
      <c r="N36" s="101"/>
      <c r="O36" s="101"/>
      <c r="P36" s="101"/>
      <c r="Q36" s="101"/>
      <c r="R36" s="101"/>
      <c r="S36" s="101"/>
      <c r="T36" s="96"/>
      <c r="U36" s="71"/>
      <c r="V36" s="3"/>
      <c r="W36" s="76"/>
      <c r="X36" s="75"/>
      <c r="Y36" s="75"/>
      <c r="Z36" s="99"/>
      <c r="AA36" s="101"/>
      <c r="AB36" s="101"/>
      <c r="AC36" s="101"/>
      <c r="AD36" s="101"/>
      <c r="AE36" s="101"/>
      <c r="AF36" s="101"/>
      <c r="AG36" s="21">
        <v>46110</v>
      </c>
      <c r="AH36" s="19"/>
      <c r="AI36" s="19"/>
      <c r="AJ36" s="19"/>
      <c r="AK36" s="19"/>
      <c r="AL36" s="101"/>
      <c r="AM36" s="12">
        <v>46141</v>
      </c>
      <c r="AN36" s="8"/>
      <c r="AO36" s="8"/>
      <c r="AP36" s="8"/>
      <c r="AQ36" s="8"/>
    </row>
    <row r="37" spans="2:43" ht="25.9" customHeight="1" x14ac:dyDescent="0.25">
      <c r="B37" s="60"/>
      <c r="C37" s="21">
        <v>46021</v>
      </c>
      <c r="D37" s="56"/>
      <c r="E37" s="57"/>
      <c r="F37" s="19"/>
      <c r="G37" s="19"/>
      <c r="H37" s="106"/>
      <c r="I37" s="12">
        <v>46052</v>
      </c>
      <c r="J37" s="87" t="s">
        <v>28</v>
      </c>
      <c r="K37" s="3" t="s">
        <v>69</v>
      </c>
      <c r="L37" s="2">
        <v>7</v>
      </c>
      <c r="M37" s="2"/>
      <c r="N37" s="101"/>
      <c r="O37" s="101"/>
      <c r="P37" s="101"/>
      <c r="Q37" s="101"/>
      <c r="R37" s="101"/>
      <c r="S37" s="101"/>
      <c r="T37" s="96"/>
      <c r="U37" s="71"/>
      <c r="V37" s="76"/>
      <c r="W37" s="71"/>
      <c r="X37" s="75"/>
      <c r="Y37" s="75"/>
      <c r="Z37" s="99"/>
      <c r="AA37" s="101"/>
      <c r="AB37" s="101"/>
      <c r="AC37" s="101"/>
      <c r="AD37" s="101"/>
      <c r="AE37" s="101"/>
      <c r="AF37" s="105"/>
      <c r="AG37" s="12">
        <v>46111</v>
      </c>
      <c r="AH37" s="43" t="s">
        <v>13</v>
      </c>
      <c r="AI37" s="8"/>
      <c r="AJ37" s="2">
        <v>7</v>
      </c>
      <c r="AK37" s="8"/>
      <c r="AL37" s="101"/>
      <c r="AM37" s="12">
        <v>46142</v>
      </c>
      <c r="AN37" s="8"/>
      <c r="AO37" s="8"/>
      <c r="AP37" s="8"/>
      <c r="AQ37" s="8"/>
    </row>
    <row r="38" spans="2:43" ht="25.9" customHeight="1" x14ac:dyDescent="0.25">
      <c r="B38" s="47"/>
      <c r="C38" s="21">
        <v>46022</v>
      </c>
      <c r="D38" s="58"/>
      <c r="E38" s="59"/>
      <c r="F38" s="19"/>
      <c r="G38" s="19"/>
      <c r="H38" s="107"/>
      <c r="I38" s="21">
        <v>46053</v>
      </c>
      <c r="J38" s="37"/>
      <c r="K38" s="37"/>
      <c r="L38" s="38"/>
      <c r="M38" s="38"/>
      <c r="N38" s="101"/>
      <c r="O38" s="101"/>
      <c r="P38" s="101"/>
      <c r="Q38" s="101"/>
      <c r="R38" s="101"/>
      <c r="S38" s="101"/>
      <c r="T38" s="96"/>
      <c r="U38" s="71"/>
      <c r="V38" s="78"/>
      <c r="W38" s="78"/>
      <c r="X38" s="79"/>
      <c r="Y38" s="79"/>
      <c r="Z38" s="99"/>
      <c r="AA38" s="101"/>
      <c r="AB38" s="101"/>
      <c r="AC38" s="101"/>
      <c r="AD38" s="101"/>
      <c r="AE38" s="101"/>
      <c r="AF38" s="107"/>
      <c r="AG38" s="1">
        <v>46112</v>
      </c>
      <c r="AH38" s="43" t="s">
        <v>13</v>
      </c>
      <c r="AI38" s="8"/>
      <c r="AJ38" s="2">
        <v>7</v>
      </c>
      <c r="AK38" s="8"/>
      <c r="AL38" s="97"/>
      <c r="AM38" s="98"/>
      <c r="AN38" s="98"/>
      <c r="AO38" s="98"/>
      <c r="AP38" s="98"/>
      <c r="AQ38" s="99"/>
    </row>
    <row r="39" spans="2:43" ht="25.15" customHeight="1" x14ac:dyDescent="0.25">
      <c r="B39" s="11"/>
      <c r="C39" s="11"/>
      <c r="D39" s="11"/>
      <c r="E39" s="11"/>
      <c r="F39" s="9" t="s">
        <v>9</v>
      </c>
      <c r="G39" s="10" t="s">
        <v>10</v>
      </c>
      <c r="H39" s="39"/>
      <c r="I39" s="39"/>
      <c r="J39" s="39"/>
      <c r="K39" s="39"/>
      <c r="L39" s="9" t="s">
        <v>9</v>
      </c>
      <c r="M39" s="10" t="s">
        <v>10</v>
      </c>
      <c r="N39" s="84"/>
      <c r="O39" s="11"/>
      <c r="P39" s="11"/>
      <c r="Q39" s="11"/>
      <c r="R39" s="40" t="s">
        <v>9</v>
      </c>
      <c r="S39" s="10" t="s">
        <v>10</v>
      </c>
      <c r="T39" s="80"/>
      <c r="U39" s="80"/>
      <c r="V39" s="80"/>
      <c r="W39" s="80"/>
      <c r="X39" s="69"/>
      <c r="Y39" s="70"/>
      <c r="Z39" s="11"/>
      <c r="AA39" s="11"/>
      <c r="AB39" s="11"/>
      <c r="AC39" s="11"/>
      <c r="AD39" s="40" t="s">
        <v>9</v>
      </c>
      <c r="AE39" s="10" t="s">
        <v>10</v>
      </c>
      <c r="AF39" s="11"/>
      <c r="AG39" s="11"/>
      <c r="AH39" s="11"/>
      <c r="AI39" s="11"/>
      <c r="AJ39" s="9" t="s">
        <v>9</v>
      </c>
      <c r="AK39" s="10" t="s">
        <v>10</v>
      </c>
      <c r="AL39" s="11"/>
      <c r="AM39" s="11"/>
      <c r="AN39" s="11"/>
      <c r="AO39" s="11"/>
      <c r="AP39" s="9" t="s">
        <v>9</v>
      </c>
      <c r="AQ39" s="10" t="s">
        <v>10</v>
      </c>
    </row>
    <row r="40" spans="2:43" x14ac:dyDescent="0.25">
      <c r="F40" s="5">
        <f>SUM(F8:F38)</f>
        <v>35</v>
      </c>
      <c r="G40" s="5">
        <f>SUM(G8:G38)</f>
        <v>0</v>
      </c>
      <c r="H40" s="41"/>
      <c r="I40" s="42"/>
      <c r="J40" s="42"/>
      <c r="K40" s="42"/>
      <c r="L40" s="5">
        <f>SUM(L9:L38)</f>
        <v>140</v>
      </c>
      <c r="M40" s="5">
        <f>SUM(M9:M38)</f>
        <v>0</v>
      </c>
      <c r="N40" s="85"/>
      <c r="O40" s="86"/>
      <c r="P40" s="86"/>
      <c r="Q40" s="86"/>
      <c r="R40" s="5">
        <f>SUM(R8:R35)</f>
        <v>70</v>
      </c>
      <c r="S40" s="5">
        <f>SUM(S8:S35)</f>
        <v>0</v>
      </c>
      <c r="T40" s="81"/>
      <c r="U40" s="82"/>
      <c r="V40" s="82"/>
      <c r="W40" s="82"/>
      <c r="X40" s="83"/>
      <c r="Y40" s="83"/>
      <c r="AD40" s="5">
        <f>SUM(AD8:AD35)</f>
        <v>70</v>
      </c>
      <c r="AE40" s="5">
        <f>SUM(AE8:AE35)</f>
        <v>70</v>
      </c>
      <c r="AJ40" s="5">
        <f>SUM(AJ8:AJ38)</f>
        <v>119</v>
      </c>
      <c r="AK40" s="5">
        <f>SUM(AK8:AK38)</f>
        <v>35</v>
      </c>
      <c r="AP40" s="5">
        <f>SUM(AP8:AP38)</f>
        <v>35</v>
      </c>
      <c r="AQ40" s="5">
        <f>SUM(AQ8:AQ38)</f>
        <v>0</v>
      </c>
    </row>
    <row r="41" spans="2:43" x14ac:dyDescent="0.25">
      <c r="D41" s="89" t="s">
        <v>57</v>
      </c>
    </row>
    <row r="42" spans="2:43" ht="18" customHeight="1" x14ac:dyDescent="0.25">
      <c r="D42" s="88" t="s">
        <v>58</v>
      </c>
      <c r="J42" s="108" t="s">
        <v>47</v>
      </c>
      <c r="K42" s="109"/>
      <c r="P42" s="119" t="s">
        <v>72</v>
      </c>
      <c r="Q42" s="120"/>
    </row>
    <row r="43" spans="2:43" ht="14.45" customHeight="1" x14ac:dyDescent="0.25">
      <c r="D43" s="90" t="s">
        <v>59</v>
      </c>
      <c r="J43" s="110"/>
      <c r="K43" s="111"/>
      <c r="P43" s="121" t="s">
        <v>79</v>
      </c>
      <c r="Q43" s="122"/>
    </row>
    <row r="44" spans="2:43" ht="14.45" customHeight="1" x14ac:dyDescent="0.25">
      <c r="D44" s="43" t="s">
        <v>60</v>
      </c>
      <c r="J44" s="112"/>
      <c r="K44" s="113"/>
      <c r="P44" s="121" t="s">
        <v>73</v>
      </c>
      <c r="Q44" s="122"/>
    </row>
    <row r="45" spans="2:43" x14ac:dyDescent="0.25">
      <c r="D45" s="91" t="s">
        <v>61</v>
      </c>
      <c r="P45" s="121" t="s">
        <v>74</v>
      </c>
      <c r="Q45" s="122"/>
    </row>
    <row r="46" spans="2:43" x14ac:dyDescent="0.25">
      <c r="P46" s="121" t="s">
        <v>75</v>
      </c>
      <c r="Q46" s="122"/>
    </row>
    <row r="47" spans="2:43" x14ac:dyDescent="0.25">
      <c r="D47" s="95" t="s">
        <v>80</v>
      </c>
      <c r="P47" s="121" t="s">
        <v>76</v>
      </c>
      <c r="Q47" s="122"/>
    </row>
    <row r="48" spans="2:43" x14ac:dyDescent="0.25">
      <c r="D48" s="95" t="s">
        <v>81</v>
      </c>
      <c r="P48" s="117" t="s">
        <v>77</v>
      </c>
      <c r="Q48" s="118"/>
    </row>
    <row r="49" spans="16:17" x14ac:dyDescent="0.25">
      <c r="P49" s="117" t="s">
        <v>78</v>
      </c>
      <c r="Q49" s="118"/>
    </row>
  </sheetData>
  <mergeCells count="49">
    <mergeCell ref="P48:Q48"/>
    <mergeCell ref="P49:Q49"/>
    <mergeCell ref="P42:Q42"/>
    <mergeCell ref="P44:Q44"/>
    <mergeCell ref="P45:Q45"/>
    <mergeCell ref="P46:Q46"/>
    <mergeCell ref="P47:Q47"/>
    <mergeCell ref="P43:Q43"/>
    <mergeCell ref="J42:K44"/>
    <mergeCell ref="AF37:AF38"/>
    <mergeCell ref="AF6:AK6"/>
    <mergeCell ref="AF9:AF15"/>
    <mergeCell ref="AF16:AF22"/>
    <mergeCell ref="AF23:AF29"/>
    <mergeCell ref="AF30:AF36"/>
    <mergeCell ref="Z36:AE38"/>
    <mergeCell ref="V8:W8"/>
    <mergeCell ref="N6:S6"/>
    <mergeCell ref="T6:Y6"/>
    <mergeCell ref="T33:T38"/>
    <mergeCell ref="Z6:AE6"/>
    <mergeCell ref="Z9:Z15"/>
    <mergeCell ref="T12:T18"/>
    <mergeCell ref="H6:M6"/>
    <mergeCell ref="J8:K8"/>
    <mergeCell ref="H8:H11"/>
    <mergeCell ref="N9:N15"/>
    <mergeCell ref="H12:H18"/>
    <mergeCell ref="N16:N22"/>
    <mergeCell ref="H19:H25"/>
    <mergeCell ref="N23:N29"/>
    <mergeCell ref="H26:H32"/>
    <mergeCell ref="N30:N35"/>
    <mergeCell ref="H33:H38"/>
    <mergeCell ref="N36:S38"/>
    <mergeCell ref="T8:T11"/>
    <mergeCell ref="AL38:AQ38"/>
    <mergeCell ref="AL6:AQ6"/>
    <mergeCell ref="AL8:AL12"/>
    <mergeCell ref="AL13:AL19"/>
    <mergeCell ref="AN13:AO13"/>
    <mergeCell ref="AL20:AL26"/>
    <mergeCell ref="AL27:AL33"/>
    <mergeCell ref="AL34:AL37"/>
    <mergeCell ref="T19:T25"/>
    <mergeCell ref="Z23:Z29"/>
    <mergeCell ref="T26:T32"/>
    <mergeCell ref="Z30:Z35"/>
    <mergeCell ref="Z16:Z22"/>
  </mergeCells>
  <phoneticPr fontId="17" type="noConversion"/>
  <pageMargins left="0.7" right="0.7" top="0.75" bottom="0.75" header="0.3" footer="0.3"/>
  <pageSetup paperSize="9" scale="5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2bceca-7b01-449b-a089-7caeaaf28d79">
      <Terms xmlns="http://schemas.microsoft.com/office/infopath/2007/PartnerControls"/>
    </lcf76f155ced4ddcb4097134ff3c332f>
    <TaxCatchAll xmlns="7fc2edd5-909c-43a2-b3b4-2537dcd3eee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2694ECED4E1948B5E8D6F6BADC8D0D" ma:contentTypeVersion="12" ma:contentTypeDescription="Crée un document." ma:contentTypeScope="" ma:versionID="ae739b22c1d0ad2d0a68cf71a23d442c">
  <xsd:schema xmlns:xsd="http://www.w3.org/2001/XMLSchema" xmlns:xs="http://www.w3.org/2001/XMLSchema" xmlns:p="http://schemas.microsoft.com/office/2006/metadata/properties" xmlns:ns2="102bceca-7b01-449b-a089-7caeaaf28d79" xmlns:ns3="7fc2edd5-909c-43a2-b3b4-2537dcd3eee1" targetNamespace="http://schemas.microsoft.com/office/2006/metadata/properties" ma:root="true" ma:fieldsID="05a22d24dcf35b0ff3f755cd1ef480a8" ns2:_="" ns3:_="">
    <xsd:import namespace="102bceca-7b01-449b-a089-7caeaaf28d79"/>
    <xsd:import namespace="7fc2edd5-909c-43a2-b3b4-2537dcd3ee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2bceca-7b01-449b-a089-7caeaaf28d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4225c5b-0e7f-4834-aa87-e5a67cc7b2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2edd5-909c-43a2-b3b4-2537dcd3eee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9b4154-f01b-47cd-b528-cba2c86208a0}" ma:internalName="TaxCatchAll" ma:showField="CatchAllData" ma:web="7fc2edd5-909c-43a2-b3b4-2537dcd3ee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7A5389-2971-44C0-A0D1-6195B9A552F9}">
  <ds:schemaRefs>
    <ds:schemaRef ds:uri="http://www.w3.org/XML/1998/namespace"/>
    <ds:schemaRef ds:uri="102bceca-7b01-449b-a089-7caeaaf28d79"/>
    <ds:schemaRef ds:uri="http://purl.org/dc/terms/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7fc2edd5-909c-43a2-b3b4-2537dcd3eee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4F02508-5572-4BFA-B015-F122D6CC4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2bceca-7b01-449b-a089-7caeaaf28d79"/>
    <ds:schemaRef ds:uri="7fc2edd5-909c-43a2-b3b4-2537dcd3ee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969816-9B9E-4320-B349-9EB0D8911C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Elise DUPONT</dc:creator>
  <cp:keywords/>
  <dc:description/>
  <cp:lastModifiedBy>Stéphane JAUBERT</cp:lastModifiedBy>
  <cp:revision/>
  <cp:lastPrinted>2025-09-17T11:49:37Z</cp:lastPrinted>
  <dcterms:created xsi:type="dcterms:W3CDTF">2024-11-12T10:27:29Z</dcterms:created>
  <dcterms:modified xsi:type="dcterms:W3CDTF">2026-01-28T12:10:00Z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0x010100862694ECED4E1948B5E8D6F6BADC8D0D</vt:lpwstr>
  </property>
  <property fmtid="{D5CDD505-2E9C-101B-9397-08002B2CF9AE}" pid="3" name="MediaServiceImageTags">
    <vt:lpwstr/>
  </property>
</Properties>
</file>