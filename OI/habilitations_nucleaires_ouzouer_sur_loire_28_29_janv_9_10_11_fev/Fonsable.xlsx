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Habilitations Nucléaires Ouzouer sur Loire 28-29 Janv 9-10-11 Fev/"/>
    </mc:Choice>
  </mc:AlternateContent>
  <xr:revisionPtr revIDLastSave="84" documentId="8_{21C9BCB2-14EF-41D6-9EB5-3C1E0F72FC0A}" xr6:coauthVersionLast="47" xr6:coauthVersionMax="47" xr10:uidLastSave="{323A6213-8B2A-4C18-8F58-C36BBB1B7E9D}"/>
  <bookViews>
    <workbookView xWindow="-98" yWindow="-98" windowWidth="21795" windowHeight="13875" xr2:uid="{9325A808-4D79-4300-9235-8894B10F53E3}"/>
  </bookViews>
  <sheets>
    <sheet name="Feuil1" sheetId="1" r:id="rId1"/>
  </sheets>
  <definedNames>
    <definedName name="conso_ann">Feuil1!$F$5</definedName>
    <definedName name="Cpa">Feuil1!$F$2</definedName>
    <definedName name="pu">Feuil1!$F$6</definedName>
    <definedName name="ss">Feuil1!$F$4</definedName>
    <definedName name="tposs">Feuil1!$F$3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D7" i="1"/>
  <c r="D9" i="1"/>
  <c r="D10" i="1"/>
  <c r="D2" i="1"/>
  <c r="C3" i="1"/>
  <c r="D3" i="1" s="1"/>
  <c r="C4" i="1"/>
  <c r="D4" i="1" s="1"/>
  <c r="C5" i="1"/>
  <c r="D5" i="1" s="1"/>
  <c r="C6" i="1"/>
  <c r="D6" i="1" s="1"/>
  <c r="C7" i="1"/>
  <c r="C8" i="1"/>
  <c r="D8" i="1" s="1"/>
  <c r="C9" i="1"/>
  <c r="C10" i="1"/>
  <c r="C11" i="1"/>
  <c r="D11" i="1" s="1"/>
  <c r="C12" i="1"/>
  <c r="D12" i="1" s="1"/>
  <c r="C2" i="1"/>
  <c r="F5" i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<sst xmlns="http://schemas.openxmlformats.org/spreadsheetml/2006/main" count="10" uniqueCount="10">
  <si>
    <t>Nb de commande</t>
  </si>
  <si>
    <t>CPA</t>
  </si>
  <si>
    <t>Taux de poss</t>
  </si>
  <si>
    <t>Stock_Sécurité</t>
  </si>
  <si>
    <t>Conso annuelle</t>
  </si>
  <si>
    <t>CPO</t>
  </si>
  <si>
    <t>Prix unitaire</t>
  </si>
  <si>
    <t>CT</t>
  </si>
  <si>
    <t>Cpa</t>
  </si>
  <si>
    <t>Quantité commandée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</si>
</sst>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4" fontId="2" fillId="2" borderId="1" xfId="1" applyFont="1" applyFill="1" applyBorder="1"/>
    <xf numFmtId="44" fontId="0" fillId="0" borderId="1" xfId="1" applyFont="1" applyBorder="1" applyAlignment="1">
      <alignment horizontal="center"/>
    </xf>
    <xf numFmtId="9" fontId="2" fillId="2" borderId="1" xfId="2" applyFont="1" applyFill="1" applyBorder="1"/>
    <xf numFmtId="0" fontId="2" fillId="2" borderId="1" xfId="0" applyFont="1" applyFill="1" applyBorder="1"/>
    <xf numFmtId="44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3" borderId="1" xfId="1" applyFont="1" applyFill="1" applyBorder="1" applyAlignment="1">
      <alignment horizontal="center"/>
    </xf>
    <xf numFmtId="44" fontId="2" fillId="3" borderId="1" xfId="0" applyNumberFormat="1" applyFont="1" applyFill="1" applyBorder="1" applyAlignment="1">
      <alignment horizont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CPA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Feuil1!$B$2:$B$12</c:f>
              <c:numCache>
                <c:formatCode>_("€"* #,##0.00_);_("€"* \(#,##0.00\);_("€"* "-"??_);_(@_)</c:formatCode>
                <c:ptCount val="11"/>
                <c:pt idx="0">
                  <c:v>1210</c:v>
                </c:pt>
                <c:pt idx="1">
                  <c:v>2420</c:v>
                </c:pt>
                <c:pt idx="2">
                  <c:v>3630</c:v>
                </c:pt>
                <c:pt idx="3">
                  <c:v>4840</c:v>
                </c:pt>
                <c:pt idx="4">
                  <c:v>6050</c:v>
                </c:pt>
                <c:pt idx="5">
                  <c:v>7260</c:v>
                </c:pt>
                <c:pt idx="6">
                  <c:v>8470</c:v>
                </c:pt>
                <c:pt idx="7">
                  <c:v>9680</c:v>
                </c:pt>
                <c:pt idx="8">
                  <c:v>10890</c:v>
                </c:pt>
                <c:pt idx="9">
                  <c:v>12100</c:v>
                </c:pt>
                <c:pt idx="10">
                  <c:v>13310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80-4043-9DB7-EE0B114DAB2A}"/>
            </c:ext>
          </c:extLst>
        </c:ser>
        <c:ser>
          <c:idx val="1"/>
          <c:order val="1"/>
          <c:tx>
            <c:v>CPO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Feuil1!$C$2:$C$12</c:f>
              <c:numCache>
                <c:formatCode>_("€"* #,##0.00_);_("€"* \(#,##0.00\);_("€"* "-"??_);_(@_)</c:formatCode>
                <c:ptCount val="11"/>
                <c:pt idx="0">
                  <c:v>48840</c:v>
                </c:pt>
                <c:pt idx="1">
                  <c:v>27060</c:v>
                </c:pt>
                <c:pt idx="2">
                  <c:v>19800</c:v>
                </c:pt>
                <c:pt idx="3">
                  <c:v>16170</c:v>
                </c:pt>
                <c:pt idx="4">
                  <c:v>13992</c:v>
                </c:pt>
                <c:pt idx="5">
                  <c:v>12540</c:v>
                </c:pt>
                <c:pt idx="6">
                  <c:v>11502.857142857143</c:v>
                </c:pt>
                <c:pt idx="7">
                  <c:v>10725</c:v>
                </c:pt>
                <c:pt idx="8">
                  <c:v>10120</c:v>
                </c:pt>
                <c:pt idx="9">
                  <c:v>9636</c:v>
                </c:pt>
                <c:pt idx="10">
                  <c:v>9240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80-4043-9DB7-EE0B114DAB2A}"/>
            </c:ext>
          </c:extLst>
        </c:ser>
        <c:ser>
          <c:idx val="2"/>
          <c:order val="2"/>
          <c:tx>
            <c:v>CT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Feuil1!$A$2:$A$12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Feuil1!$D$2:$D$12</c:f>
              <c:numCache>
                <c:formatCode>_("€"* #,##0.00_);_("€"* \(#,##0.00\);_("€"* "-"??_);_(@_)</c:formatCode>
                <c:ptCount val="11"/>
                <c:pt idx="0">
                  <c:v>50050</c:v>
                </c:pt>
                <c:pt idx="1">
                  <c:v>29480</c:v>
                </c:pt>
                <c:pt idx="2">
                  <c:v>23430</c:v>
                </c:pt>
                <c:pt idx="3">
                  <c:v>21010</c:v>
                </c:pt>
                <c:pt idx="4">
                  <c:v>20042</c:v>
                </c:pt>
                <c:pt idx="5">
                  <c:v>19800</c:v>
                </c:pt>
                <c:pt idx="6">
                  <c:v>19972.857142857145</c:v>
                </c:pt>
                <c:pt idx="7">
                  <c:v>20405</c:v>
                </c:pt>
                <c:pt idx="8">
                  <c:v>21010</c:v>
                </c:pt>
                <c:pt idx="9">
                  <c:v>21736</c:v>
                </c:pt>
                <c:pt idx="10">
                  <c:v>22550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80-4043-9DB7-EE0B114DA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19024"/>
        <c:axId val="173919504"/>
      </c:scatterChart>
      <c:valAx>
        <c:axId val="173919024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919504"/>
        <c:crosses val="autoZero"/>
        <c:crossBetween val="midCat"/>
        <c:majorUnit val="1"/>
      </c:valAx>
      <c:valAx>
        <c:axId val="17391950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919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548592</xdr:colOff>
      <xdr:row>12</xdr:row>
      <xdr:rowOff>64304</xdr:rowOff>
    </xdr:from>
    <xdr:to>
      <xdr:col>4</xdr:col>
      <xdr:colOff>98666</xdr:colOff>
      <xdr:row>23</xdr:row>
      <xdr:rowOff>110765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BE5DFBC-EC40-6344-4E59-2CA892FD8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9D07-62E5-4A34-B471-E3242332EBEB}">
  <dimension ref="A1:F12"/>
  <sheetViews>
    <sheetView tabSelected="1" topLeftCell="A13" zoomScale="237" workbookViewId="0">
      <selection activeCell="E18" sqref="E18"/>
    </sheetView>
  </sheetViews>
  <sheetFormatPr baseColWidth="10" defaultRowHeight="14.25" x14ac:dyDescent="0.45"/>
  <cols>
    <col min="1" max="1" width="15.86328125" customWidth="1"/>
    <col min="2" max="4" width="11.1328125" bestFit="1" customWidth="1"/>
    <col min="5" max="5" width="17.86328125" customWidth="1"/>
  </cols>
  <sheetData>
    <row r="1" spans="1:6" x14ac:dyDescent="0.45">
      <c r="A1" s="4" t="s">
        <v>0</v>
      </c>
      <c r="B1" s="4" t="s">
        <v>1</v>
      </c>
      <c r="C1" s="4" t="s">
        <v>5</v>
      </c>
      <c r="D1" s="4" t="s">
        <v>7</v>
      </c>
      <c r="E1" s="2"/>
    </row>
    <row r="2" spans="1:6" x14ac:dyDescent="0.45">
      <c r="A2" s="1">
        <v>1</v>
      </c>
      <c r="B2" s="6">
        <f>Cpa*A2</f>
        <v>1210</v>
      </c>
      <c r="C2" s="6">
        <f>pu*tposs*(conso_ann/(2*A2)+ss)</f>
        <v>48840</v>
      </c>
      <c r="D2" s="9">
        <f>B2+C2</f>
        <v>50050</v>
      </c>
      <c r="E2" s="4" t="s">
        <v>8</v>
      </c>
      <c r="F2" s="5">
        <v>1210</v>
      </c>
    </row>
    <row r="3" spans="1:6" x14ac:dyDescent="0.45">
      <c r="A3" s="1">
        <v>2</v>
      </c>
      <c r="B3" s="6">
        <f>Cpa*A3</f>
        <v>2420</v>
      </c>
      <c r="C3" s="6">
        <f>pu*tposs*(conso_ann/(2*A3)+ss)</f>
        <v>27060</v>
      </c>
      <c r="D3" s="9">
        <f t="shared" ref="D3:D12" si="0">B3+C3</f>
        <v>29480</v>
      </c>
      <c r="E3" s="4" t="s">
        <v>2</v>
      </c>
      <c r="F3" s="7">
        <v>0.16</v>
      </c>
    </row>
    <row r="4" spans="1:6" x14ac:dyDescent="0.45">
      <c r="A4" s="1">
        <v>3</v>
      </c>
      <c r="B4" s="6">
        <f>Cpa*A4</f>
        <v>3630</v>
      </c>
      <c r="C4" s="6">
        <f>pu*tposs*(conso_ann/(2*A4)+ss)</f>
        <v>19800</v>
      </c>
      <c r="D4" s="9">
        <f t="shared" si="0"/>
        <v>23430</v>
      </c>
      <c r="E4" s="4" t="s">
        <v>3</v>
      </c>
      <c r="F4" s="8">
        <v>275</v>
      </c>
    </row>
    <row r="5" spans="1:6" x14ac:dyDescent="0.45">
      <c r="A5" s="1">
        <v>4</v>
      </c>
      <c r="B5" s="6">
        <f>Cpa*A5</f>
        <v>4840</v>
      </c>
      <c r="C5" s="6">
        <f>pu*tposs*(conso_ann/(2*A5)+ss)</f>
        <v>16170</v>
      </c>
      <c r="D5" s="9">
        <f t="shared" si="0"/>
        <v>21010</v>
      </c>
      <c r="E5" s="4" t="s">
        <v>4</v>
      </c>
      <c r="F5" s="8">
        <f>330*13.75</f>
        <v>4537.5</v>
      </c>
    </row>
    <row r="6" spans="1:6" x14ac:dyDescent="0.45">
      <c r="A6" s="1">
        <v>5</v>
      </c>
      <c r="B6" s="6">
        <f>Cpa*A6</f>
        <v>6050</v>
      </c>
      <c r="C6" s="6">
        <f>pu*tposs*(conso_ann/(2*A6)+ss)</f>
        <v>13992</v>
      </c>
      <c r="D6" s="9">
        <f t="shared" si="0"/>
        <v>20042</v>
      </c>
      <c r="E6" s="4" t="s">
        <v>6</v>
      </c>
      <c r="F6" s="5">
        <v>120</v>
      </c>
    </row>
    <row r="7" spans="1:6" x14ac:dyDescent="0.45">
      <c r="A7" s="10">
        <v>6</v>
      </c>
      <c r="B7" s="11">
        <f>Cpa*A7</f>
        <v>7260</v>
      </c>
      <c r="C7" s="11">
        <f>pu*tposs*(conso_ann/(2*A7)+ss)</f>
        <v>12540</v>
      </c>
      <c r="D7" s="12">
        <f t="shared" si="0"/>
        <v>19800</v>
      </c>
      <c r="E7" s="3"/>
    </row>
    <row r="8" spans="1:6" x14ac:dyDescent="0.45">
      <c r="A8" s="1">
        <v>7</v>
      </c>
      <c r="B8" s="6">
        <f>Cpa*A8</f>
        <v>8470</v>
      </c>
      <c r="C8" s="6">
        <f>pu*tposs*(conso_ann/(2*A8)+ss)</f>
        <v>11502.857142857143</v>
      </c>
      <c r="D8" s="9">
        <f t="shared" si="0"/>
        <v>19972.857142857145</v>
      </c>
      <c r="E8" s="1" t="s">
        <v>9</v>
      </c>
      <c r="F8">
        <f>conso_ann/(6)</f>
        <v>756.25</v>
      </c>
    </row>
    <row r="9" spans="1:6" x14ac:dyDescent="0.45">
      <c r="A9" s="1">
        <v>8</v>
      </c>
      <c r="B9" s="6">
        <f>Cpa*A9</f>
        <v>9680</v>
      </c>
      <c r="C9" s="6">
        <f>pu*tposs*(conso_ann/(2*A9)+ss)</f>
        <v>10725</v>
      </c>
      <c r="D9" s="9">
        <f t="shared" si="0"/>
        <v>20405</v>
      </c>
      <c r="E9" s="1"/>
    </row>
    <row r="10" spans="1:6" x14ac:dyDescent="0.45">
      <c r="A10" s="1">
        <v>9</v>
      </c>
      <c r="B10" s="6">
        <f>Cpa*A10</f>
        <v>10890</v>
      </c>
      <c r="C10" s="6">
        <f>pu*tposs*(conso_ann/(2*A10)+ss)</f>
        <v>10120</v>
      </c>
      <c r="D10" s="9">
        <f t="shared" si="0"/>
        <v>21010</v>
      </c>
      <c r="E10" s="1"/>
    </row>
    <row r="11" spans="1:6" x14ac:dyDescent="0.45">
      <c r="A11" s="1">
        <v>10</v>
      </c>
      <c r="B11" s="6">
        <f>Cpa*A11</f>
        <v>12100</v>
      </c>
      <c r="C11" s="6">
        <f>pu*tposs*(conso_ann/(2*A11)+ss)</f>
        <v>9636</v>
      </c>
      <c r="D11" s="9">
        <f t="shared" si="0"/>
        <v>21736</v>
      </c>
      <c r="E11" s="1"/>
    </row>
    <row r="12" spans="1:6" x14ac:dyDescent="0.45">
      <c r="A12" s="1">
        <v>11</v>
      </c>
      <c r="B12" s="6">
        <f>Cpa*A12</f>
        <v>13310</v>
      </c>
      <c r="C12" s="6">
        <f>pu*tposs*(conso_ann/(2*A12)+ss)</f>
        <v>9240</v>
      </c>
      <c r="D12" s="9">
        <f t="shared" si="0"/>
        <v>22550</v>
      </c>
      <c r="E12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5</vt:i4>
      </vt:variant>
    </vt:vector>
  </HeadingPairs>
  <TitlesOfParts>
    <vt:vector size="6" baseType="lpstr">
      <vt:lpstr>Feuil1</vt:lpstr>
      <vt:lpstr>conso_ann</vt:lpstr>
      <vt:lpstr>Cpa</vt:lpstr>
      <vt:lpstr>pu</vt:lpstr>
      <vt:lpstr>ss</vt:lpstr>
      <vt:lpstr>tposs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JAUBERT</dc:creator>
  <cp:lastModifiedBy>Stéphane JAUBERT</cp:lastModifiedBy>
  <dcterms:created xsi:type="dcterms:W3CDTF">2026-01-29T07:42:28Z</dcterms:created>
  <dcterms:modified xsi:type="dcterms:W3CDTF">2026-01-29T09:25:37Z</dcterms:modified>
</cp:coreProperties>
</file>