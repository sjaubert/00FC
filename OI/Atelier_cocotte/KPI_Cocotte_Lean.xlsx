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Paramètres" sheetId="2" state="visible" r:id="rId4"/>
    <sheet name="Round 1" sheetId="3" state="visible" r:id="rId5"/>
    <sheet name="Round 2" sheetId="4" state="visible" r:id="rId6"/>
    <sheet name="Round 3" sheetId="5" state="visible" r:id="rId7"/>
    <sheet name="Synthè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Valeur saisie par le formateur, issue du chronométrage du round 1.
Modifier ici si le relevé réel diffère de 35 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1" authorId="0">
      <text>
        <r>
          <rPr>
            <sz val="10"/>
            <rFont val="Arial"/>
            <family val="2"/>
          </rPr>
          <t xml:space="preserve">Somme des interruptions subies par la ligne entière
(rupture matière, incident, arrêt formateur).
Ne pas compter l'attente d'un poste seul : la ligne fonctionne.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1" authorId="0">
      <text>
        <r>
          <rPr>
            <sz val="10"/>
            <rFont val="Arial"/>
            <family val="2"/>
          </rPr>
          <t xml:space="preserve">Somme des interruptions subies par la ligne entière
(rupture matière, incident, arrêt formateur).
Ne pas compter l'attente d'un poste seul : la ligne fonctionne.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1" authorId="0">
      <text>
        <r>
          <rPr>
            <sz val="10"/>
            <rFont val="Arial"/>
            <family val="2"/>
          </rPr>
          <t xml:space="preserve">Somme des interruptions subies par la ligne entière
(rupture matière, incident, arrêt formateur).
Ne pas compter l'attente d'un poste seul : la ligne fonctionne.</t>
        </r>
      </text>
    </comment>
  </commentList>
</comments>
</file>

<file path=xl/sharedStrings.xml><?xml version="1.0" encoding="utf-8"?>
<sst xmlns="http://schemas.openxmlformats.org/spreadsheetml/2006/main" count="394" uniqueCount="162">
  <si>
    <t xml:space="preserve">  ATELIER COCOTTE LEAN  |  « Le Contrat Cadencé »  |  Classeur de calcul des KPI</t>
  </si>
  <si>
    <t xml:space="preserve">Pôle Formation UIMM CVDL, S. Jaubert, version 2.0</t>
  </si>
  <si>
    <t xml:space="preserve">CODE COULEUR</t>
  </si>
  <si>
    <t xml:space="preserve">Cellule à saisir pendant l'atelier</t>
  </si>
  <si>
    <t xml:space="preserve">Cellule calculée, ne pas modifier</t>
  </si>
  <si>
    <t xml:space="preserve">Paramètre du contrat, à figer avant la journée</t>
  </si>
  <si>
    <t xml:space="preserve">ORDRE DES OPÉRATIONS</t>
  </si>
  <si>
    <t xml:space="preserve">Étape 1</t>
  </si>
  <si>
    <t xml:space="preserve">Avant la journée : vérifier l'onglet Paramètres. Le contrat et le temps de cycle de référence y sont figés.</t>
  </si>
  <si>
    <t xml:space="preserve">Étape 2</t>
  </si>
  <si>
    <t xml:space="preserve">Pendant chaque round : le Client remplit le registre d'expédition papier, le Chronométreur relève les temps de cycle.</t>
  </si>
  <si>
    <t xml:space="preserve">Étape 3</t>
  </si>
  <si>
    <t xml:space="preserve">Après chaque round : reporter le registre dans l'onglet du round. Les indicateurs se calculent seuls.</t>
  </si>
  <si>
    <t xml:space="preserve">Étape 4</t>
  </si>
  <si>
    <t xml:space="preserve">En fin de journée : ouvrir l'onglet Synthèse, projeter les tableaux et les graphiques.</t>
  </si>
  <si>
    <t xml:space="preserve">Étape 5</t>
  </si>
  <si>
    <t xml:space="preserve">Le test de la loi de Little se lit directement dans la Synthèse. C'est le temps fort du débriefing.</t>
  </si>
  <si>
    <t xml:space="preserve">SAISIE DES HEURES</t>
  </si>
  <si>
    <t xml:space="preserve">Le chronomètre projeté affiche mm:ss depuis le top départ.</t>
  </si>
  <si>
    <t xml:space="preserve">On saisit les minutes et les secondes dans deux colonnes distinctes, en nombres entiers.</t>
  </si>
  <si>
    <t xml:space="preserve">Exemple : une pièce sortie à 07:25 se saisit 7 dans la colonne min et 25 dans la colonne s.</t>
  </si>
  <si>
    <t xml:space="preserve">POINT DE VIGILANCE</t>
  </si>
  <si>
    <t xml:space="preserve">Une ligne du registre n'est complète que si l'heure de sortie est renseignée.</t>
  </si>
  <si>
    <t xml:space="preserve">Les pièces restées dans l'atelier au signal STOP ne sont pas des sorties : elles sont du WIP.</t>
  </si>
  <si>
    <t xml:space="preserve">Le WIP se compte zone par zone, physiquement, il ne se déduit pas du registre.</t>
  </si>
  <si>
    <t xml:space="preserve">REMISE À ZÉRO AVANT LA SÉANCE</t>
  </si>
  <si>
    <t xml:space="preserve">Les trois onglets de round contiennent un jeu de démonstration issu d'une simulation.</t>
  </si>
  <si>
    <t xml:space="preserve">Il permet de vérifier le classeur et de projeter les graphiques avant la journée.</t>
  </si>
  <si>
    <t xml:space="preserve">Pour repartir à vide : dans chaque onglet de round, sélectionner et effacer toutes les cellules jaunes.</t>
  </si>
  <si>
    <t xml:space="preserve">Plages concernées : C6:G9, C14:C18, E23:E26, C28, puis K5:P49.</t>
  </si>
  <si>
    <t xml:space="preserve">Les chiffres de démonstration ne sont pas des relevés terrain. Ce sont des résultats de simulation</t>
  </si>
  <si>
    <t xml:space="preserve">à variabilité opératoire, produits pour caler le scénario. Ne pas les annoncer comme des références.</t>
  </si>
  <si>
    <t xml:space="preserve">  PARAMÈTRES DU CONTRAT ET DE LA LIGNE</t>
  </si>
  <si>
    <t xml:space="preserve">Paramètre</t>
  </si>
  <si>
    <t xml:space="preserve">Valeur</t>
  </si>
  <si>
    <t xml:space="preserve">Commentaire</t>
  </si>
  <si>
    <t xml:space="preserve">Durée d'une vacation (minutes)</t>
  </si>
  <si>
    <t xml:space="preserve">Temps d'ouverture du round</t>
  </si>
  <si>
    <t xml:space="preserve">Durée d'une vacation (secondes)</t>
  </si>
  <si>
    <t xml:space="preserve">Calculé</t>
  </si>
  <si>
    <t xml:space="preserve">Demande client par vacation (pièces)</t>
  </si>
  <si>
    <t xml:space="preserve">Clause du contrat</t>
  </si>
  <si>
    <t xml:space="preserve">Nombre d'enlèvements</t>
  </si>
  <si>
    <t xml:space="preserve">Un camion toutes les 4 minutes</t>
  </si>
  <si>
    <t xml:space="preserve">Quantité par enlèvement (pièces)</t>
  </si>
  <si>
    <t xml:space="preserve">Takt Time (s/pièce)</t>
  </si>
  <si>
    <t xml:space="preserve">Temps disponible divisé par la demande</t>
  </si>
  <si>
    <t xml:space="preserve">Nombre de postes</t>
  </si>
  <si>
    <t xml:space="preserve">P1 à P4</t>
  </si>
  <si>
    <t xml:space="preserve">Temps de cycle de référence (s)</t>
  </si>
  <si>
    <t xml:space="preserve">Goulot mesuré au round 1. Figé pour les 3 rounds.</t>
  </si>
  <si>
    <t xml:space="preserve">POURQUOI FIGER LE TEMPS DE CYCLE DE RÉFÉRENCE</t>
  </si>
  <si>
    <t xml:space="preserve">Le TRG rapporte la production à une cadence de référence.</t>
  </si>
  <si>
    <t xml:space="preserve">Si l'on met à jour cette référence après chaque chantier Kaizen, le TRG s'améliore mécaniquement</t>
  </si>
  <si>
    <t xml:space="preserve">et ne mesure plus rien de comparable d'un round à l'autre.</t>
  </si>
  <si>
    <t xml:space="preserve">On retient donc le temps de cycle du poste goulot mesuré au round 1, et on le garde identique.</t>
  </si>
  <si>
    <t xml:space="preserve">  ROUND 1  |  saisie des relevés</t>
  </si>
  <si>
    <t xml:space="preserve">  JEU DE DÉMONSTRATION ISSU D'UNE SIMULATION. Effacer toutes les cellules jaunes avant la séance.</t>
  </si>
  <si>
    <t xml:space="preserve">1. TEMPS DE CYCLE PAR POSTE (secondes)</t>
  </si>
  <si>
    <t xml:space="preserve">4. REGISTRE D'EXPÉDITION</t>
  </si>
  <si>
    <t xml:space="preserve">Poste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</si>
  <si>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</si>
  <si>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</si>
  <si>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</si>
  <si>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</si>
  <si>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</si>
  <si>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Médiane</t>
  </si>
  <si>
    <t xml:space="preserve">Écart au takt</t>
  </si>
  <si>
    <t xml:space="preserve">Jeton</t>
  </si>
  <si>
    <t xml:space="preserve">Entrée (min)</t>
  </si>
  <si>
    <t xml:space="preserve">Entrée (s)</t>
  </si>
  <si>
    <t xml:space="preserve">Sortie (min)</t>
  </si>
  <si>
    <t xml:space="preserve">Sortie (s)</t>
  </si>
  <si>
    <t xml:space="preserve">Conforme O/N</t>
  </si>
  <si>
    <t xml:space="preserve">Lead Time (s)</t>
  </si>
  <si>
    <t xml:space="preserve">P1</t>
  </si>
  <si>
    <t xml:space="preserve">N</t>
  </si>
  <si>
    <t xml:space="preserve">P2</t>
  </si>
  <si>
    <t xml:space="preserve">O</t>
  </si>
  <si>
    <t xml:space="preserve">P3</t>
  </si>
  <si>
    <t xml:space="preserve">P4</t>
  </si>
  <si>
    <t xml:space="preserve">Contenu travail</t>
  </si>
  <si>
    <t xml:space="preserve">Poste goulot (s)</t>
  </si>
  <si>
    <t xml:space="preserve">Écart max entre postes (s)</t>
  </si>
  <si>
    <t xml:space="preserve">2. EN-COURS AU SIGNAL STOP (comptage physique par zone)</t>
  </si>
  <si>
    <t xml:space="preserve">Zone</t>
  </si>
  <si>
    <t xml:space="preserve">Pièces</t>
  </si>
  <si>
    <t xml:space="preserve">Stock matière vers P1</t>
  </si>
  <si>
    <t xml:space="preserve">P1 vers P2</t>
  </si>
  <si>
    <t xml:space="preserve">P2 vers P3</t>
  </si>
  <si>
    <t xml:space="preserve">P3 vers P4</t>
  </si>
  <si>
    <t xml:space="preserve">P4 vers Client</t>
  </si>
  <si>
    <t xml:space="preserve">WIP TOTAL</t>
  </si>
  <si>
    <t xml:space="preserve">3. TABLEAU DE MARCHE</t>
  </si>
  <si>
    <t xml:space="preserve">Camion</t>
  </si>
  <si>
    <t xml:space="preserve">Heure (min)</t>
  </si>
  <si>
    <t xml:space="preserve">Dû</t>
  </si>
  <si>
    <t xml:space="preserve">Livré</t>
  </si>
  <si>
    <t xml:space="preserve">Retard cumulé</t>
  </si>
  <si>
    <t xml:space="preserve">Total</t>
  </si>
  <si>
    <t xml:space="preserve">Arrêts de ligne cumulés (s)</t>
  </si>
  <si>
    <t xml:space="preserve">5. INDICATEURS CALCULÉS</t>
  </si>
  <si>
    <t xml:space="preserve">Indicateur</t>
  </si>
  <si>
    <t xml:space="preserve">Unité</t>
  </si>
  <si>
    <t xml:space="preserve">Pièces lancées</t>
  </si>
  <si>
    <t xml:space="preserve">pièces</t>
  </si>
  <si>
    <t xml:space="preserve">Pièces sorties</t>
  </si>
  <si>
    <t xml:space="preserve">Pièces conformes</t>
  </si>
  <si>
    <t xml:space="preserve">Taux de qualité</t>
  </si>
  <si>
    <t xml:space="preserve">WIP (comptage physique)</t>
  </si>
  <si>
    <t xml:space="preserve">Lead Time moyen</t>
  </si>
  <si>
    <t xml:space="preserve">s</t>
  </si>
  <si>
    <t xml:space="preserve">Lead Time médian</t>
  </si>
  <si>
    <t xml:space="preserve">Lead Time mini</t>
  </si>
  <si>
    <t xml:space="preserve">Lead Time maxi</t>
  </si>
  <si>
    <t xml:space="preserve">Débit</t>
  </si>
  <si>
    <t xml:space="preserve">pièces/min</t>
  </si>
  <si>
    <t xml:space="preserve">Temps de cycle de la ligne</t>
  </si>
  <si>
    <t xml:space="preserve">Takt Time</t>
  </si>
  <si>
    <t xml:space="preserve">Ratio d'efficacité</t>
  </si>
  <si>
    <t xml:space="preserve">Taux de service client</t>
  </si>
  <si>
    <t xml:space="preserve">  ROUND 2  |  saisie des relevés</t>
  </si>
  <si>
    <t xml:space="preserve">  ROUND 3  |  saisie des relevés</t>
  </si>
  <si>
    <t xml:space="preserve">  SYNTHÈSE COMPARATIVE ET DÉBRIEFING</t>
  </si>
  <si>
    <t xml:space="preserve">1. TABLEAU COMPARATIF</t>
  </si>
  <si>
    <t xml:space="preserve">R1 Poussé</t>
  </si>
  <si>
    <t xml:space="preserve">R2 Tiré</t>
  </si>
  <si>
    <t xml:space="preserve">R3 Kaizen</t>
  </si>
  <si>
    <t xml:space="preserve">WIP</t>
  </si>
  <si>
    <t xml:space="preserve">Lead Time moyen (s)</t>
  </si>
  <si>
    <t xml:space="preserve">Débit (pièces/min)</t>
  </si>
  <si>
    <t xml:space="preserve">Temps de cycle ligne (s)</t>
  </si>
  <si>
    <t xml:space="preserve">Takt Time (s)</t>
  </si>
  <si>
    <t xml:space="preserve">Contenu travail (s)</t>
  </si>
  <si>
    <t xml:space="preserve">2. TEST DE LA LOI DE LITTLE</t>
  </si>
  <si>
    <t xml:space="preserve">WIP = Débit × Lead Time. On compare le Lead Time prédit au Lead Time mesuré.</t>
  </si>
  <si>
    <t xml:space="preserve">Grandeur</t>
  </si>
  <si>
    <t xml:space="preserve">WIP mesuré (pièces)</t>
  </si>
  <si>
    <t xml:space="preserve">Débit mesuré (pièces/min)</t>
  </si>
  <si>
    <t xml:space="preserve">Lead Time prédit par Little (s)</t>
  </si>
  <si>
    <t xml:space="preserve">Lead Time mesuré (s)</t>
  </si>
  <si>
    <t xml:space="preserve">Écart relatif</t>
  </si>
  <si>
    <t xml:space="preserve">La loi de Little suppose un régime permanent, c'est-à-dire un en-cours qui ne dérive pas.</t>
  </si>
  <si>
    <t xml:space="preserve">Le CONWIP des rounds 2 et 3 force ce régime : la prédiction tombe juste.</t>
  </si>
  <si>
    <t xml:space="preserve">En flux poussé, le WIP grimpe pendant toute la vacation : la prédiction s'effondre.</t>
  </si>
  <si>
    <t xml:space="preserve">Conséquence : un atelier en flux poussé est un atelier dont on ne sait pas prédire les délais.</t>
  </si>
  <si>
    <t xml:space="preserve">3. CALCUL DU TRG</t>
  </si>
  <si>
    <t xml:space="preserve">TRG = Temps utile / Temps d'ouverture, norme NF E 60-182.</t>
  </si>
  <si>
    <t xml:space="preserve">Temps utile = pièces valorisables × temps de cycle de référence. La surproduction n'est pas de la valeur.</t>
  </si>
  <si>
    <t xml:space="preserve">Composante</t>
  </si>
  <si>
    <t xml:space="preserve">Pièces valorisables = min(conformes ; demande)</t>
  </si>
  <si>
    <t xml:space="preserve">Temps d'ouverture (s)</t>
  </si>
  <si>
    <t xml:space="preserve">Arrêts de ligne (s)</t>
  </si>
  <si>
    <t xml:space="preserve">Temps de fonctionnement (s)</t>
  </si>
  <si>
    <t xml:space="preserve">Temps utile (s)</t>
  </si>
  <si>
    <t xml:space="preserve">Disponibilité</t>
  </si>
  <si>
    <t xml:space="preserve">Performance</t>
  </si>
  <si>
    <t xml:space="preserve">Taux de valorisation</t>
  </si>
  <si>
    <t xml:space="preserve">TRG = D × P × V</t>
  </si>
  <si>
    <t xml:space="preserve">Vérification : Temps utile / Temps d'ouverture</t>
  </si>
  <si>
    <t xml:space="preserve">Le taux de valorisation regroupe les rebuts et la surproduction : deux pièces produites qui ne créent pas de valeur.</t>
  </si>
  <si>
    <t xml:space="preserve">Le taux de qualité classique (conformes / sorties) figure dans le tableau comparatif ci-dessus.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</si>
</sst>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"/>
    <numFmt numFmtId="167" formatCode="0.0"/>
    <numFmt numFmtId="168" formatCode="0.0;\-0.0"/>
    <numFmt numFmtId="169" formatCode="0.0%"/>
    <numFmt numFmtId="170" formatCode="0.00"/>
    <numFmt numFmtId="171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10"/>
      <name val="Arial"/>
      <family val="2"/>
    </font>
    <font>
      <b val="true"/>
      <sz val="10"/>
      <color rgb="FFB91C1C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3B0"/>
        <bgColor rgb="FFFDE8E8"/>
      </patternFill>
    </fill>
    <fill>
      <patternFill patternType="solid">
        <fgColor rgb="FFFFFFFF"/>
        <bgColor rgb="FFF9F9F9"/>
      </patternFill>
    </fill>
    <fill>
      <patternFill patternType="solid">
        <fgColor rgb="FFE8EEF7"/>
        <bgColor rgb="FFF3F4F6"/>
      </patternFill>
    </fill>
    <fill>
      <patternFill patternType="solid">
        <fgColor rgb="FFFDE8E8"/>
        <bgColor rgb="FFF3F4F6"/>
      </patternFill>
    </fill>
    <fill>
      <patternFill patternType="solid">
        <fgColor rgb="FFF3F4F6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E8EE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DE8E8"/>
      <rgbColor rgb="FFFFF3B0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280"/>
      <rgbColor rgb="FF9CA3AF"/>
      <rgbColor rgb="FF1B3A6B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En-cours (WIP) par round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Synthèse!$C$4:$E$4</c:f>
              <c:strCache>
                <c:ptCount val="3"/>
                <c:pt idx="0">
                  <c:v>R1 Poussé</c:v>
                </c:pt>
                <c:pt idx="1">
                  <c:v>R2 Tiré</c:v>
                </c:pt>
                <c:pt idx="2">
                  <c:v>R3 Kaizen</c:v>
                </c:pt>
              </c:strCache>
            </c:strRef>
          </c:cat>
          <c:val>
            <c:numRef>
              <c:f>Synthèse!$C$6:$E$6</c:f>
              <c:numCache>
                <c:formatCode>0</c:formatCode>
                <c:ptCount val="3"/>
                <c:pt idx="0">
                  <c:v>26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76620843"/>
        <c:axId val="1290371"/>
      </c:barChart>
      <c:catAx>
        <c:axId val="766208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0371"/>
        <c:crosses val="autoZero"/>
        <c:auto val="1"/>
        <c:lblAlgn val="ctr"/>
        <c:lblOffset val="100"/>
        <c:noMultiLvlLbl val="0"/>
      </c:catAx>
      <c:valAx>
        <c:axId val="1290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pièces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20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Time moyen par round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Synthèse!$C$4:$E$4</c:f>
              <c:strCache>
                <c:ptCount val="3"/>
                <c:pt idx="0">
                  <c:v>R1 Poussé</c:v>
                </c:pt>
                <c:pt idx="1">
                  <c:v>R2 Tiré</c:v>
                </c:pt>
                <c:pt idx="2">
                  <c:v>R3 Kaizen</c:v>
                </c:pt>
              </c:strCache>
            </c:strRef>
          </c:cat>
          <c:val>
            <c:numRef>
              <c:f>Synthèse!$C$7:$E$7</c:f>
              <c:numCache>
                <c:formatCode>0</c:formatCode>
                <c:ptCount val="3"/>
                <c:pt idx="0">
                  <c:v>605.666666666667</c:v>
                </c:pt>
                <c:pt idx="1">
                  <c:v>213</c:v>
                </c:pt>
                <c:pt idx="2">
                  <c:v>119.666666666667</c:v>
                </c:pt>
              </c:numCache>
            </c:numRef>
          </c:val>
        </c:ser>
        <c:gapWidth val="150"/>
        <c:overlap val="0"/>
        <c:axId val="2757296"/>
        <c:axId val="42564630"/>
      </c:barChart>
      <c:catAx>
        <c:axId val="275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64630"/>
        <c:crosses val="autoZero"/>
        <c:auto val="1"/>
        <c:lblAlgn val="ctr"/>
        <c:lblOffset val="100"/>
        <c:noMultiLvlLbl val="0"/>
      </c:catAx>
      <c:valAx>
        <c:axId val="42564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72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Ratio d'efficacité du processus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Synthèse!$C$4:$E$4</c:f>
              <c:strCache>
                <c:ptCount val="3"/>
                <c:pt idx="0">
                  <c:v>R1 Poussé</c:v>
                </c:pt>
                <c:pt idx="1">
                  <c:v>R2 Tiré</c:v>
                </c:pt>
                <c:pt idx="2">
                  <c:v>R3 Kaizen</c:v>
                </c:pt>
              </c:strCache>
            </c:strRef>
          </c:cat>
          <c:val>
            <c:numRef>
              <c:f>Synthèse!$C$12:$E$12</c:f>
              <c:numCache>
                <c:formatCode>0.0%</c:formatCode>
                <c:ptCount val="3"/>
                <c:pt idx="0">
                  <c:v>0.189873417721519</c:v>
                </c:pt>
                <c:pt idx="1">
                  <c:v>0.539906103286385</c:v>
                </c:pt>
                <c:pt idx="2">
                  <c:v>0.852367688022284</c:v>
                </c:pt>
              </c:numCache>
            </c:numRef>
          </c:val>
        </c:ser>
        <c:gapWidth val="150"/>
        <c:overlap val="0"/>
        <c:axId val="96532955"/>
        <c:axId val="30588180"/>
      </c:barChart>
      <c:catAx>
        <c:axId val="96532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88180"/>
        <c:crosses val="autoZero"/>
        <c:auto val="1"/>
        <c:lblAlgn val="ctr"/>
        <c:lblOffset val="100"/>
        <c:noMultiLvlLbl val="0"/>
      </c:catAx>
      <c:valAx>
        <c:axId val="30588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329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TRG par round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Synthèse!$C$4:$E$4</c:f>
              <c:strCache>
                <c:ptCount val="3"/>
                <c:pt idx="0">
                  <c:v>R1 Poussé</c:v>
                </c:pt>
                <c:pt idx="1">
                  <c:v>R2 Tiré</c:v>
                </c:pt>
                <c:pt idx="2">
                  <c:v>R3 Kaizen</c:v>
                </c:pt>
              </c:strCache>
            </c:strRef>
          </c:cat>
          <c:val>
            <c:numRef>
              <c:f>Synthèse!$C$46:$E$46</c:f>
              <c:numCache>
                <c:formatCode>0.0%</c:formatCode>
                <c:ptCount val="3"/>
                <c:pt idx="0">
                  <c:v>0.401041666666667</c:v>
                </c:pt>
                <c:pt idx="1">
                  <c:v>0.729166666666667</c:v>
                </c:pt>
                <c:pt idx="2">
                  <c:v>0.875</c:v>
                </c:pt>
              </c:numCache>
            </c:numRef>
          </c:val>
        </c:ser>
        <c:gapWidth val="150"/>
        <c:overlap val="0"/>
        <c:axId val="30997078"/>
        <c:axId val="50391625"/>
      </c:barChart>
      <c:catAx>
        <c:axId val="30997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91625"/>
        <c:crosses val="autoZero"/>
        <c:auto val="1"/>
        <c:lblAlgn val="ctr"/>
        <c:lblOffset val="100"/>
        <c:noMultiLvlLbl val="0"/>
      </c:catAx>
      <c:valAx>
        <c:axId val="50391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97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13</xdr:col>
      <xdr:colOff>290520</xdr:colOff>
      <xdr:row>16</xdr:row>
      <xdr:rowOff>32760</xdr:rowOff>
    </xdr:to>
    <xdr:graphicFrame>
      <xdr:nvGraphicFramePr>
        <xdr:cNvPr id="0" name="Chart 1"/>
        <xdr:cNvGraphicFramePr/>
      </xdr:nvGraphicFramePr>
      <xdr:xfrm>
        <a:off x="7823880" y="51444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13</xdr:col>
      <xdr:colOff>290520</xdr:colOff>
      <xdr:row>32</xdr:row>
      <xdr:rowOff>32400</xdr:rowOff>
    </xdr:to>
    <xdr:graphicFrame>
      <xdr:nvGraphicFramePr>
        <xdr:cNvPr id="1" name="Chart 2"/>
        <xdr:cNvGraphicFramePr/>
      </xdr:nvGraphicFramePr>
      <xdr:xfrm>
        <a:off x="7823880" y="356220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2</xdr:row>
      <xdr:rowOff>0</xdr:rowOff>
    </xdr:from>
    <xdr:to>
      <xdr:col>21</xdr:col>
      <xdr:colOff>290520</xdr:colOff>
      <xdr:row>16</xdr:row>
      <xdr:rowOff>32760</xdr:rowOff>
    </xdr:to>
    <xdr:graphicFrame>
      <xdr:nvGraphicFramePr>
        <xdr:cNvPr id="2" name="Chart 3"/>
        <xdr:cNvGraphicFramePr/>
      </xdr:nvGraphicFramePr>
      <xdr:xfrm>
        <a:off x="12715920" y="51444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18</xdr:row>
      <xdr:rowOff>0</xdr:rowOff>
    </xdr:from>
    <xdr:to>
      <xdr:col>21</xdr:col>
      <xdr:colOff>290520</xdr:colOff>
      <xdr:row>32</xdr:row>
      <xdr:rowOff>32400</xdr:rowOff>
    </xdr:to>
    <xdr:graphicFrame>
      <xdr:nvGraphicFramePr>
        <xdr:cNvPr id="3" name="Chart 4"/>
        <xdr:cNvGraphicFramePr/>
      </xdr:nvGraphicFramePr>
      <xdr:xfrm>
        <a:off x="12715920" y="356220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7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3"/>
      <c r="C6" s="4" t="s">
        <v>3</v>
      </c>
    </row>
    <row r="7" customFormat="false" ht="15" hidden="false" customHeight="false" outlineLevel="0" collapsed="false">
      <c r="B7" s="5"/>
      <c r="C7" s="4" t="s">
        <v>4</v>
      </c>
    </row>
    <row r="8" customFormat="false" ht="15" hidden="false" customHeight="false" outlineLevel="0" collapsed="false">
      <c r="B8" s="6"/>
      <c r="C8" s="4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4" t="s">
        <v>7</v>
      </c>
      <c r="C11" s="4" t="s">
        <v>8</v>
      </c>
    </row>
    <row r="12" customFormat="false" ht="15" hidden="false" customHeight="false" outlineLevel="0" collapsed="false">
      <c r="B12" s="4" t="s">
        <v>9</v>
      </c>
      <c r="C12" s="4" t="s">
        <v>10</v>
      </c>
    </row>
    <row r="13" customFormat="false" ht="15" hidden="false" customHeight="false" outlineLevel="0" collapsed="false">
      <c r="B13" s="4" t="s">
        <v>11</v>
      </c>
      <c r="C13" s="4" t="s">
        <v>12</v>
      </c>
    </row>
    <row r="14" customFormat="false" ht="15" hidden="false" customHeight="false" outlineLevel="0" collapsed="false">
      <c r="B14" s="4" t="s">
        <v>13</v>
      </c>
      <c r="C14" s="4" t="s">
        <v>14</v>
      </c>
    </row>
    <row r="15" customFormat="false" ht="15" hidden="false" customHeight="false" outlineLevel="0" collapsed="false">
      <c r="B15" s="4" t="s">
        <v>15</v>
      </c>
      <c r="C15" s="4" t="s">
        <v>16</v>
      </c>
    </row>
    <row r="17" customFormat="false" ht="15" hidden="false" customHeight="false" outlineLevel="0" collapsed="false">
      <c r="B17" s="2" t="s">
        <v>17</v>
      </c>
    </row>
    <row r="18" customFormat="false" ht="15" hidden="false" customHeight="false" outlineLevel="0" collapsed="false">
      <c r="C18" s="4" t="s">
        <v>18</v>
      </c>
    </row>
    <row r="19" customFormat="false" ht="15" hidden="false" customHeight="false" outlineLevel="0" collapsed="false">
      <c r="C19" s="4" t="s">
        <v>19</v>
      </c>
    </row>
    <row r="20" customFormat="false" ht="15" hidden="false" customHeight="false" outlineLevel="0" collapsed="false">
      <c r="C20" s="4" t="s">
        <v>20</v>
      </c>
    </row>
    <row r="22" customFormat="false" ht="15" hidden="false" customHeight="false" outlineLevel="0" collapsed="false">
      <c r="B22" s="2" t="s">
        <v>21</v>
      </c>
    </row>
    <row r="23" customFormat="false" ht="15" hidden="false" customHeight="false" outlineLevel="0" collapsed="false">
      <c r="C23" s="4" t="s">
        <v>22</v>
      </c>
    </row>
    <row r="24" customFormat="false" ht="15" hidden="false" customHeight="false" outlineLevel="0" collapsed="false">
      <c r="C24" s="4" t="s">
        <v>23</v>
      </c>
    </row>
    <row r="25" customFormat="false" ht="15" hidden="false" customHeight="false" outlineLevel="0" collapsed="false">
      <c r="C25" s="4" t="s">
        <v>24</v>
      </c>
    </row>
    <row r="27" customFormat="false" ht="15" hidden="false" customHeight="false" outlineLevel="0" collapsed="false">
      <c r="B27" s="2" t="s">
        <v>25</v>
      </c>
    </row>
    <row r="28" customFormat="false" ht="15" hidden="false" customHeight="false" outlineLevel="0" collapsed="false">
      <c r="C28" s="4" t="s">
        <v>26</v>
      </c>
    </row>
    <row r="29" customFormat="false" ht="15" hidden="false" customHeight="false" outlineLevel="0" collapsed="false">
      <c r="C29" s="4" t="s">
        <v>27</v>
      </c>
    </row>
    <row r="30" customFormat="false" ht="15" hidden="false" customHeight="false" outlineLevel="0" collapsed="false">
      <c r="C30" s="4" t="s">
        <v>28</v>
      </c>
    </row>
    <row r="31" customFormat="false" ht="15" hidden="false" customHeight="false" outlineLevel="0" collapsed="false">
      <c r="C31" s="4" t="s">
        <v>29</v>
      </c>
    </row>
    <row r="33" customFormat="false" ht="15" hidden="false" customHeight="false" outlineLevel="0" collapsed="false">
      <c r="C33" s="7" t="s">
        <v>30</v>
      </c>
    </row>
    <row r="34" customFormat="false" ht="15" hidden="false" customHeight="false" outlineLevel="0" collapsed="false">
      <c r="C34" s="7" t="s">
        <v>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32</v>
      </c>
      <c r="B1" s="1"/>
      <c r="C1" s="1"/>
      <c r="D1" s="1"/>
    </row>
    <row r="3" customFormat="false" ht="15" hidden="false" customHeight="false" outlineLevel="0" collapsed="false">
      <c r="B3" s="8" t="s">
        <v>33</v>
      </c>
      <c r="C3" s="8" t="s">
        <v>34</v>
      </c>
      <c r="D3" s="8" t="s">
        <v>35</v>
      </c>
    </row>
    <row r="4" customFormat="false" ht="15" hidden="false" customHeight="false" outlineLevel="0" collapsed="false">
      <c r="B4" s="9" t="s">
        <v>36</v>
      </c>
      <c r="C4" s="8" t="n">
        <v>16</v>
      </c>
      <c r="D4" s="7" t="s">
        <v>37</v>
      </c>
    </row>
    <row r="5" customFormat="false" ht="15" hidden="false" customHeight="false" outlineLevel="0" collapsed="false">
      <c r="B5" s="9" t="s">
        <v>38</v>
      </c>
      <c r="C5" s="10" t="n">
        <f aca="false">C4*60</f>
        <v>960</v>
      </c>
      <c r="D5" s="7" t="s">
        <v>39</v>
      </c>
    </row>
    <row r="6" customFormat="false" ht="15" hidden="false" customHeight="false" outlineLevel="0" collapsed="false">
      <c r="B6" s="9" t="s">
        <v>40</v>
      </c>
      <c r="C6" s="8" t="n">
        <v>24</v>
      </c>
      <c r="D6" s="7" t="s">
        <v>41</v>
      </c>
    </row>
    <row r="7" customFormat="false" ht="15" hidden="false" customHeight="false" outlineLevel="0" collapsed="false">
      <c r="B7" s="9" t="s">
        <v>42</v>
      </c>
      <c r="C7" s="8" t="n">
        <v>4</v>
      </c>
      <c r="D7" s="7" t="s">
        <v>43</v>
      </c>
    </row>
    <row r="8" customFormat="false" ht="15" hidden="false" customHeight="false" outlineLevel="0" collapsed="false">
      <c r="B8" s="9" t="s">
        <v>44</v>
      </c>
      <c r="C8" s="10" t="n">
        <f aca="false">C6/C7</f>
        <v>6</v>
      </c>
      <c r="D8" s="7" t="s">
        <v>39</v>
      </c>
    </row>
    <row r="9" customFormat="false" ht="15" hidden="false" customHeight="false" outlineLevel="0" collapsed="false">
      <c r="B9" s="9" t="s">
        <v>45</v>
      </c>
      <c r="C9" s="10" t="n">
        <f aca="false">C5/C6</f>
        <v>40</v>
      </c>
      <c r="D9" s="7" t="s">
        <v>46</v>
      </c>
    </row>
    <row r="10" customFormat="false" ht="15" hidden="false" customHeight="false" outlineLevel="0" collapsed="false">
      <c r="B10" s="9" t="s">
        <v>47</v>
      </c>
      <c r="C10" s="8" t="n">
        <v>4</v>
      </c>
      <c r="D10" s="7" t="s">
        <v>48</v>
      </c>
    </row>
    <row r="11" customFormat="false" ht="15" hidden="false" customHeight="false" outlineLevel="0" collapsed="false">
      <c r="B11" s="9" t="s">
        <v>49</v>
      </c>
      <c r="C11" s="8" t="n">
        <v>35</v>
      </c>
      <c r="D11" s="7" t="s">
        <v>50</v>
      </c>
    </row>
    <row r="13" customFormat="false" ht="15" hidden="false" customHeight="false" outlineLevel="0" collapsed="false">
      <c r="B13" s="2" t="s">
        <v>51</v>
      </c>
    </row>
    <row r="14" customFormat="false" ht="15" hidden="false" customHeight="false" outlineLevel="0" collapsed="false">
      <c r="B14" s="7" t="s">
        <v>52</v>
      </c>
    </row>
    <row r="15" customFormat="false" ht="15" hidden="false" customHeight="false" outlineLevel="0" collapsed="false">
      <c r="B15" s="7" t="s">
        <v>53</v>
      </c>
    </row>
    <row r="16" customFormat="false" ht="15" hidden="false" customHeight="false" outlineLevel="0" collapsed="false">
      <c r="B16" s="7" t="s">
        <v>54</v>
      </c>
    </row>
    <row r="17" customFormat="false" ht="15" hidden="false" customHeight="false" outlineLevel="0" collapsed="false">
      <c r="B17" s="7" t="s">
        <v>55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0"/>
    <col collapsed="false" customWidth="true" hidden="false" outlineLevel="0" max="9" min="8" style="0" width="13"/>
    <col collapsed="false" customWidth="true" hidden="false" outlineLevel="0" max="10" min="10" style="0" width="4"/>
    <col collapsed="false" customWidth="true" hidden="false" outlineLevel="0" max="11" min="11" style="0" width="20"/>
    <col collapsed="false" customWidth="true" hidden="false" outlineLevel="0" max="14" min="12" style="0" width="14"/>
  </cols>
  <sheetData>
    <row r="1" customFormat="false" ht="25.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1" t="s">
        <v>57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B3" s="2" t="s">
        <v>58</v>
      </c>
      <c r="K3" s="2" t="s">
        <v>59</v>
      </c>
    </row>
    <row r="4" customFormat="false" ht="15" hidden="false" customHeight="false" outlineLevel="0" collapsed="false">
      <c r="B4" s="8" t="s">
        <v>60</v>
      </c>
      <c r="C4" s="8" t="s">
        <v>61</v>
      </c>
      <c r="D4" s="8" t="s">
        <v>62</v>
      </c>
      <c r="E4" s="8" t="s">
        <v>63</v>
      </c>
      <c r="F4" s="8" t="s">
        <v>64</v>
      </c>
      <c r="G4" s="8" t="s">
        <v>65</v>
      </c>
      <c r="H4" s="8" t="s">
        <v>66</v>
      </c>
      <c r="I4" s="8" t="s">
        <v>67</v>
      </c>
      <c r="K4" s="8" t="s">
        <v>68</v>
      </c>
      <c r="L4" s="8" t="s">
        <v>69</v>
      </c>
      <c r="M4" s="8" t="s">
        <v>70</v>
      </c>
      <c r="N4" s="8" t="s">
        <v>71</v>
      </c>
      <c r="O4" s="8" t="s">
        <v>72</v>
      </c>
      <c r="P4" s="8" t="s">
        <v>73</v>
      </c>
      <c r="Q4" s="8" t="s">
        <v>74</v>
      </c>
    </row>
    <row r="5" customFormat="false" ht="15" hidden="false" customHeight="false" outlineLevel="0" collapsed="false">
      <c r="B5" s="10" t="s">
        <v>75</v>
      </c>
      <c r="C5" s="12" t="n">
        <v>24</v>
      </c>
      <c r="D5" s="12" t="n">
        <v>26</v>
      </c>
      <c r="E5" s="12" t="n">
        <v>25</v>
      </c>
      <c r="F5" s="12" t="n">
        <v>27</v>
      </c>
      <c r="G5" s="12" t="n">
        <v>25</v>
      </c>
      <c r="H5" s="13" t="n">
        <f aca="false">IF(COUNT(C5:G5)=0,"",MEDIAN(C5:G5))</f>
        <v>25</v>
      </c>
      <c r="I5" s="14" t="n">
        <f aca="false">IF(H5="","",H5-Paramètres!$C$9)</f>
        <v>-15</v>
      </c>
      <c r="K5" s="12" t="n">
        <v>1</v>
      </c>
      <c r="L5" s="12" t="n">
        <v>0</v>
      </c>
      <c r="M5" s="12" t="n">
        <v>0</v>
      </c>
      <c r="N5" s="12" t="n">
        <v>8</v>
      </c>
      <c r="O5" s="12" t="n">
        <v>51</v>
      </c>
      <c r="P5" s="15" t="s">
        <v>76</v>
      </c>
      <c r="Q5" s="16" t="n">
        <f aca="false">IF(OR(N5="",K5=""),"",(N5*60+O5)-(L5*60+M5))</f>
        <v>531</v>
      </c>
    </row>
    <row r="6" customFormat="false" ht="15" hidden="false" customHeight="false" outlineLevel="0" collapsed="false">
      <c r="B6" s="10" t="s">
        <v>77</v>
      </c>
      <c r="C6" s="12" t="n">
        <v>29</v>
      </c>
      <c r="D6" s="12" t="n">
        <v>31</v>
      </c>
      <c r="E6" s="12" t="n">
        <v>30</v>
      </c>
      <c r="F6" s="12" t="n">
        <v>32</v>
      </c>
      <c r="G6" s="12" t="n">
        <v>30</v>
      </c>
      <c r="H6" s="13" t="n">
        <f aca="false">IF(COUNT(C6:G6)=0,"",MEDIAN(C6:G6))</f>
        <v>30</v>
      </c>
      <c r="I6" s="14" t="n">
        <f aca="false">IF(H6="","",H6-Paramètres!$C$9)</f>
        <v>-10</v>
      </c>
      <c r="K6" s="12" t="n">
        <v>2</v>
      </c>
      <c r="L6" s="12" t="n">
        <v>0</v>
      </c>
      <c r="M6" s="12" t="n">
        <v>0</v>
      </c>
      <c r="N6" s="12" t="n">
        <v>8</v>
      </c>
      <c r="O6" s="12" t="n">
        <v>51</v>
      </c>
      <c r="P6" s="15" t="s">
        <v>78</v>
      </c>
      <c r="Q6" s="16" t="n">
        <f aca="false">IF(OR(N6="",K6=""),"",(N6*60+O6)-(L6*60+M6))</f>
        <v>531</v>
      </c>
    </row>
    <row r="7" customFormat="false" ht="15" hidden="false" customHeight="false" outlineLevel="0" collapsed="false">
      <c r="B7" s="10" t="s">
        <v>79</v>
      </c>
      <c r="C7" s="12" t="n">
        <v>34</v>
      </c>
      <c r="D7" s="12" t="n">
        <v>36</v>
      </c>
      <c r="E7" s="12" t="n">
        <v>35</v>
      </c>
      <c r="F7" s="12" t="n">
        <v>37</v>
      </c>
      <c r="G7" s="12" t="n">
        <v>35</v>
      </c>
      <c r="H7" s="13" t="n">
        <f aca="false">IF(COUNT(C7:G7)=0,"",MEDIAN(C7:G7))</f>
        <v>35</v>
      </c>
      <c r="I7" s="14" t="n">
        <f aca="false">IF(H7="","",H7-Paramètres!$C$9)</f>
        <v>-5</v>
      </c>
      <c r="K7" s="12" t="n">
        <v>3</v>
      </c>
      <c r="L7" s="12" t="n">
        <v>0</v>
      </c>
      <c r="M7" s="12" t="n">
        <v>0</v>
      </c>
      <c r="N7" s="12" t="n">
        <v>8</v>
      </c>
      <c r="O7" s="12" t="n">
        <v>51</v>
      </c>
      <c r="P7" s="15" t="s">
        <v>78</v>
      </c>
      <c r="Q7" s="16" t="n">
        <f aca="false">IF(OR(N7="",K7=""),"",(N7*60+O7)-(L7*60+M7))</f>
        <v>531</v>
      </c>
    </row>
    <row r="8" customFormat="false" ht="15" hidden="false" customHeight="false" outlineLevel="0" collapsed="false">
      <c r="B8" s="10" t="s">
        <v>80</v>
      </c>
      <c r="C8" s="12" t="n">
        <v>24</v>
      </c>
      <c r="D8" s="12" t="n">
        <v>26</v>
      </c>
      <c r="E8" s="12" t="n">
        <v>25</v>
      </c>
      <c r="F8" s="12" t="n">
        <v>26</v>
      </c>
      <c r="G8" s="12" t="n">
        <v>25</v>
      </c>
      <c r="H8" s="13" t="n">
        <f aca="false">IF(COUNT(C8:G8)=0,"",MEDIAN(C8:G8))</f>
        <v>25</v>
      </c>
      <c r="I8" s="14" t="n">
        <f aca="false">IF(H8="","",H8-Paramètres!$C$9)</f>
        <v>-15</v>
      </c>
      <c r="K8" s="12" t="n">
        <v>4</v>
      </c>
      <c r="L8" s="12" t="n">
        <v>0</v>
      </c>
      <c r="M8" s="12" t="n">
        <v>0</v>
      </c>
      <c r="N8" s="12" t="n">
        <v>8</v>
      </c>
      <c r="O8" s="12" t="n">
        <v>51</v>
      </c>
      <c r="P8" s="15" t="s">
        <v>78</v>
      </c>
      <c r="Q8" s="16" t="n">
        <f aca="false">IF(OR(N8="",K8=""),"",(N8*60+O8)-(L8*60+M8))</f>
        <v>531</v>
      </c>
    </row>
    <row r="9" customFormat="false" ht="15" hidden="false" customHeight="false" outlineLevel="0" collapsed="false">
      <c r="B9" s="17" t="s">
        <v>81</v>
      </c>
      <c r="H9" s="13" t="n">
        <f aca="false">IF(COUNT(H5:H8)=0,"",SUM(H5:H8))</f>
        <v>115</v>
      </c>
      <c r="K9" s="12" t="n">
        <v>5</v>
      </c>
      <c r="L9" s="12" t="n">
        <v>0</v>
      </c>
      <c r="M9" s="12" t="n">
        <v>0</v>
      </c>
      <c r="N9" s="12" t="n">
        <v>8</v>
      </c>
      <c r="O9" s="12" t="n">
        <v>51</v>
      </c>
      <c r="P9" s="15" t="s">
        <v>78</v>
      </c>
      <c r="Q9" s="16" t="n">
        <f aca="false">IF(OR(N9="",K9=""),"",(N9*60+O9)-(L9*60+M9))</f>
        <v>531</v>
      </c>
    </row>
    <row r="10" customFormat="false" ht="15" hidden="false" customHeight="false" outlineLevel="0" collapsed="false">
      <c r="B10" s="17" t="s">
        <v>82</v>
      </c>
      <c r="H10" s="13" t="n">
        <f aca="false">IF(COUNT(H5:H8)=0,"",MAX(H5:H8))</f>
        <v>35</v>
      </c>
      <c r="K10" s="12" t="n">
        <v>6</v>
      </c>
      <c r="L10" s="12" t="n">
        <v>1</v>
      </c>
      <c r="M10" s="12" t="n">
        <v>60</v>
      </c>
      <c r="N10" s="12" t="n">
        <v>12</v>
      </c>
      <c r="O10" s="12" t="n">
        <v>13</v>
      </c>
      <c r="P10" s="15" t="s">
        <v>78</v>
      </c>
      <c r="Q10" s="16" t="n">
        <f aca="false">IF(OR(N10="",K10=""),"",(N10*60+O10)-(L10*60+M10))</f>
        <v>613</v>
      </c>
    </row>
    <row r="11" customFormat="false" ht="15" hidden="false" customHeight="false" outlineLevel="0" collapsed="false">
      <c r="B11" s="17" t="s">
        <v>83</v>
      </c>
      <c r="H11" s="13" t="n">
        <f aca="false">IF(COUNT(H5:H8)=0,"",MAX(H5:H8)-MIN(H5:H8))</f>
        <v>10</v>
      </c>
      <c r="K11" s="12" t="n">
        <v>7</v>
      </c>
      <c r="L11" s="12" t="n">
        <v>1</v>
      </c>
      <c r="M11" s="12" t="n">
        <v>60</v>
      </c>
      <c r="N11" s="12" t="n">
        <v>12</v>
      </c>
      <c r="O11" s="12" t="n">
        <v>13</v>
      </c>
      <c r="P11" s="15" t="s">
        <v>78</v>
      </c>
      <c r="Q11" s="16" t="n">
        <f aca="false">IF(OR(N11="",K11=""),"",(N11*60+O11)-(L11*60+M11))</f>
        <v>613</v>
      </c>
    </row>
    <row r="12" customFormat="false" ht="15" hidden="false" customHeight="false" outlineLevel="0" collapsed="false">
      <c r="K12" s="12" t="n">
        <v>8</v>
      </c>
      <c r="L12" s="12" t="n">
        <v>1</v>
      </c>
      <c r="M12" s="12" t="n">
        <v>60</v>
      </c>
      <c r="N12" s="12" t="n">
        <v>12</v>
      </c>
      <c r="O12" s="12" t="n">
        <v>13</v>
      </c>
      <c r="P12" s="15" t="s">
        <v>78</v>
      </c>
      <c r="Q12" s="16" t="n">
        <f aca="false">IF(OR(N12="",K12=""),"",(N12*60+O12)-(L12*60+M12))</f>
        <v>613</v>
      </c>
    </row>
    <row r="13" customFormat="false" ht="15" hidden="false" customHeight="false" outlineLevel="0" collapsed="false">
      <c r="B13" s="2" t="s">
        <v>84</v>
      </c>
      <c r="K13" s="12" t="n">
        <v>9</v>
      </c>
      <c r="L13" s="12" t="n">
        <v>1</v>
      </c>
      <c r="M13" s="12" t="n">
        <v>60</v>
      </c>
      <c r="N13" s="12" t="n">
        <v>12</v>
      </c>
      <c r="O13" s="12" t="n">
        <v>13</v>
      </c>
      <c r="P13" s="15" t="s">
        <v>76</v>
      </c>
      <c r="Q13" s="16" t="n">
        <f aca="false">IF(OR(N13="",K13=""),"",(N13*60+O13)-(L13*60+M13))</f>
        <v>613</v>
      </c>
    </row>
    <row r="14" customFormat="false" ht="15" hidden="false" customHeight="false" outlineLevel="0" collapsed="false">
      <c r="B14" s="8" t="s">
        <v>85</v>
      </c>
      <c r="C14" s="8" t="s">
        <v>86</v>
      </c>
      <c r="K14" s="12" t="n">
        <v>10</v>
      </c>
      <c r="L14" s="12" t="n">
        <v>1</v>
      </c>
      <c r="M14" s="12" t="n">
        <v>60</v>
      </c>
      <c r="N14" s="12" t="n">
        <v>12</v>
      </c>
      <c r="O14" s="12" t="n">
        <v>13</v>
      </c>
      <c r="P14" s="15" t="s">
        <v>76</v>
      </c>
      <c r="Q14" s="16" t="n">
        <f aca="false">IF(OR(N14="",K14=""),"",(N14*60+O14)-(L14*60+M14))</f>
        <v>613</v>
      </c>
    </row>
    <row r="15" customFormat="false" ht="15" hidden="false" customHeight="false" outlineLevel="0" collapsed="false">
      <c r="B15" s="9" t="s">
        <v>87</v>
      </c>
      <c r="C15" s="12" t="n">
        <v>2</v>
      </c>
      <c r="K15" s="12" t="n">
        <v>11</v>
      </c>
      <c r="L15" s="12" t="n">
        <v>4</v>
      </c>
      <c r="M15" s="12" t="n">
        <v>16</v>
      </c>
      <c r="N15" s="12" t="n">
        <v>15</v>
      </c>
      <c r="O15" s="12" t="n">
        <v>29</v>
      </c>
      <c r="P15" s="15" t="s">
        <v>78</v>
      </c>
      <c r="Q15" s="16" t="n">
        <f aca="false">IF(OR(N15="",K15=""),"",(N15*60+O15)-(L15*60+M15))</f>
        <v>673</v>
      </c>
    </row>
    <row r="16" customFormat="false" ht="15" hidden="false" customHeight="false" outlineLevel="0" collapsed="false">
      <c r="B16" s="9" t="s">
        <v>88</v>
      </c>
      <c r="C16" s="12" t="n">
        <v>7</v>
      </c>
      <c r="K16" s="12" t="n">
        <v>12</v>
      </c>
      <c r="L16" s="12" t="n">
        <v>4</v>
      </c>
      <c r="M16" s="12" t="n">
        <v>16</v>
      </c>
      <c r="N16" s="12" t="n">
        <v>15</v>
      </c>
      <c r="O16" s="12" t="n">
        <v>29</v>
      </c>
      <c r="P16" s="15" t="s">
        <v>78</v>
      </c>
      <c r="Q16" s="16" t="n">
        <f aca="false">IF(OR(N16="",K16=""),"",(N16*60+O16)-(L16*60+M16))</f>
        <v>673</v>
      </c>
    </row>
    <row r="17" customFormat="false" ht="15" hidden="false" customHeight="false" outlineLevel="0" collapsed="false">
      <c r="B17" s="9" t="s">
        <v>89</v>
      </c>
      <c r="C17" s="12" t="n">
        <v>10</v>
      </c>
      <c r="K17" s="12" t="n">
        <v>13</v>
      </c>
      <c r="L17" s="12" t="n">
        <v>4</v>
      </c>
      <c r="M17" s="12" t="n">
        <v>16</v>
      </c>
      <c r="N17" s="12" t="n">
        <v>15</v>
      </c>
      <c r="O17" s="12" t="n">
        <v>29</v>
      </c>
      <c r="P17" s="15" t="s">
        <v>78</v>
      </c>
      <c r="Q17" s="16" t="n">
        <f aca="false">IF(OR(N17="",K17=""),"",(N17*60+O17)-(L17*60+M17))</f>
        <v>673</v>
      </c>
    </row>
    <row r="18" customFormat="false" ht="15" hidden="false" customHeight="false" outlineLevel="0" collapsed="false">
      <c r="B18" s="9" t="s">
        <v>90</v>
      </c>
      <c r="C18" s="12" t="n">
        <v>5</v>
      </c>
      <c r="K18" s="12" t="n">
        <v>14</v>
      </c>
      <c r="L18" s="12" t="n">
        <v>4</v>
      </c>
      <c r="M18" s="12" t="n">
        <v>16</v>
      </c>
      <c r="N18" s="12" t="n">
        <v>15</v>
      </c>
      <c r="O18" s="12" t="n">
        <v>29</v>
      </c>
      <c r="P18" s="15" t="s">
        <v>76</v>
      </c>
      <c r="Q18" s="16" t="n">
        <f aca="false">IF(OR(N18="",K18=""),"",(N18*60+O18)-(L18*60+M18))</f>
        <v>673</v>
      </c>
    </row>
    <row r="19" customFormat="false" ht="15" hidden="false" customHeight="false" outlineLevel="0" collapsed="false">
      <c r="B19" s="9" t="s">
        <v>91</v>
      </c>
      <c r="C19" s="12" t="n">
        <v>2</v>
      </c>
      <c r="K19" s="12" t="n">
        <v>15</v>
      </c>
      <c r="L19" s="12" t="n">
        <v>4</v>
      </c>
      <c r="M19" s="12" t="n">
        <v>16</v>
      </c>
      <c r="N19" s="12" t="n">
        <v>15</v>
      </c>
      <c r="O19" s="12" t="n">
        <v>29</v>
      </c>
      <c r="P19" s="15" t="s">
        <v>78</v>
      </c>
      <c r="Q19" s="16" t="n">
        <f aca="false">IF(OR(N19="",K19=""),"",(N19*60+O19)-(L19*60+M19))</f>
        <v>673</v>
      </c>
    </row>
    <row r="20" customFormat="false" ht="15" hidden="false" customHeight="false" outlineLevel="0" collapsed="false">
      <c r="B20" s="18" t="s">
        <v>92</v>
      </c>
      <c r="C20" s="19" t="n">
        <f aca="false">SUM(C15:C19)</f>
        <v>26</v>
      </c>
      <c r="K20" s="12" t="n">
        <v>16</v>
      </c>
      <c r="L20" s="12" t="n">
        <v>6</v>
      </c>
      <c r="M20" s="12" t="n">
        <v>0</v>
      </c>
      <c r="N20" s="12"/>
      <c r="O20" s="12"/>
      <c r="P20" s="15"/>
      <c r="Q20" s="16" t="str">
        <f aca="false">IF(OR(N20="",K20=""),"",(N20*60+O20)-(L20*60+M20))</f>
        <v/>
      </c>
    </row>
    <row r="21" customFormat="false" ht="15" hidden="false" customHeight="false" outlineLevel="0" collapsed="false">
      <c r="K21" s="12" t="n">
        <v>17</v>
      </c>
      <c r="L21" s="12" t="n">
        <v>6</v>
      </c>
      <c r="M21" s="12" t="n">
        <v>24</v>
      </c>
      <c r="N21" s="12"/>
      <c r="O21" s="12"/>
      <c r="P21" s="15"/>
      <c r="Q21" s="16" t="str">
        <f aca="false">IF(OR(N21="",K21=""),"",(N21*60+O21)-(L21*60+M21))</f>
        <v/>
      </c>
    </row>
    <row r="22" customFormat="false" ht="15" hidden="false" customHeight="false" outlineLevel="0" collapsed="false">
      <c r="K22" s="12" t="n">
        <v>18</v>
      </c>
      <c r="L22" s="12" t="n">
        <v>6</v>
      </c>
      <c r="M22" s="12" t="n">
        <v>48</v>
      </c>
      <c r="N22" s="12"/>
      <c r="O22" s="12"/>
      <c r="P22" s="15"/>
      <c r="Q22" s="16" t="str">
        <f aca="false">IF(OR(N22="",K22=""),"",(N22*60+O22)-(L22*60+M22))</f>
        <v/>
      </c>
    </row>
    <row r="23" customFormat="false" ht="15" hidden="false" customHeight="false" outlineLevel="0" collapsed="false">
      <c r="B23" s="2" t="s">
        <v>93</v>
      </c>
      <c r="K23" s="12" t="n">
        <v>19</v>
      </c>
      <c r="L23" s="12" t="n">
        <v>7</v>
      </c>
      <c r="M23" s="12" t="n">
        <v>12</v>
      </c>
      <c r="N23" s="12"/>
      <c r="O23" s="12"/>
      <c r="P23" s="15"/>
      <c r="Q23" s="16" t="str">
        <f aca="false">IF(OR(N23="",K23=""),"",(N23*60+O23)-(L23*60+M23))</f>
        <v/>
      </c>
    </row>
    <row r="24" customFormat="false" ht="15" hidden="false" customHeight="false" outlineLevel="0" collapsed="false">
      <c r="B24" s="8" t="s">
        <v>94</v>
      </c>
      <c r="C24" s="8" t="s">
        <v>95</v>
      </c>
      <c r="D24" s="8" t="s">
        <v>96</v>
      </c>
      <c r="E24" s="8" t="s">
        <v>97</v>
      </c>
      <c r="F24" s="8" t="s">
        <v>98</v>
      </c>
      <c r="K24" s="12" t="n">
        <v>20</v>
      </c>
      <c r="L24" s="12" t="n">
        <v>7</v>
      </c>
      <c r="M24" s="12" t="n">
        <v>36</v>
      </c>
      <c r="N24" s="12"/>
      <c r="O24" s="12"/>
      <c r="P24" s="15"/>
      <c r="Q24" s="16" t="str">
        <f aca="false">IF(OR(N24="",K24=""),"",(N24*60+O24)-(L24*60+M24))</f>
        <v/>
      </c>
    </row>
    <row r="25" customFormat="false" ht="15" hidden="false" customHeight="false" outlineLevel="0" collapsed="false">
      <c r="B25" s="10" t="n">
        <v>1</v>
      </c>
      <c r="C25" s="16" t="n">
        <f aca="false">(Paramètres!$C$4/Paramètres!$C$7)*1</f>
        <v>4</v>
      </c>
      <c r="D25" s="16" t="n">
        <f aca="false">Paramètres!$C$8</f>
        <v>6</v>
      </c>
      <c r="E25" s="12" t="n">
        <v>0</v>
      </c>
      <c r="F25" s="16" t="n">
        <f aca="false">SUM($D$25:D25)-SUM($E$25:E25)</f>
        <v>6</v>
      </c>
      <c r="K25" s="12" t="n">
        <v>21</v>
      </c>
      <c r="L25" s="12" t="n">
        <v>8</v>
      </c>
      <c r="M25" s="12" t="n">
        <v>0</v>
      </c>
      <c r="N25" s="12"/>
      <c r="O25" s="12"/>
      <c r="P25" s="15"/>
      <c r="Q25" s="16" t="str">
        <f aca="false">IF(OR(N25="",K25=""),"",(N25*60+O25)-(L25*60+M25))</f>
        <v/>
      </c>
    </row>
    <row r="26" customFormat="false" ht="15" hidden="false" customHeight="false" outlineLevel="0" collapsed="false">
      <c r="B26" s="10" t="n">
        <v>2</v>
      </c>
      <c r="C26" s="16" t="n">
        <f aca="false">(Paramètres!$C$4/Paramètres!$C$7)*2</f>
        <v>8</v>
      </c>
      <c r="D26" s="16" t="n">
        <f aca="false">Paramètres!$C$8</f>
        <v>6</v>
      </c>
      <c r="E26" s="12" t="n">
        <v>0</v>
      </c>
      <c r="F26" s="16" t="n">
        <f aca="false">SUM($D$25:D26)-SUM($E$25:E26)</f>
        <v>12</v>
      </c>
      <c r="K26" s="12" t="n">
        <v>22</v>
      </c>
      <c r="L26" s="12" t="n">
        <v>8</v>
      </c>
      <c r="M26" s="12" t="n">
        <v>24</v>
      </c>
      <c r="N26" s="12"/>
      <c r="O26" s="12"/>
      <c r="P26" s="15"/>
      <c r="Q26" s="16" t="str">
        <f aca="false">IF(OR(N26="",K26=""),"",(N26*60+O26)-(L26*60+M26))</f>
        <v/>
      </c>
    </row>
    <row r="27" customFormat="false" ht="15" hidden="false" customHeight="false" outlineLevel="0" collapsed="false">
      <c r="B27" s="10" t="n">
        <v>3</v>
      </c>
      <c r="C27" s="16" t="n">
        <f aca="false">(Paramètres!$C$4/Paramètres!$C$7)*3</f>
        <v>12</v>
      </c>
      <c r="D27" s="16" t="n">
        <f aca="false">Paramètres!$C$8</f>
        <v>6</v>
      </c>
      <c r="E27" s="12" t="n">
        <v>4</v>
      </c>
      <c r="F27" s="16" t="n">
        <f aca="false">SUM($D$25:D27)-SUM($E$25:E27)</f>
        <v>14</v>
      </c>
      <c r="K27" s="12" t="n">
        <v>23</v>
      </c>
      <c r="L27" s="12" t="n">
        <v>8</v>
      </c>
      <c r="M27" s="12" t="n">
        <v>48</v>
      </c>
      <c r="N27" s="12"/>
      <c r="O27" s="12"/>
      <c r="P27" s="15"/>
      <c r="Q27" s="16" t="str">
        <f aca="false">IF(OR(N27="",K27=""),"",(N27*60+O27)-(L27*60+M27))</f>
        <v/>
      </c>
    </row>
    <row r="28" customFormat="false" ht="15" hidden="false" customHeight="false" outlineLevel="0" collapsed="false">
      <c r="B28" s="10" t="n">
        <v>4</v>
      </c>
      <c r="C28" s="16" t="n">
        <f aca="false">(Paramètres!$C$4/Paramètres!$C$7)*4</f>
        <v>16</v>
      </c>
      <c r="D28" s="16" t="n">
        <f aca="false">Paramètres!$C$8</f>
        <v>6</v>
      </c>
      <c r="E28" s="12" t="n">
        <v>7</v>
      </c>
      <c r="F28" s="16" t="n">
        <f aca="false">SUM($D$25:D28)-SUM($E$25:E28)</f>
        <v>13</v>
      </c>
      <c r="K28" s="12" t="n">
        <v>24</v>
      </c>
      <c r="L28" s="12" t="n">
        <v>9</v>
      </c>
      <c r="M28" s="12" t="n">
        <v>12</v>
      </c>
      <c r="N28" s="12"/>
      <c r="O28" s="12"/>
      <c r="P28" s="15"/>
      <c r="Q28" s="16" t="str">
        <f aca="false">IF(OR(N28="",K28=""),"",(N28*60+O28)-(L28*60+M28))</f>
        <v/>
      </c>
    </row>
    <row r="29" customFormat="false" ht="15" hidden="false" customHeight="false" outlineLevel="0" collapsed="false">
      <c r="B29" s="18" t="s">
        <v>99</v>
      </c>
      <c r="D29" s="19" t="n">
        <f aca="false">SUM(D25:D28)</f>
        <v>24</v>
      </c>
      <c r="E29" s="19" t="n">
        <f aca="false">SUM(E25:E28)</f>
        <v>11</v>
      </c>
      <c r="K29" s="12" t="n">
        <v>25</v>
      </c>
      <c r="L29" s="12" t="n">
        <v>9</v>
      </c>
      <c r="M29" s="12" t="n">
        <v>36</v>
      </c>
      <c r="N29" s="12"/>
      <c r="O29" s="12"/>
      <c r="P29" s="15"/>
      <c r="Q29" s="16" t="str">
        <f aca="false">IF(OR(N29="",K29=""),"",(N29*60+O29)-(L29*60+M29))</f>
        <v/>
      </c>
    </row>
    <row r="30" customFormat="false" ht="15" hidden="false" customHeight="false" outlineLevel="0" collapsed="false">
      <c r="K30" s="12" t="n">
        <v>26</v>
      </c>
      <c r="L30" s="12" t="n">
        <v>10</v>
      </c>
      <c r="M30" s="12" t="n">
        <v>0</v>
      </c>
      <c r="N30" s="12"/>
      <c r="O30" s="12"/>
      <c r="P30" s="15"/>
      <c r="Q30" s="16" t="str">
        <f aca="false">IF(OR(N30="",K30=""),"",(N30*60+O30)-(L30*60+M30))</f>
        <v/>
      </c>
    </row>
    <row r="31" customFormat="false" ht="15" hidden="false" customHeight="false" outlineLevel="0" collapsed="false">
      <c r="B31" s="17" t="s">
        <v>100</v>
      </c>
      <c r="C31" s="12" t="n">
        <v>0</v>
      </c>
      <c r="K31" s="12" t="n">
        <v>27</v>
      </c>
      <c r="L31" s="12" t="n">
        <v>10</v>
      </c>
      <c r="M31" s="12" t="n">
        <v>24</v>
      </c>
      <c r="N31" s="12"/>
      <c r="O31" s="12"/>
      <c r="P31" s="15"/>
      <c r="Q31" s="16" t="str">
        <f aca="false">IF(OR(N31="",K31=""),"",(N31*60+O31)-(L31*60+M31))</f>
        <v/>
      </c>
    </row>
    <row r="32" customFormat="false" ht="15" hidden="false" customHeight="false" outlineLevel="0" collapsed="false">
      <c r="K32" s="12" t="n">
        <v>28</v>
      </c>
      <c r="L32" s="12" t="n">
        <v>10</v>
      </c>
      <c r="M32" s="12" t="n">
        <v>48</v>
      </c>
      <c r="N32" s="12"/>
      <c r="O32" s="12"/>
      <c r="P32" s="15"/>
      <c r="Q32" s="16" t="str">
        <f aca="false">IF(OR(N32="",K32=""),"",(N32*60+O32)-(L32*60+M32))</f>
        <v/>
      </c>
    </row>
    <row r="33" customFormat="false" ht="15" hidden="false" customHeight="false" outlineLevel="0" collapsed="false">
      <c r="K33" s="12" t="n">
        <v>29</v>
      </c>
      <c r="L33" s="12" t="n">
        <v>11</v>
      </c>
      <c r="M33" s="12" t="n">
        <v>12</v>
      </c>
      <c r="N33" s="12"/>
      <c r="O33" s="12"/>
      <c r="P33" s="15"/>
      <c r="Q33" s="16" t="str">
        <f aca="false">IF(OR(N33="",K33=""),"",(N33*60+O33)-(L33*60+M33))</f>
        <v/>
      </c>
    </row>
    <row r="34" customFormat="false" ht="15" hidden="false" customHeight="false" outlineLevel="0" collapsed="false">
      <c r="B34" s="2" t="s">
        <v>101</v>
      </c>
      <c r="K34" s="12" t="n">
        <v>30</v>
      </c>
      <c r="L34" s="12" t="n">
        <v>11</v>
      </c>
      <c r="M34" s="12" t="n">
        <v>36</v>
      </c>
      <c r="N34" s="12"/>
      <c r="O34" s="12"/>
      <c r="P34" s="15"/>
      <c r="Q34" s="16" t="str">
        <f aca="false">IF(OR(N34="",K34=""),"",(N34*60+O34)-(L34*60+M34))</f>
        <v/>
      </c>
    </row>
    <row r="35" customFormat="false" ht="15" hidden="false" customHeight="false" outlineLevel="0" collapsed="false">
      <c r="B35" s="8" t="s">
        <v>102</v>
      </c>
      <c r="C35" s="8" t="s">
        <v>34</v>
      </c>
      <c r="D35" s="8" t="s">
        <v>103</v>
      </c>
      <c r="K35" s="12" t="n">
        <v>31</v>
      </c>
      <c r="L35" s="12" t="n">
        <v>12</v>
      </c>
      <c r="M35" s="12" t="n">
        <v>0</v>
      </c>
      <c r="N35" s="12"/>
      <c r="O35" s="12"/>
      <c r="P35" s="15"/>
      <c r="Q35" s="16" t="str">
        <f aca="false">IF(OR(N35="",K35=""),"",(N35*60+O35)-(L35*60+M35))</f>
        <v/>
      </c>
    </row>
    <row r="36" customFormat="false" ht="15" hidden="false" customHeight="false" outlineLevel="0" collapsed="false">
      <c r="B36" s="9" t="s">
        <v>104</v>
      </c>
      <c r="C36" s="20" t="n">
        <f aca="false">COUNT(K5:K49)</f>
        <v>40</v>
      </c>
      <c r="D36" s="21" t="s">
        <v>105</v>
      </c>
      <c r="K36" s="12" t="n">
        <v>32</v>
      </c>
      <c r="L36" s="12" t="n">
        <v>12</v>
      </c>
      <c r="M36" s="12" t="n">
        <v>24</v>
      </c>
      <c r="N36" s="12"/>
      <c r="O36" s="12"/>
      <c r="P36" s="15"/>
      <c r="Q36" s="16" t="str">
        <f aca="false">IF(OR(N36="",K36=""),"",(N36*60+O36)-(L36*60+M36))</f>
        <v/>
      </c>
    </row>
    <row r="37" customFormat="false" ht="15" hidden="false" customHeight="false" outlineLevel="0" collapsed="false">
      <c r="B37" s="9" t="s">
        <v>106</v>
      </c>
      <c r="C37" s="20" t="n">
        <f aca="false">COUNT(Q5:Q49)</f>
        <v>15</v>
      </c>
      <c r="D37" s="21" t="s">
        <v>105</v>
      </c>
      <c r="K37" s="12" t="n">
        <v>33</v>
      </c>
      <c r="L37" s="12" t="n">
        <v>12</v>
      </c>
      <c r="M37" s="12" t="n">
        <v>48</v>
      </c>
      <c r="N37" s="12"/>
      <c r="O37" s="12"/>
      <c r="P37" s="15"/>
      <c r="Q37" s="16" t="str">
        <f aca="false">IF(OR(N37="",K37=""),"",(N37*60+O37)-(L37*60+M37))</f>
        <v/>
      </c>
    </row>
    <row r="38" customFormat="false" ht="15" hidden="false" customHeight="false" outlineLevel="0" collapsed="false">
      <c r="B38" s="9" t="s">
        <v>107</v>
      </c>
      <c r="C38" s="20" t="n">
        <f aca="false">COUNTIFS(P5:P49,"O",Q5:Q49,"&gt;=0")</f>
        <v>11</v>
      </c>
      <c r="D38" s="21" t="s">
        <v>105</v>
      </c>
      <c r="K38" s="12" t="n">
        <v>34</v>
      </c>
      <c r="L38" s="12" t="n">
        <v>13</v>
      </c>
      <c r="M38" s="12" t="n">
        <v>12</v>
      </c>
      <c r="N38" s="12"/>
      <c r="O38" s="12"/>
      <c r="P38" s="15"/>
      <c r="Q38" s="16" t="str">
        <f aca="false">IF(OR(N38="",K38=""),"",(N38*60+O38)-(L38*60+M38))</f>
        <v/>
      </c>
    </row>
    <row r="39" customFormat="false" ht="15" hidden="false" customHeight="false" outlineLevel="0" collapsed="false">
      <c r="B39" s="9" t="s">
        <v>108</v>
      </c>
      <c r="C39" s="22" t="n">
        <f aca="false">IFERROR(C38/C37,"")</f>
        <v>0.733333333333333</v>
      </c>
      <c r="D39" s="21"/>
      <c r="K39" s="12" t="n">
        <v>35</v>
      </c>
      <c r="L39" s="12" t="n">
        <v>13</v>
      </c>
      <c r="M39" s="12" t="n">
        <v>36</v>
      </c>
      <c r="N39" s="12"/>
      <c r="O39" s="12"/>
      <c r="P39" s="15"/>
      <c r="Q39" s="16" t="str">
        <f aca="false">IF(OR(N39="",K39=""),"",(N39*60+O39)-(L39*60+M39))</f>
        <v/>
      </c>
    </row>
    <row r="40" customFormat="false" ht="15" hidden="false" customHeight="false" outlineLevel="0" collapsed="false">
      <c r="B40" s="9" t="s">
        <v>109</v>
      </c>
      <c r="C40" s="20" t="n">
        <f aca="false">C20</f>
        <v>26</v>
      </c>
      <c r="D40" s="21" t="s">
        <v>105</v>
      </c>
      <c r="K40" s="12" t="n">
        <v>36</v>
      </c>
      <c r="L40" s="12" t="n">
        <v>14</v>
      </c>
      <c r="M40" s="12" t="n">
        <v>0</v>
      </c>
      <c r="N40" s="12"/>
      <c r="O40" s="12"/>
      <c r="P40" s="15"/>
      <c r="Q40" s="16" t="str">
        <f aca="false">IF(OR(N40="",K40=""),"",(N40*60+O40)-(L40*60+M40))</f>
        <v/>
      </c>
    </row>
    <row r="41" customFormat="false" ht="15" hidden="false" customHeight="false" outlineLevel="0" collapsed="false">
      <c r="B41" s="9" t="s">
        <v>110</v>
      </c>
      <c r="C41" s="20" t="n">
        <f aca="false">IFERROR(AVERAGE(Q5:Q49),"")</f>
        <v>605.666666666667</v>
      </c>
      <c r="D41" s="21" t="s">
        <v>111</v>
      </c>
      <c r="K41" s="12" t="n">
        <v>37</v>
      </c>
      <c r="L41" s="12" t="n">
        <v>14</v>
      </c>
      <c r="M41" s="12" t="n">
        <v>24</v>
      </c>
      <c r="N41" s="12"/>
      <c r="O41" s="12"/>
      <c r="P41" s="15"/>
      <c r="Q41" s="16" t="str">
        <f aca="false">IF(OR(N41="",K41=""),"",(N41*60+O41)-(L41*60+M41))</f>
        <v/>
      </c>
    </row>
    <row r="42" customFormat="false" ht="15" hidden="false" customHeight="false" outlineLevel="0" collapsed="false">
      <c r="B42" s="9" t="s">
        <v>112</v>
      </c>
      <c r="C42" s="20" t="n">
        <f aca="false">IFERROR(MEDIAN(Q5:Q49),"")</f>
        <v>613</v>
      </c>
      <c r="D42" s="21" t="s">
        <v>111</v>
      </c>
      <c r="K42" s="12" t="n">
        <v>38</v>
      </c>
      <c r="L42" s="12" t="n">
        <v>14</v>
      </c>
      <c r="M42" s="12" t="n">
        <v>48</v>
      </c>
      <c r="N42" s="12"/>
      <c r="O42" s="12"/>
      <c r="P42" s="15"/>
      <c r="Q42" s="16" t="str">
        <f aca="false">IF(OR(N42="",K42=""),"",(N42*60+O42)-(L42*60+M42))</f>
        <v/>
      </c>
    </row>
    <row r="43" customFormat="false" ht="15" hidden="false" customHeight="false" outlineLevel="0" collapsed="false">
      <c r="B43" s="9" t="s">
        <v>113</v>
      </c>
      <c r="C43" s="20" t="n">
        <f aca="false">IFERROR(MIN(Q5:Q49),"")</f>
        <v>531</v>
      </c>
      <c r="D43" s="21" t="s">
        <v>111</v>
      </c>
      <c r="K43" s="12" t="n">
        <v>39</v>
      </c>
      <c r="L43" s="12" t="n">
        <v>15</v>
      </c>
      <c r="M43" s="12" t="n">
        <v>12</v>
      </c>
      <c r="N43" s="12"/>
      <c r="O43" s="12"/>
      <c r="P43" s="15"/>
      <c r="Q43" s="16" t="str">
        <f aca="false">IF(OR(N43="",K43=""),"",(N43*60+O43)-(L43*60+M43))</f>
        <v/>
      </c>
    </row>
    <row r="44" customFormat="false" ht="15" hidden="false" customHeight="false" outlineLevel="0" collapsed="false">
      <c r="B44" s="9" t="s">
        <v>114</v>
      </c>
      <c r="C44" s="20" t="n">
        <f aca="false">IFERROR(MAX(Q5:Q49),"")</f>
        <v>673</v>
      </c>
      <c r="D44" s="21" t="s">
        <v>111</v>
      </c>
      <c r="K44" s="12" t="n">
        <v>40</v>
      </c>
      <c r="L44" s="12" t="n">
        <v>15</v>
      </c>
      <c r="M44" s="12" t="n">
        <v>36</v>
      </c>
      <c r="N44" s="12"/>
      <c r="O44" s="12"/>
      <c r="P44" s="15"/>
      <c r="Q44" s="16" t="str">
        <f aca="false">IF(OR(N44="",K44=""),"",(N44*60+O44)-(L44*60+M44))</f>
        <v/>
      </c>
    </row>
    <row r="45" customFormat="false" ht="15" hidden="false" customHeight="false" outlineLevel="0" collapsed="false">
      <c r="B45" s="9" t="s">
        <v>115</v>
      </c>
      <c r="C45" s="23" t="n">
        <f aca="false">IFERROR(C37/Paramètres!$C$4,"")</f>
        <v>0.9375</v>
      </c>
      <c r="D45" s="21" t="s">
        <v>116</v>
      </c>
      <c r="K45" s="12"/>
      <c r="L45" s="12"/>
      <c r="M45" s="12"/>
      <c r="N45" s="12"/>
      <c r="O45" s="12"/>
      <c r="P45" s="15"/>
      <c r="Q45" s="16" t="str">
        <f aca="false">IF(OR(N45="",K45=""),"",(N45*60+O45)-(L45*60+M45))</f>
        <v/>
      </c>
    </row>
    <row r="46" customFormat="false" ht="15" hidden="false" customHeight="false" outlineLevel="0" collapsed="false">
      <c r="B46" s="9" t="s">
        <v>117</v>
      </c>
      <c r="C46" s="13" t="n">
        <f aca="false">IFERROR(Paramètres!$C$5/C37,"")</f>
        <v>64</v>
      </c>
      <c r="D46" s="21" t="s">
        <v>111</v>
      </c>
      <c r="K46" s="12"/>
      <c r="L46" s="12"/>
      <c r="M46" s="12"/>
      <c r="N46" s="12"/>
      <c r="O46" s="12"/>
      <c r="P46" s="15"/>
      <c r="Q46" s="16" t="str">
        <f aca="false">IF(OR(N46="",K46=""),"",(N46*60+O46)-(L46*60+M46))</f>
        <v/>
      </c>
    </row>
    <row r="47" customFormat="false" ht="15" hidden="false" customHeight="false" outlineLevel="0" collapsed="false">
      <c r="B47" s="9" t="s">
        <v>118</v>
      </c>
      <c r="C47" s="13" t="n">
        <f aca="false">Paramètres!$C$9</f>
        <v>40</v>
      </c>
      <c r="D47" s="21" t="s">
        <v>111</v>
      </c>
      <c r="K47" s="12"/>
      <c r="L47" s="12"/>
      <c r="M47" s="12"/>
      <c r="N47" s="12"/>
      <c r="O47" s="12"/>
      <c r="P47" s="15"/>
      <c r="Q47" s="16" t="str">
        <f aca="false">IF(OR(N47="",K47=""),"",(N47*60+O47)-(L47*60+M47))</f>
        <v/>
      </c>
    </row>
    <row r="48" customFormat="false" ht="15" hidden="false" customHeight="false" outlineLevel="0" collapsed="false">
      <c r="B48" s="9" t="s">
        <v>119</v>
      </c>
      <c r="C48" s="22" t="n">
        <f aca="false">IFERROR(H9/C41,"")</f>
        <v>0.189873417721519</v>
      </c>
      <c r="D48" s="21"/>
      <c r="K48" s="12"/>
      <c r="L48" s="12"/>
      <c r="M48" s="12"/>
      <c r="N48" s="12"/>
      <c r="O48" s="12"/>
      <c r="P48" s="15"/>
      <c r="Q48" s="16" t="str">
        <f aca="false">IF(OR(N48="",K48=""),"",(N48*60+O48)-(L48*60+M48))</f>
        <v/>
      </c>
    </row>
    <row r="49" customFormat="false" ht="15" hidden="false" customHeight="false" outlineLevel="0" collapsed="false">
      <c r="B49" s="9" t="s">
        <v>120</v>
      </c>
      <c r="C49" s="22" t="n">
        <f aca="false">IFERROR(E29/D29,"")</f>
        <v>0.458333333333333</v>
      </c>
      <c r="D49" s="21"/>
      <c r="K49" s="12"/>
      <c r="L49" s="12"/>
      <c r="M49" s="12"/>
      <c r="N49" s="12"/>
      <c r="O49" s="12"/>
      <c r="P49" s="15"/>
      <c r="Q49" s="16" t="str">
        <f aca="false">IF(OR(N49="",K49=""),"",(N49*60+O49)-(L49*60+M49))</f>
        <v/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0"/>
    <col collapsed="false" customWidth="true" hidden="false" outlineLevel="0" max="9" min="8" style="0" width="13"/>
    <col collapsed="false" customWidth="true" hidden="false" outlineLevel="0" max="10" min="10" style="0" width="4"/>
    <col collapsed="false" customWidth="true" hidden="false" outlineLevel="0" max="11" min="11" style="0" width="20"/>
    <col collapsed="false" customWidth="true" hidden="false" outlineLevel="0" max="14" min="12" style="0" width="14"/>
  </cols>
  <sheetData>
    <row r="1" customFormat="false" ht="25.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1" t="s">
        <v>57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B3" s="2" t="s">
        <v>58</v>
      </c>
      <c r="K3" s="2" t="s">
        <v>59</v>
      </c>
    </row>
    <row r="4" customFormat="false" ht="15" hidden="false" customHeight="false" outlineLevel="0" collapsed="false">
      <c r="B4" s="8" t="s">
        <v>60</v>
      </c>
      <c r="C4" s="8" t="s">
        <v>61</v>
      </c>
      <c r="D4" s="8" t="s">
        <v>62</v>
      </c>
      <c r="E4" s="8" t="s">
        <v>63</v>
      </c>
      <c r="F4" s="8" t="s">
        <v>64</v>
      </c>
      <c r="G4" s="8" t="s">
        <v>65</v>
      </c>
      <c r="H4" s="8" t="s">
        <v>66</v>
      </c>
      <c r="I4" s="8" t="s">
        <v>67</v>
      </c>
      <c r="K4" s="8" t="s">
        <v>68</v>
      </c>
      <c r="L4" s="8" t="s">
        <v>69</v>
      </c>
      <c r="M4" s="8" t="s">
        <v>70</v>
      </c>
      <c r="N4" s="8" t="s">
        <v>71</v>
      </c>
      <c r="O4" s="8" t="s">
        <v>72</v>
      </c>
      <c r="P4" s="8" t="s">
        <v>73</v>
      </c>
      <c r="Q4" s="8" t="s">
        <v>74</v>
      </c>
    </row>
    <row r="5" customFormat="false" ht="15" hidden="false" customHeight="false" outlineLevel="0" collapsed="false">
      <c r="B5" s="10" t="s">
        <v>75</v>
      </c>
      <c r="C5" s="12" t="n">
        <v>24</v>
      </c>
      <c r="D5" s="12" t="n">
        <v>26</v>
      </c>
      <c r="E5" s="12" t="n">
        <v>25</v>
      </c>
      <c r="F5" s="12" t="n">
        <v>27</v>
      </c>
      <c r="G5" s="12" t="n">
        <v>25</v>
      </c>
      <c r="H5" s="13" t="n">
        <f aca="false">IF(COUNT(C5:G5)=0,"",MEDIAN(C5:G5))</f>
        <v>25</v>
      </c>
      <c r="I5" s="14" t="n">
        <f aca="false">IF(H5="","",H5-Paramètres!$C$9)</f>
        <v>-15</v>
      </c>
      <c r="K5" s="12" t="n">
        <v>1</v>
      </c>
      <c r="L5" s="12" t="n">
        <v>0</v>
      </c>
      <c r="M5" s="12" t="n">
        <v>0</v>
      </c>
      <c r="N5" s="12" t="n">
        <v>1</v>
      </c>
      <c r="O5" s="12" t="n">
        <v>54</v>
      </c>
      <c r="P5" s="15" t="s">
        <v>78</v>
      </c>
      <c r="Q5" s="16" t="n">
        <f aca="false">IF(OR(N5="",K5=""),"",(N5*60+O5)-(L5*60+M5))</f>
        <v>114</v>
      </c>
    </row>
    <row r="6" customFormat="false" ht="15" hidden="false" customHeight="false" outlineLevel="0" collapsed="false">
      <c r="B6" s="10" t="s">
        <v>77</v>
      </c>
      <c r="C6" s="12" t="n">
        <v>29</v>
      </c>
      <c r="D6" s="12" t="n">
        <v>31</v>
      </c>
      <c r="E6" s="12" t="n">
        <v>30</v>
      </c>
      <c r="F6" s="12" t="n">
        <v>32</v>
      </c>
      <c r="G6" s="12" t="n">
        <v>30</v>
      </c>
      <c r="H6" s="13" t="n">
        <f aca="false">IF(COUNT(C6:G6)=0,"",MEDIAN(C6:G6))</f>
        <v>30</v>
      </c>
      <c r="I6" s="14" t="n">
        <f aca="false">IF(H6="","",H6-Paramètres!$C$9)</f>
        <v>-10</v>
      </c>
      <c r="K6" s="12" t="n">
        <v>2</v>
      </c>
      <c r="L6" s="12" t="n">
        <v>0</v>
      </c>
      <c r="M6" s="12" t="n">
        <v>0</v>
      </c>
      <c r="N6" s="12" t="n">
        <v>2</v>
      </c>
      <c r="O6" s="12" t="n">
        <v>38</v>
      </c>
      <c r="P6" s="15" t="s">
        <v>78</v>
      </c>
      <c r="Q6" s="16" t="n">
        <f aca="false">IF(OR(N6="",K6=""),"",(N6*60+O6)-(L6*60+M6))</f>
        <v>158</v>
      </c>
    </row>
    <row r="7" customFormat="false" ht="15" hidden="false" customHeight="false" outlineLevel="0" collapsed="false">
      <c r="B7" s="10" t="s">
        <v>79</v>
      </c>
      <c r="C7" s="12" t="n">
        <v>34</v>
      </c>
      <c r="D7" s="12" t="n">
        <v>36</v>
      </c>
      <c r="E7" s="12" t="n">
        <v>35</v>
      </c>
      <c r="F7" s="12" t="n">
        <v>37</v>
      </c>
      <c r="G7" s="12" t="n">
        <v>35</v>
      </c>
      <c r="H7" s="13" t="n">
        <f aca="false">IF(COUNT(C7:G7)=0,"",MEDIAN(C7:G7))</f>
        <v>35</v>
      </c>
      <c r="I7" s="14" t="n">
        <f aca="false">IF(H7="","",H7-Paramètres!$C$9)</f>
        <v>-5</v>
      </c>
      <c r="K7" s="12" t="n">
        <v>3</v>
      </c>
      <c r="L7" s="12" t="n">
        <v>0</v>
      </c>
      <c r="M7" s="12" t="n">
        <v>0</v>
      </c>
      <c r="N7" s="12" t="n">
        <v>3</v>
      </c>
      <c r="O7" s="12" t="n">
        <v>14</v>
      </c>
      <c r="P7" s="15" t="s">
        <v>76</v>
      </c>
      <c r="Q7" s="16" t="n">
        <f aca="false">IF(OR(N7="",K7=""),"",(N7*60+O7)-(L7*60+M7))</f>
        <v>194</v>
      </c>
    </row>
    <row r="8" customFormat="false" ht="15" hidden="false" customHeight="false" outlineLevel="0" collapsed="false">
      <c r="B8" s="10" t="s">
        <v>80</v>
      </c>
      <c r="C8" s="12" t="n">
        <v>24</v>
      </c>
      <c r="D8" s="12" t="n">
        <v>26</v>
      </c>
      <c r="E8" s="12" t="n">
        <v>25</v>
      </c>
      <c r="F8" s="12" t="n">
        <v>26</v>
      </c>
      <c r="G8" s="12" t="n">
        <v>25</v>
      </c>
      <c r="H8" s="13" t="n">
        <f aca="false">IF(COUNT(C8:G8)=0,"",MEDIAN(C8:G8))</f>
        <v>25</v>
      </c>
      <c r="I8" s="14" t="n">
        <f aca="false">IF(H8="","",H8-Paramètres!$C$9)</f>
        <v>-15</v>
      </c>
      <c r="K8" s="12" t="n">
        <v>4</v>
      </c>
      <c r="L8" s="12" t="n">
        <v>0</v>
      </c>
      <c r="M8" s="12" t="n">
        <v>0</v>
      </c>
      <c r="N8" s="12" t="n">
        <v>3</v>
      </c>
      <c r="O8" s="12" t="n">
        <v>53</v>
      </c>
      <c r="P8" s="15" t="s">
        <v>76</v>
      </c>
      <c r="Q8" s="16" t="n">
        <f aca="false">IF(OR(N8="",K8=""),"",(N8*60+O8)-(L8*60+M8))</f>
        <v>233</v>
      </c>
    </row>
    <row r="9" customFormat="false" ht="15" hidden="false" customHeight="false" outlineLevel="0" collapsed="false">
      <c r="B9" s="17" t="s">
        <v>81</v>
      </c>
      <c r="H9" s="13" t="n">
        <f aca="false">IF(COUNT(H5:H8)=0,"",SUM(H5:H8))</f>
        <v>115</v>
      </c>
      <c r="K9" s="12" t="n">
        <v>5</v>
      </c>
      <c r="L9" s="12" t="n">
        <v>0</v>
      </c>
      <c r="M9" s="12" t="n">
        <v>0</v>
      </c>
      <c r="N9" s="12" t="n">
        <v>4</v>
      </c>
      <c r="O9" s="12" t="n">
        <v>19</v>
      </c>
      <c r="P9" s="15" t="s">
        <v>78</v>
      </c>
      <c r="Q9" s="16" t="n">
        <f aca="false">IF(OR(N9="",K9=""),"",(N9*60+O9)-(L9*60+M9))</f>
        <v>259</v>
      </c>
    </row>
    <row r="10" customFormat="false" ht="15" hidden="false" customHeight="false" outlineLevel="0" collapsed="false">
      <c r="B10" s="17" t="s">
        <v>82</v>
      </c>
      <c r="H10" s="13" t="n">
        <f aca="false">IF(COUNT(H5:H8)=0,"",MAX(H5:H8))</f>
        <v>35</v>
      </c>
      <c r="K10" s="12" t="n">
        <v>6</v>
      </c>
      <c r="L10" s="12" t="n">
        <v>0</v>
      </c>
      <c r="M10" s="12" t="n">
        <v>0</v>
      </c>
      <c r="N10" s="12" t="n">
        <v>4</v>
      </c>
      <c r="O10" s="12" t="n">
        <v>56</v>
      </c>
      <c r="P10" s="15" t="s">
        <v>78</v>
      </c>
      <c r="Q10" s="16" t="n">
        <f aca="false">IF(OR(N10="",K10=""),"",(N10*60+O10)-(L10*60+M10))</f>
        <v>296</v>
      </c>
    </row>
    <row r="11" customFormat="false" ht="15" hidden="false" customHeight="false" outlineLevel="0" collapsed="false">
      <c r="B11" s="17" t="s">
        <v>83</v>
      </c>
      <c r="H11" s="13" t="n">
        <f aca="false">IF(COUNT(H5:H8)=0,"",MAX(H5:H8)-MIN(H5:H8))</f>
        <v>10</v>
      </c>
      <c r="K11" s="12" t="n">
        <v>7</v>
      </c>
      <c r="L11" s="12" t="n">
        <v>1</v>
      </c>
      <c r="M11" s="12" t="n">
        <v>54</v>
      </c>
      <c r="N11" s="12" t="n">
        <v>5</v>
      </c>
      <c r="O11" s="12" t="n">
        <v>37</v>
      </c>
      <c r="P11" s="15" t="s">
        <v>78</v>
      </c>
      <c r="Q11" s="16" t="n">
        <f aca="false">IF(OR(N11="",K11=""),"",(N11*60+O11)-(L11*60+M11))</f>
        <v>223</v>
      </c>
    </row>
    <row r="12" customFormat="false" ht="15" hidden="false" customHeight="false" outlineLevel="0" collapsed="false">
      <c r="K12" s="12" t="n">
        <v>8</v>
      </c>
      <c r="L12" s="12" t="n">
        <v>2</v>
      </c>
      <c r="M12" s="12" t="n">
        <v>38</v>
      </c>
      <c r="N12" s="12" t="n">
        <v>5</v>
      </c>
      <c r="O12" s="12" t="n">
        <v>59</v>
      </c>
      <c r="P12" s="15" t="s">
        <v>78</v>
      </c>
      <c r="Q12" s="16" t="n">
        <f aca="false">IF(OR(N12="",K12=""),"",(N12*60+O12)-(L12*60+M12))</f>
        <v>201</v>
      </c>
    </row>
    <row r="13" customFormat="false" ht="15" hidden="false" customHeight="false" outlineLevel="0" collapsed="false">
      <c r="B13" s="2" t="s">
        <v>84</v>
      </c>
      <c r="K13" s="12" t="n">
        <v>9</v>
      </c>
      <c r="L13" s="12" t="n">
        <v>3</v>
      </c>
      <c r="M13" s="12" t="n">
        <v>14</v>
      </c>
      <c r="N13" s="12" t="n">
        <v>6</v>
      </c>
      <c r="O13" s="12" t="n">
        <v>41</v>
      </c>
      <c r="P13" s="15" t="s">
        <v>78</v>
      </c>
      <c r="Q13" s="16" t="n">
        <f aca="false">IF(OR(N13="",K13=""),"",(N13*60+O13)-(L13*60+M13))</f>
        <v>207</v>
      </c>
    </row>
    <row r="14" customFormat="false" ht="15" hidden="false" customHeight="false" outlineLevel="0" collapsed="false">
      <c r="B14" s="8" t="s">
        <v>85</v>
      </c>
      <c r="C14" s="8" t="s">
        <v>86</v>
      </c>
      <c r="K14" s="12" t="n">
        <v>10</v>
      </c>
      <c r="L14" s="12" t="n">
        <v>3</v>
      </c>
      <c r="M14" s="12" t="n">
        <v>53</v>
      </c>
      <c r="N14" s="12" t="n">
        <v>7</v>
      </c>
      <c r="O14" s="12" t="n">
        <v>17</v>
      </c>
      <c r="P14" s="15" t="s">
        <v>78</v>
      </c>
      <c r="Q14" s="16" t="n">
        <f aca="false">IF(OR(N14="",K14=""),"",(N14*60+O14)-(L14*60+M14))</f>
        <v>204</v>
      </c>
    </row>
    <row r="15" customFormat="false" ht="15" hidden="false" customHeight="false" outlineLevel="0" collapsed="false">
      <c r="B15" s="9" t="s">
        <v>87</v>
      </c>
      <c r="C15" s="12" t="n">
        <v>0</v>
      </c>
      <c r="K15" s="12" t="n">
        <v>11</v>
      </c>
      <c r="L15" s="12" t="n">
        <v>4</v>
      </c>
      <c r="M15" s="12" t="n">
        <v>19</v>
      </c>
      <c r="N15" s="12" t="n">
        <v>7</v>
      </c>
      <c r="O15" s="12" t="n">
        <v>44</v>
      </c>
      <c r="P15" s="15" t="s">
        <v>78</v>
      </c>
      <c r="Q15" s="16" t="n">
        <f aca="false">IF(OR(N15="",K15=""),"",(N15*60+O15)-(L15*60+M15))</f>
        <v>205</v>
      </c>
    </row>
    <row r="16" customFormat="false" ht="15" hidden="false" customHeight="false" outlineLevel="0" collapsed="false">
      <c r="B16" s="9" t="s">
        <v>88</v>
      </c>
      <c r="C16" s="12" t="n">
        <v>2</v>
      </c>
      <c r="K16" s="12" t="n">
        <v>12</v>
      </c>
      <c r="L16" s="12" t="n">
        <v>4</v>
      </c>
      <c r="M16" s="12" t="n">
        <v>56</v>
      </c>
      <c r="N16" s="12" t="n">
        <v>8</v>
      </c>
      <c r="O16" s="12" t="n">
        <v>13</v>
      </c>
      <c r="P16" s="15" t="s">
        <v>78</v>
      </c>
      <c r="Q16" s="16" t="n">
        <f aca="false">IF(OR(N16="",K16=""),"",(N16*60+O16)-(L16*60+M16))</f>
        <v>197</v>
      </c>
    </row>
    <row r="17" customFormat="false" ht="15" hidden="false" customHeight="false" outlineLevel="0" collapsed="false">
      <c r="B17" s="9" t="s">
        <v>89</v>
      </c>
      <c r="C17" s="12" t="n">
        <v>2</v>
      </c>
      <c r="K17" s="12" t="n">
        <v>13</v>
      </c>
      <c r="L17" s="12" t="n">
        <v>5</v>
      </c>
      <c r="M17" s="12" t="n">
        <v>37</v>
      </c>
      <c r="N17" s="12" t="n">
        <v>8</v>
      </c>
      <c r="O17" s="12" t="n">
        <v>52</v>
      </c>
      <c r="P17" s="15" t="s">
        <v>78</v>
      </c>
      <c r="Q17" s="16" t="n">
        <f aca="false">IF(OR(N17="",K17=""),"",(N17*60+O17)-(L17*60+M17))</f>
        <v>195</v>
      </c>
    </row>
    <row r="18" customFormat="false" ht="15" hidden="false" customHeight="false" outlineLevel="0" collapsed="false">
      <c r="B18" s="9" t="s">
        <v>90</v>
      </c>
      <c r="C18" s="12" t="n">
        <v>1</v>
      </c>
      <c r="K18" s="12" t="n">
        <v>14</v>
      </c>
      <c r="L18" s="12" t="n">
        <v>5</v>
      </c>
      <c r="M18" s="12" t="n">
        <v>59</v>
      </c>
      <c r="N18" s="12" t="n">
        <v>9</v>
      </c>
      <c r="O18" s="12" t="n">
        <v>34</v>
      </c>
      <c r="P18" s="15" t="s">
        <v>78</v>
      </c>
      <c r="Q18" s="16" t="n">
        <f aca="false">IF(OR(N18="",K18=""),"",(N18*60+O18)-(L18*60+M18))</f>
        <v>215</v>
      </c>
    </row>
    <row r="19" customFormat="false" ht="15" hidden="false" customHeight="false" outlineLevel="0" collapsed="false">
      <c r="B19" s="9" t="s">
        <v>91</v>
      </c>
      <c r="C19" s="12" t="n">
        <v>1</v>
      </c>
      <c r="K19" s="12" t="n">
        <v>15</v>
      </c>
      <c r="L19" s="12" t="n">
        <v>6</v>
      </c>
      <c r="M19" s="12" t="n">
        <v>41</v>
      </c>
      <c r="N19" s="12" t="n">
        <v>10</v>
      </c>
      <c r="O19" s="12" t="n">
        <v>1</v>
      </c>
      <c r="P19" s="15" t="s">
        <v>78</v>
      </c>
      <c r="Q19" s="16" t="n">
        <f aca="false">IF(OR(N19="",K19=""),"",(N19*60+O19)-(L19*60+M19))</f>
        <v>200</v>
      </c>
    </row>
    <row r="20" customFormat="false" ht="15" hidden="false" customHeight="false" outlineLevel="0" collapsed="false">
      <c r="B20" s="18" t="s">
        <v>92</v>
      </c>
      <c r="C20" s="19" t="n">
        <f aca="false">SUM(C15:C19)</f>
        <v>6</v>
      </c>
      <c r="K20" s="12" t="n">
        <v>16</v>
      </c>
      <c r="L20" s="12" t="n">
        <v>7</v>
      </c>
      <c r="M20" s="12" t="n">
        <v>17</v>
      </c>
      <c r="N20" s="12" t="n">
        <v>10</v>
      </c>
      <c r="O20" s="12" t="n">
        <v>34</v>
      </c>
      <c r="P20" s="15" t="s">
        <v>78</v>
      </c>
      <c r="Q20" s="16" t="n">
        <f aca="false">IF(OR(N20="",K20=""),"",(N20*60+O20)-(L20*60+M20))</f>
        <v>197</v>
      </c>
    </row>
    <row r="21" customFormat="false" ht="15" hidden="false" customHeight="false" outlineLevel="0" collapsed="false">
      <c r="K21" s="12" t="n">
        <v>17</v>
      </c>
      <c r="L21" s="12" t="n">
        <v>7</v>
      </c>
      <c r="M21" s="12" t="n">
        <v>44</v>
      </c>
      <c r="N21" s="12" t="n">
        <v>11</v>
      </c>
      <c r="O21" s="12" t="n">
        <v>13</v>
      </c>
      <c r="P21" s="15" t="s">
        <v>78</v>
      </c>
      <c r="Q21" s="16" t="n">
        <f aca="false">IF(OR(N21="",K21=""),"",(N21*60+O21)-(L21*60+M21))</f>
        <v>209</v>
      </c>
    </row>
    <row r="22" customFormat="false" ht="15" hidden="false" customHeight="false" outlineLevel="0" collapsed="false">
      <c r="K22" s="12" t="n">
        <v>18</v>
      </c>
      <c r="L22" s="12" t="n">
        <v>8</v>
      </c>
      <c r="M22" s="12" t="n">
        <v>13</v>
      </c>
      <c r="N22" s="12" t="n">
        <v>12</v>
      </c>
      <c r="O22" s="12" t="n">
        <v>5</v>
      </c>
      <c r="P22" s="15" t="s">
        <v>78</v>
      </c>
      <c r="Q22" s="16" t="n">
        <f aca="false">IF(OR(N22="",K22=""),"",(N22*60+O22)-(L22*60+M22))</f>
        <v>232</v>
      </c>
    </row>
    <row r="23" customFormat="false" ht="15" hidden="false" customHeight="false" outlineLevel="0" collapsed="false">
      <c r="B23" s="2" t="s">
        <v>93</v>
      </c>
      <c r="K23" s="12" t="n">
        <v>19</v>
      </c>
      <c r="L23" s="12" t="n">
        <v>8</v>
      </c>
      <c r="M23" s="12" t="n">
        <v>52</v>
      </c>
      <c r="N23" s="12" t="n">
        <v>12</v>
      </c>
      <c r="O23" s="12" t="n">
        <v>37</v>
      </c>
      <c r="P23" s="15" t="s">
        <v>78</v>
      </c>
      <c r="Q23" s="16" t="n">
        <f aca="false">IF(OR(N23="",K23=""),"",(N23*60+O23)-(L23*60+M23))</f>
        <v>225</v>
      </c>
    </row>
    <row r="24" customFormat="false" ht="15" hidden="false" customHeight="false" outlineLevel="0" collapsed="false">
      <c r="B24" s="8" t="s">
        <v>94</v>
      </c>
      <c r="C24" s="8" t="s">
        <v>95</v>
      </c>
      <c r="D24" s="8" t="s">
        <v>96</v>
      </c>
      <c r="E24" s="8" t="s">
        <v>97</v>
      </c>
      <c r="F24" s="8" t="s">
        <v>98</v>
      </c>
      <c r="K24" s="12" t="n">
        <v>20</v>
      </c>
      <c r="L24" s="12" t="n">
        <v>9</v>
      </c>
      <c r="M24" s="12" t="n">
        <v>34</v>
      </c>
      <c r="N24" s="12" t="n">
        <v>13</v>
      </c>
      <c r="O24" s="12" t="n">
        <v>21</v>
      </c>
      <c r="P24" s="15" t="s">
        <v>78</v>
      </c>
      <c r="Q24" s="16" t="n">
        <f aca="false">IF(OR(N24="",K24=""),"",(N24*60+O24)-(L24*60+M24))</f>
        <v>227</v>
      </c>
    </row>
    <row r="25" customFormat="false" ht="15" hidden="false" customHeight="false" outlineLevel="0" collapsed="false">
      <c r="B25" s="10" t="n">
        <v>1</v>
      </c>
      <c r="C25" s="16" t="n">
        <f aca="false">(Paramètres!$C$4/Paramètres!$C$7)*1</f>
        <v>4</v>
      </c>
      <c r="D25" s="16" t="n">
        <f aca="false">Paramètres!$C$8</f>
        <v>6</v>
      </c>
      <c r="E25" s="12" t="n">
        <v>2</v>
      </c>
      <c r="F25" s="16" t="n">
        <f aca="false">SUM($D$25:D25)-SUM($E$25:E25)</f>
        <v>4</v>
      </c>
      <c r="K25" s="12" t="n">
        <v>21</v>
      </c>
      <c r="L25" s="12" t="n">
        <v>10</v>
      </c>
      <c r="M25" s="12" t="n">
        <v>1</v>
      </c>
      <c r="N25" s="12" t="n">
        <v>14</v>
      </c>
      <c r="O25" s="12" t="n">
        <v>6</v>
      </c>
      <c r="P25" s="15" t="s">
        <v>76</v>
      </c>
      <c r="Q25" s="16" t="n">
        <f aca="false">IF(OR(N25="",K25=""),"",(N25*60+O25)-(L25*60+M25))</f>
        <v>245</v>
      </c>
    </row>
    <row r="26" customFormat="false" ht="15" hidden="false" customHeight="false" outlineLevel="0" collapsed="false">
      <c r="B26" s="10" t="n">
        <v>2</v>
      </c>
      <c r="C26" s="16" t="n">
        <f aca="false">(Paramètres!$C$4/Paramètres!$C$7)*2</f>
        <v>8</v>
      </c>
      <c r="D26" s="16" t="n">
        <f aca="false">Paramètres!$C$8</f>
        <v>6</v>
      </c>
      <c r="E26" s="12" t="n">
        <v>7</v>
      </c>
      <c r="F26" s="16" t="n">
        <f aca="false">SUM($D$25:D26)-SUM($E$25:E26)</f>
        <v>3</v>
      </c>
      <c r="K26" s="12" t="n">
        <v>22</v>
      </c>
      <c r="L26" s="12" t="n">
        <v>10</v>
      </c>
      <c r="M26" s="12" t="n">
        <v>34</v>
      </c>
      <c r="N26" s="12" t="n">
        <v>14</v>
      </c>
      <c r="O26" s="12" t="n">
        <v>36</v>
      </c>
      <c r="P26" s="15" t="s">
        <v>76</v>
      </c>
      <c r="Q26" s="16" t="n">
        <f aca="false">IF(OR(N26="",K26=""),"",(N26*60+O26)-(L26*60+M26))</f>
        <v>242</v>
      </c>
    </row>
    <row r="27" customFormat="false" ht="15" hidden="false" customHeight="false" outlineLevel="0" collapsed="false">
      <c r="B27" s="10" t="n">
        <v>3</v>
      </c>
      <c r="C27" s="16" t="n">
        <f aca="false">(Paramètres!$C$4/Paramètres!$C$7)*3</f>
        <v>12</v>
      </c>
      <c r="D27" s="16" t="n">
        <f aca="false">Paramètres!$C$8</f>
        <v>6</v>
      </c>
      <c r="E27" s="12" t="n">
        <v>6</v>
      </c>
      <c r="F27" s="16" t="n">
        <f aca="false">SUM($D$25:D27)-SUM($E$25:E27)</f>
        <v>3</v>
      </c>
      <c r="K27" s="12" t="n">
        <v>23</v>
      </c>
      <c r="L27" s="12" t="n">
        <v>11</v>
      </c>
      <c r="M27" s="12" t="n">
        <v>13</v>
      </c>
      <c r="N27" s="12" t="n">
        <v>14</v>
      </c>
      <c r="O27" s="12" t="n">
        <v>59</v>
      </c>
      <c r="P27" s="15" t="s">
        <v>78</v>
      </c>
      <c r="Q27" s="16" t="n">
        <f aca="false">IF(OR(N27="",K27=""),"",(N27*60+O27)-(L27*60+M27))</f>
        <v>226</v>
      </c>
    </row>
    <row r="28" customFormat="false" ht="15" hidden="false" customHeight="false" outlineLevel="0" collapsed="false">
      <c r="B28" s="10" t="n">
        <v>4</v>
      </c>
      <c r="C28" s="16" t="n">
        <f aca="false">(Paramètres!$C$4/Paramètres!$C$7)*4</f>
        <v>16</v>
      </c>
      <c r="D28" s="16" t="n">
        <f aca="false">Paramètres!$C$8</f>
        <v>6</v>
      </c>
      <c r="E28" s="12" t="n">
        <v>5</v>
      </c>
      <c r="F28" s="16" t="n">
        <f aca="false">SUM($D$25:D28)-SUM($E$25:E28)</f>
        <v>4</v>
      </c>
      <c r="K28" s="12" t="n">
        <v>24</v>
      </c>
      <c r="L28" s="12" t="n">
        <v>12</v>
      </c>
      <c r="M28" s="12" t="n">
        <v>5</v>
      </c>
      <c r="N28" s="12" t="n">
        <v>15</v>
      </c>
      <c r="O28" s="12" t="n">
        <v>33</v>
      </c>
      <c r="P28" s="15" t="s">
        <v>78</v>
      </c>
      <c r="Q28" s="16" t="n">
        <f aca="false">IF(OR(N28="",K28=""),"",(N28*60+O28)-(L28*60+M28))</f>
        <v>208</v>
      </c>
    </row>
    <row r="29" customFormat="false" ht="15" hidden="false" customHeight="false" outlineLevel="0" collapsed="false">
      <c r="B29" s="18" t="s">
        <v>99</v>
      </c>
      <c r="D29" s="19" t="n">
        <f aca="false">SUM(D25:D28)</f>
        <v>24</v>
      </c>
      <c r="E29" s="19" t="n">
        <f aca="false">SUM(E25:E28)</f>
        <v>20</v>
      </c>
      <c r="K29" s="12" t="n">
        <v>25</v>
      </c>
      <c r="L29" s="12" t="n">
        <v>12</v>
      </c>
      <c r="M29" s="12" t="n">
        <v>48</v>
      </c>
      <c r="N29" s="12"/>
      <c r="O29" s="12"/>
      <c r="P29" s="15"/>
      <c r="Q29" s="16" t="str">
        <f aca="false">IF(OR(N29="",K29=""),"",(N29*60+O29)-(L29*60+M29))</f>
        <v/>
      </c>
    </row>
    <row r="30" customFormat="false" ht="15" hidden="false" customHeight="false" outlineLevel="0" collapsed="false">
      <c r="K30" s="12" t="n">
        <v>26</v>
      </c>
      <c r="L30" s="12" t="n">
        <v>13</v>
      </c>
      <c r="M30" s="12" t="n">
        <v>20</v>
      </c>
      <c r="N30" s="12"/>
      <c r="O30" s="12"/>
      <c r="P30" s="15"/>
      <c r="Q30" s="16" t="str">
        <f aca="false">IF(OR(N30="",K30=""),"",(N30*60+O30)-(L30*60+M30))</f>
        <v/>
      </c>
    </row>
    <row r="31" customFormat="false" ht="15" hidden="false" customHeight="false" outlineLevel="0" collapsed="false">
      <c r="B31" s="17" t="s">
        <v>100</v>
      </c>
      <c r="C31" s="12" t="n">
        <v>15</v>
      </c>
      <c r="K31" s="12" t="n">
        <v>27</v>
      </c>
      <c r="L31" s="12" t="n">
        <v>13</v>
      </c>
      <c r="M31" s="12" t="n">
        <v>52</v>
      </c>
      <c r="N31" s="12"/>
      <c r="O31" s="12"/>
      <c r="P31" s="15"/>
      <c r="Q31" s="16" t="str">
        <f aca="false">IF(OR(N31="",K31=""),"",(N31*60+O31)-(L31*60+M31))</f>
        <v/>
      </c>
    </row>
    <row r="32" customFormat="false" ht="15" hidden="false" customHeight="false" outlineLevel="0" collapsed="false">
      <c r="K32" s="12" t="n">
        <v>28</v>
      </c>
      <c r="L32" s="12" t="n">
        <v>14</v>
      </c>
      <c r="M32" s="12" t="n">
        <v>24</v>
      </c>
      <c r="N32" s="12"/>
      <c r="O32" s="12"/>
      <c r="P32" s="15"/>
      <c r="Q32" s="16" t="str">
        <f aca="false">IF(OR(N32="",K32=""),"",(N32*60+O32)-(L32*60+M32))</f>
        <v/>
      </c>
    </row>
    <row r="33" customFormat="false" ht="15" hidden="false" customHeight="false" outlineLevel="0" collapsed="false">
      <c r="K33" s="12" t="n">
        <v>29</v>
      </c>
      <c r="L33" s="12" t="n">
        <v>14</v>
      </c>
      <c r="M33" s="12" t="n">
        <v>56</v>
      </c>
      <c r="N33" s="12"/>
      <c r="O33" s="12"/>
      <c r="P33" s="15"/>
      <c r="Q33" s="16" t="str">
        <f aca="false">IF(OR(N33="",K33=""),"",(N33*60+O33)-(L33*60+M33))</f>
        <v/>
      </c>
    </row>
    <row r="34" customFormat="false" ht="15" hidden="false" customHeight="false" outlineLevel="0" collapsed="false">
      <c r="B34" s="2" t="s">
        <v>101</v>
      </c>
      <c r="K34" s="12" t="n">
        <v>30</v>
      </c>
      <c r="L34" s="12" t="n">
        <v>15</v>
      </c>
      <c r="M34" s="12" t="n">
        <v>28</v>
      </c>
      <c r="N34" s="12"/>
      <c r="O34" s="12"/>
      <c r="P34" s="15"/>
      <c r="Q34" s="16" t="str">
        <f aca="false">IF(OR(N34="",K34=""),"",(N34*60+O34)-(L34*60+M34))</f>
        <v/>
      </c>
    </row>
    <row r="35" customFormat="false" ht="15" hidden="false" customHeight="false" outlineLevel="0" collapsed="false">
      <c r="B35" s="8" t="s">
        <v>102</v>
      </c>
      <c r="C35" s="8" t="s">
        <v>34</v>
      </c>
      <c r="D35" s="8" t="s">
        <v>103</v>
      </c>
      <c r="K35" s="12"/>
      <c r="L35" s="12"/>
      <c r="M35" s="12"/>
      <c r="N35" s="12"/>
      <c r="O35" s="12"/>
      <c r="P35" s="15"/>
      <c r="Q35" s="16" t="str">
        <f aca="false">IF(OR(N35="",K35=""),"",(N35*60+O35)-(L35*60+M35))</f>
        <v/>
      </c>
    </row>
    <row r="36" customFormat="false" ht="15" hidden="false" customHeight="false" outlineLevel="0" collapsed="false">
      <c r="B36" s="9" t="s">
        <v>104</v>
      </c>
      <c r="C36" s="20" t="n">
        <f aca="false">COUNT(K5:K49)</f>
        <v>30</v>
      </c>
      <c r="D36" s="21" t="s">
        <v>105</v>
      </c>
      <c r="K36" s="12"/>
      <c r="L36" s="12"/>
      <c r="M36" s="12"/>
      <c r="N36" s="12"/>
      <c r="O36" s="12"/>
      <c r="P36" s="15"/>
      <c r="Q36" s="16" t="str">
        <f aca="false">IF(OR(N36="",K36=""),"",(N36*60+O36)-(L36*60+M36))</f>
        <v/>
      </c>
    </row>
    <row r="37" customFormat="false" ht="15" hidden="false" customHeight="false" outlineLevel="0" collapsed="false">
      <c r="B37" s="9" t="s">
        <v>106</v>
      </c>
      <c r="C37" s="20" t="n">
        <f aca="false">COUNT(Q5:Q49)</f>
        <v>24</v>
      </c>
      <c r="D37" s="21" t="s">
        <v>105</v>
      </c>
      <c r="K37" s="12"/>
      <c r="L37" s="12"/>
      <c r="M37" s="12"/>
      <c r="N37" s="12"/>
      <c r="O37" s="12"/>
      <c r="P37" s="15"/>
      <c r="Q37" s="16" t="str">
        <f aca="false">IF(OR(N37="",K37=""),"",(N37*60+O37)-(L37*60+M37))</f>
        <v/>
      </c>
    </row>
    <row r="38" customFormat="false" ht="15" hidden="false" customHeight="false" outlineLevel="0" collapsed="false">
      <c r="B38" s="9" t="s">
        <v>107</v>
      </c>
      <c r="C38" s="20" t="n">
        <f aca="false">COUNTIFS(P5:P49,"O",Q5:Q49,"&gt;=0")</f>
        <v>20</v>
      </c>
      <c r="D38" s="21" t="s">
        <v>105</v>
      </c>
      <c r="K38" s="12"/>
      <c r="L38" s="12"/>
      <c r="M38" s="12"/>
      <c r="N38" s="12"/>
      <c r="O38" s="12"/>
      <c r="P38" s="15"/>
      <c r="Q38" s="16" t="str">
        <f aca="false">IF(OR(N38="",K38=""),"",(N38*60+O38)-(L38*60+M38))</f>
        <v/>
      </c>
    </row>
    <row r="39" customFormat="false" ht="15" hidden="false" customHeight="false" outlineLevel="0" collapsed="false">
      <c r="B39" s="9" t="s">
        <v>108</v>
      </c>
      <c r="C39" s="22" t="n">
        <f aca="false">IFERROR(C38/C37,"")</f>
        <v>0.833333333333333</v>
      </c>
      <c r="D39" s="21"/>
      <c r="K39" s="12"/>
      <c r="L39" s="12"/>
      <c r="M39" s="12"/>
      <c r="N39" s="12"/>
      <c r="O39" s="12"/>
      <c r="P39" s="15"/>
      <c r="Q39" s="16" t="str">
        <f aca="false">IF(OR(N39="",K39=""),"",(N39*60+O39)-(L39*60+M39))</f>
        <v/>
      </c>
    </row>
    <row r="40" customFormat="false" ht="15" hidden="false" customHeight="false" outlineLevel="0" collapsed="false">
      <c r="B40" s="9" t="s">
        <v>109</v>
      </c>
      <c r="C40" s="20" t="n">
        <f aca="false">C20</f>
        <v>6</v>
      </c>
      <c r="D40" s="21" t="s">
        <v>105</v>
      </c>
      <c r="K40" s="12"/>
      <c r="L40" s="12"/>
      <c r="M40" s="12"/>
      <c r="N40" s="12"/>
      <c r="O40" s="12"/>
      <c r="P40" s="15"/>
      <c r="Q40" s="16" t="str">
        <f aca="false">IF(OR(N40="",K40=""),"",(N40*60+O40)-(L40*60+M40))</f>
        <v/>
      </c>
    </row>
    <row r="41" customFormat="false" ht="15" hidden="false" customHeight="false" outlineLevel="0" collapsed="false">
      <c r="B41" s="9" t="s">
        <v>110</v>
      </c>
      <c r="C41" s="20" t="n">
        <f aca="false">IFERROR(AVERAGE(Q5:Q49),"")</f>
        <v>213</v>
      </c>
      <c r="D41" s="21" t="s">
        <v>111</v>
      </c>
      <c r="K41" s="12"/>
      <c r="L41" s="12"/>
      <c r="M41" s="12"/>
      <c r="N41" s="12"/>
      <c r="O41" s="12"/>
      <c r="P41" s="15"/>
      <c r="Q41" s="16" t="str">
        <f aca="false">IF(OR(N41="",K41=""),"",(N41*60+O41)-(L41*60+M41))</f>
        <v/>
      </c>
    </row>
    <row r="42" customFormat="false" ht="15" hidden="false" customHeight="false" outlineLevel="0" collapsed="false">
      <c r="B42" s="9" t="s">
        <v>112</v>
      </c>
      <c r="C42" s="20" t="n">
        <f aca="false">IFERROR(MEDIAN(Q5:Q49),"")</f>
        <v>208.5</v>
      </c>
      <c r="D42" s="21" t="s">
        <v>111</v>
      </c>
      <c r="K42" s="12"/>
      <c r="L42" s="12"/>
      <c r="M42" s="12"/>
      <c r="N42" s="12"/>
      <c r="O42" s="12"/>
      <c r="P42" s="15"/>
      <c r="Q42" s="16" t="str">
        <f aca="false">IF(OR(N42="",K42=""),"",(N42*60+O42)-(L42*60+M42))</f>
        <v/>
      </c>
    </row>
    <row r="43" customFormat="false" ht="15" hidden="false" customHeight="false" outlineLevel="0" collapsed="false">
      <c r="B43" s="9" t="s">
        <v>113</v>
      </c>
      <c r="C43" s="20" t="n">
        <f aca="false">IFERROR(MIN(Q5:Q49),"")</f>
        <v>114</v>
      </c>
      <c r="D43" s="21" t="s">
        <v>111</v>
      </c>
      <c r="K43" s="12"/>
      <c r="L43" s="12"/>
      <c r="M43" s="12"/>
      <c r="N43" s="12"/>
      <c r="O43" s="12"/>
      <c r="P43" s="15"/>
      <c r="Q43" s="16" t="str">
        <f aca="false">IF(OR(N43="",K43=""),"",(N43*60+O43)-(L43*60+M43))</f>
        <v/>
      </c>
    </row>
    <row r="44" customFormat="false" ht="15" hidden="false" customHeight="false" outlineLevel="0" collapsed="false">
      <c r="B44" s="9" t="s">
        <v>114</v>
      </c>
      <c r="C44" s="20" t="n">
        <f aca="false">IFERROR(MAX(Q5:Q49),"")</f>
        <v>296</v>
      </c>
      <c r="D44" s="21" t="s">
        <v>111</v>
      </c>
      <c r="K44" s="12"/>
      <c r="L44" s="12"/>
      <c r="M44" s="12"/>
      <c r="N44" s="12"/>
      <c r="O44" s="12"/>
      <c r="P44" s="15"/>
      <c r="Q44" s="16" t="str">
        <f aca="false">IF(OR(N44="",K44=""),"",(N44*60+O44)-(L44*60+M44))</f>
        <v/>
      </c>
    </row>
    <row r="45" customFormat="false" ht="15" hidden="false" customHeight="false" outlineLevel="0" collapsed="false">
      <c r="B45" s="9" t="s">
        <v>115</v>
      </c>
      <c r="C45" s="23" t="n">
        <f aca="false">IFERROR(C37/Paramètres!$C$4,"")</f>
        <v>1.5</v>
      </c>
      <c r="D45" s="21" t="s">
        <v>116</v>
      </c>
      <c r="K45" s="12"/>
      <c r="L45" s="12"/>
      <c r="M45" s="12"/>
      <c r="N45" s="12"/>
      <c r="O45" s="12"/>
      <c r="P45" s="15"/>
      <c r="Q45" s="16" t="str">
        <f aca="false">IF(OR(N45="",K45=""),"",(N45*60+O45)-(L45*60+M45))</f>
        <v/>
      </c>
    </row>
    <row r="46" customFormat="false" ht="15" hidden="false" customHeight="false" outlineLevel="0" collapsed="false">
      <c r="B46" s="9" t="s">
        <v>117</v>
      </c>
      <c r="C46" s="13" t="n">
        <f aca="false">IFERROR(Paramètres!$C$5/C37,"")</f>
        <v>40</v>
      </c>
      <c r="D46" s="21" t="s">
        <v>111</v>
      </c>
      <c r="K46" s="12"/>
      <c r="L46" s="12"/>
      <c r="M46" s="12"/>
      <c r="N46" s="12"/>
      <c r="O46" s="12"/>
      <c r="P46" s="15"/>
      <c r="Q46" s="16" t="str">
        <f aca="false">IF(OR(N46="",K46=""),"",(N46*60+O46)-(L46*60+M46))</f>
        <v/>
      </c>
    </row>
    <row r="47" customFormat="false" ht="15" hidden="false" customHeight="false" outlineLevel="0" collapsed="false">
      <c r="B47" s="9" t="s">
        <v>118</v>
      </c>
      <c r="C47" s="13" t="n">
        <f aca="false">Paramètres!$C$9</f>
        <v>40</v>
      </c>
      <c r="D47" s="21" t="s">
        <v>111</v>
      </c>
      <c r="K47" s="12"/>
      <c r="L47" s="12"/>
      <c r="M47" s="12"/>
      <c r="N47" s="12"/>
      <c r="O47" s="12"/>
      <c r="P47" s="15"/>
      <c r="Q47" s="16" t="str">
        <f aca="false">IF(OR(N47="",K47=""),"",(N47*60+O47)-(L47*60+M47))</f>
        <v/>
      </c>
    </row>
    <row r="48" customFormat="false" ht="15" hidden="false" customHeight="false" outlineLevel="0" collapsed="false">
      <c r="B48" s="9" t="s">
        <v>119</v>
      </c>
      <c r="C48" s="22" t="n">
        <f aca="false">IFERROR(H9/C41,"")</f>
        <v>0.539906103286385</v>
      </c>
      <c r="D48" s="21"/>
      <c r="K48" s="12"/>
      <c r="L48" s="12"/>
      <c r="M48" s="12"/>
      <c r="N48" s="12"/>
      <c r="O48" s="12"/>
      <c r="P48" s="15"/>
      <c r="Q48" s="16" t="str">
        <f aca="false">IF(OR(N48="",K48=""),"",(N48*60+O48)-(L48*60+M48))</f>
        <v/>
      </c>
    </row>
    <row r="49" customFormat="false" ht="15" hidden="false" customHeight="false" outlineLevel="0" collapsed="false">
      <c r="B49" s="9" t="s">
        <v>120</v>
      </c>
      <c r="C49" s="22" t="n">
        <f aca="false">IFERROR(E29/D29,"")</f>
        <v>0.833333333333333</v>
      </c>
      <c r="D49" s="21"/>
      <c r="K49" s="12"/>
      <c r="L49" s="12"/>
      <c r="M49" s="12"/>
      <c r="N49" s="12"/>
      <c r="O49" s="12"/>
      <c r="P49" s="15"/>
      <c r="Q49" s="16" t="str">
        <f aca="false">IF(OR(N49="",K49=""),"",(N49*60+O49)-(L49*60+M49))</f>
        <v/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0"/>
    <col collapsed="false" customWidth="true" hidden="false" outlineLevel="0" max="9" min="8" style="0" width="13"/>
    <col collapsed="false" customWidth="true" hidden="false" outlineLevel="0" max="10" min="10" style="0" width="4"/>
    <col collapsed="false" customWidth="true" hidden="false" outlineLevel="0" max="11" min="11" style="0" width="20"/>
    <col collapsed="false" customWidth="true" hidden="false" outlineLevel="0" max="14" min="12" style="0" width="14"/>
  </cols>
  <sheetData>
    <row r="1" customFormat="false" ht="25.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1" t="s">
        <v>57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B3" s="2" t="s">
        <v>58</v>
      </c>
      <c r="K3" s="2" t="s">
        <v>59</v>
      </c>
    </row>
    <row r="4" customFormat="false" ht="15" hidden="false" customHeight="false" outlineLevel="0" collapsed="false">
      <c r="B4" s="8" t="s">
        <v>60</v>
      </c>
      <c r="C4" s="8" t="s">
        <v>61</v>
      </c>
      <c r="D4" s="8" t="s">
        <v>62</v>
      </c>
      <c r="E4" s="8" t="s">
        <v>63</v>
      </c>
      <c r="F4" s="8" t="s">
        <v>64</v>
      </c>
      <c r="G4" s="8" t="s">
        <v>65</v>
      </c>
      <c r="H4" s="8" t="s">
        <v>66</v>
      </c>
      <c r="I4" s="8" t="s">
        <v>67</v>
      </c>
      <c r="K4" s="8" t="s">
        <v>68</v>
      </c>
      <c r="L4" s="8" t="s">
        <v>69</v>
      </c>
      <c r="M4" s="8" t="s">
        <v>70</v>
      </c>
      <c r="N4" s="8" t="s">
        <v>71</v>
      </c>
      <c r="O4" s="8" t="s">
        <v>72</v>
      </c>
      <c r="P4" s="8" t="s">
        <v>73</v>
      </c>
      <c r="Q4" s="8" t="s">
        <v>74</v>
      </c>
    </row>
    <row r="5" customFormat="false" ht="15" hidden="false" customHeight="false" outlineLevel="0" collapsed="false">
      <c r="B5" s="10" t="s">
        <v>75</v>
      </c>
      <c r="C5" s="12" t="n">
        <v>19</v>
      </c>
      <c r="D5" s="12" t="n">
        <v>21</v>
      </c>
      <c r="E5" s="12" t="n">
        <v>20</v>
      </c>
      <c r="F5" s="12" t="n">
        <v>21</v>
      </c>
      <c r="G5" s="12" t="n">
        <v>20</v>
      </c>
      <c r="H5" s="13" t="n">
        <f aca="false">IF(COUNT(C5:G5)=0,"",MEDIAN(C5:G5))</f>
        <v>20</v>
      </c>
      <c r="I5" s="14" t="n">
        <f aca="false">IF(H5="","",H5-Paramètres!$C$9)</f>
        <v>-20</v>
      </c>
      <c r="K5" s="12" t="n">
        <v>1</v>
      </c>
      <c r="L5" s="12" t="n">
        <v>0</v>
      </c>
      <c r="M5" s="12" t="n">
        <v>0</v>
      </c>
      <c r="N5" s="12" t="n">
        <v>1</v>
      </c>
      <c r="O5" s="12" t="n">
        <v>41</v>
      </c>
      <c r="P5" s="15" t="s">
        <v>78</v>
      </c>
      <c r="Q5" s="16" t="n">
        <f aca="false">IF(OR(N5="",K5=""),"",(N5*60+O5)-(L5*60+M5))</f>
        <v>101</v>
      </c>
    </row>
    <row r="6" customFormat="false" ht="15" hidden="false" customHeight="false" outlineLevel="0" collapsed="false">
      <c r="B6" s="10" t="s">
        <v>77</v>
      </c>
      <c r="C6" s="12" t="n">
        <v>26</v>
      </c>
      <c r="D6" s="12" t="n">
        <v>28</v>
      </c>
      <c r="E6" s="12" t="n">
        <v>27</v>
      </c>
      <c r="F6" s="12" t="n">
        <v>28</v>
      </c>
      <c r="G6" s="12" t="n">
        <v>27</v>
      </c>
      <c r="H6" s="13" t="n">
        <f aca="false">IF(COUNT(C6:G6)=0,"",MEDIAN(C6:G6))</f>
        <v>27</v>
      </c>
      <c r="I6" s="14" t="n">
        <f aca="false">IF(H6="","",H6-Paramètres!$C$9)</f>
        <v>-13</v>
      </c>
      <c r="K6" s="12" t="n">
        <v>2</v>
      </c>
      <c r="L6" s="12" t="n">
        <v>0</v>
      </c>
      <c r="M6" s="12" t="n">
        <v>0</v>
      </c>
      <c r="N6" s="12" t="n">
        <v>2</v>
      </c>
      <c r="O6" s="12" t="n">
        <v>15</v>
      </c>
      <c r="P6" s="15" t="s">
        <v>78</v>
      </c>
      <c r="Q6" s="16" t="n">
        <f aca="false">IF(OR(N6="",K6=""),"",(N6*60+O6)-(L6*60+M6))</f>
        <v>135</v>
      </c>
    </row>
    <row r="7" customFormat="false" ht="15" hidden="false" customHeight="false" outlineLevel="0" collapsed="false">
      <c r="B7" s="10" t="s">
        <v>79</v>
      </c>
      <c r="C7" s="12" t="n">
        <v>27</v>
      </c>
      <c r="D7" s="12" t="n">
        <v>29</v>
      </c>
      <c r="E7" s="12" t="n">
        <v>28</v>
      </c>
      <c r="F7" s="12" t="n">
        <v>29</v>
      </c>
      <c r="G7" s="12" t="n">
        <v>28</v>
      </c>
      <c r="H7" s="13" t="n">
        <f aca="false">IF(COUNT(C7:G7)=0,"",MEDIAN(C7:G7))</f>
        <v>28</v>
      </c>
      <c r="I7" s="14" t="n">
        <f aca="false">IF(H7="","",H7-Paramètres!$C$9)</f>
        <v>-12</v>
      </c>
      <c r="K7" s="12" t="n">
        <v>3</v>
      </c>
      <c r="L7" s="12" t="n">
        <v>0</v>
      </c>
      <c r="M7" s="12" t="n">
        <v>0</v>
      </c>
      <c r="N7" s="12" t="n">
        <v>2</v>
      </c>
      <c r="O7" s="12" t="n">
        <v>44</v>
      </c>
      <c r="P7" s="15" t="s">
        <v>78</v>
      </c>
      <c r="Q7" s="16" t="n">
        <f aca="false">IF(OR(N7="",K7=""),"",(N7*60+O7)-(L7*60+M7))</f>
        <v>164</v>
      </c>
    </row>
    <row r="8" customFormat="false" ht="15" hidden="false" customHeight="false" outlineLevel="0" collapsed="false">
      <c r="B8" s="10" t="s">
        <v>80</v>
      </c>
      <c r="C8" s="12" t="n">
        <v>26</v>
      </c>
      <c r="D8" s="12" t="n">
        <v>28</v>
      </c>
      <c r="E8" s="12" t="n">
        <v>27</v>
      </c>
      <c r="F8" s="12" t="n">
        <v>28</v>
      </c>
      <c r="G8" s="12" t="n">
        <v>27</v>
      </c>
      <c r="H8" s="13" t="n">
        <f aca="false">IF(COUNT(C8:G8)=0,"",MEDIAN(C8:G8))</f>
        <v>27</v>
      </c>
      <c r="I8" s="14" t="n">
        <f aca="false">IF(H8="","",H8-Paramètres!$C$9)</f>
        <v>-13</v>
      </c>
      <c r="K8" s="12" t="n">
        <v>4</v>
      </c>
      <c r="L8" s="12" t="n">
        <v>0</v>
      </c>
      <c r="M8" s="12" t="n">
        <v>0</v>
      </c>
      <c r="N8" s="12" t="n">
        <v>3</v>
      </c>
      <c r="O8" s="12" t="n">
        <v>15</v>
      </c>
      <c r="P8" s="15" t="s">
        <v>78</v>
      </c>
      <c r="Q8" s="16" t="n">
        <f aca="false">IF(OR(N8="",K8=""),"",(N8*60+O8)-(L8*60+M8))</f>
        <v>195</v>
      </c>
    </row>
    <row r="9" customFormat="false" ht="15" hidden="false" customHeight="false" outlineLevel="0" collapsed="false">
      <c r="B9" s="17" t="s">
        <v>81</v>
      </c>
      <c r="H9" s="13" t="n">
        <f aca="false">IF(COUNT(H5:H8)=0,"",SUM(H5:H8))</f>
        <v>102</v>
      </c>
      <c r="K9" s="12" t="n">
        <v>5</v>
      </c>
      <c r="L9" s="12" t="n">
        <v>1</v>
      </c>
      <c r="M9" s="12" t="n">
        <v>41</v>
      </c>
      <c r="N9" s="12" t="n">
        <v>3</v>
      </c>
      <c r="O9" s="12" t="n">
        <v>40</v>
      </c>
      <c r="P9" s="15" t="s">
        <v>78</v>
      </c>
      <c r="Q9" s="16" t="n">
        <f aca="false">IF(OR(N9="",K9=""),"",(N9*60+O9)-(L9*60+M9))</f>
        <v>119</v>
      </c>
    </row>
    <row r="10" customFormat="false" ht="15" hidden="false" customHeight="false" outlineLevel="0" collapsed="false">
      <c r="B10" s="17" t="s">
        <v>82</v>
      </c>
      <c r="H10" s="13" t="n">
        <f aca="false">IF(COUNT(H5:H8)=0,"",MAX(H5:H8))</f>
        <v>28</v>
      </c>
      <c r="K10" s="12" t="n">
        <v>6</v>
      </c>
      <c r="L10" s="12" t="n">
        <v>2</v>
      </c>
      <c r="M10" s="12" t="n">
        <v>15</v>
      </c>
      <c r="N10" s="12" t="n">
        <v>4</v>
      </c>
      <c r="O10" s="12" t="n">
        <v>6</v>
      </c>
      <c r="P10" s="15" t="s">
        <v>78</v>
      </c>
      <c r="Q10" s="16" t="n">
        <f aca="false">IF(OR(N10="",K10=""),"",(N10*60+O10)-(L10*60+M10))</f>
        <v>111</v>
      </c>
    </row>
    <row r="11" customFormat="false" ht="15" hidden="false" customHeight="false" outlineLevel="0" collapsed="false">
      <c r="B11" s="17" t="s">
        <v>83</v>
      </c>
      <c r="H11" s="13" t="n">
        <f aca="false">IF(COUNT(H5:H8)=0,"",MAX(H5:H8)-MIN(H5:H8))</f>
        <v>8</v>
      </c>
      <c r="K11" s="12" t="n">
        <v>7</v>
      </c>
      <c r="L11" s="12" t="n">
        <v>2</v>
      </c>
      <c r="M11" s="12" t="n">
        <v>44</v>
      </c>
      <c r="N11" s="12" t="n">
        <v>4</v>
      </c>
      <c r="O11" s="12" t="n">
        <v>39</v>
      </c>
      <c r="P11" s="15" t="s">
        <v>76</v>
      </c>
      <c r="Q11" s="16" t="n">
        <f aca="false">IF(OR(N11="",K11=""),"",(N11*60+O11)-(L11*60+M11))</f>
        <v>115</v>
      </c>
    </row>
    <row r="12" customFormat="false" ht="15" hidden="false" customHeight="false" outlineLevel="0" collapsed="false">
      <c r="K12" s="12" t="n">
        <v>8</v>
      </c>
      <c r="L12" s="12" t="n">
        <v>3</v>
      </c>
      <c r="M12" s="12" t="n">
        <v>15</v>
      </c>
      <c r="N12" s="12" t="n">
        <v>5</v>
      </c>
      <c r="O12" s="12" t="n">
        <v>4</v>
      </c>
      <c r="P12" s="15" t="s">
        <v>78</v>
      </c>
      <c r="Q12" s="16" t="n">
        <f aca="false">IF(OR(N12="",K12=""),"",(N12*60+O12)-(L12*60+M12))</f>
        <v>109</v>
      </c>
    </row>
    <row r="13" customFormat="false" ht="15" hidden="false" customHeight="false" outlineLevel="0" collapsed="false">
      <c r="B13" s="2" t="s">
        <v>84</v>
      </c>
      <c r="K13" s="12" t="n">
        <v>9</v>
      </c>
      <c r="L13" s="12" t="n">
        <v>3</v>
      </c>
      <c r="M13" s="12" t="n">
        <v>40</v>
      </c>
      <c r="N13" s="12" t="n">
        <v>5</v>
      </c>
      <c r="O13" s="12" t="n">
        <v>32</v>
      </c>
      <c r="P13" s="15" t="s">
        <v>78</v>
      </c>
      <c r="Q13" s="16" t="n">
        <f aca="false">IF(OR(N13="",K13=""),"",(N13*60+O13)-(L13*60+M13))</f>
        <v>112</v>
      </c>
    </row>
    <row r="14" customFormat="false" ht="15" hidden="false" customHeight="false" outlineLevel="0" collapsed="false">
      <c r="B14" s="8" t="s">
        <v>85</v>
      </c>
      <c r="C14" s="8" t="s">
        <v>86</v>
      </c>
      <c r="K14" s="12" t="n">
        <v>10</v>
      </c>
      <c r="L14" s="12" t="n">
        <v>4</v>
      </c>
      <c r="M14" s="12" t="n">
        <v>6</v>
      </c>
      <c r="N14" s="12" t="n">
        <v>6</v>
      </c>
      <c r="O14" s="12" t="n">
        <v>3</v>
      </c>
      <c r="P14" s="15" t="s">
        <v>78</v>
      </c>
      <c r="Q14" s="16" t="n">
        <f aca="false">IF(OR(N14="",K14=""),"",(N14*60+O14)-(L14*60+M14))</f>
        <v>117</v>
      </c>
    </row>
    <row r="15" customFormat="false" ht="15" hidden="false" customHeight="false" outlineLevel="0" collapsed="false">
      <c r="B15" s="9" t="s">
        <v>87</v>
      </c>
      <c r="C15" s="12" t="n">
        <v>0</v>
      </c>
      <c r="K15" s="12" t="n">
        <v>11</v>
      </c>
      <c r="L15" s="12" t="n">
        <v>4</v>
      </c>
      <c r="M15" s="12" t="n">
        <v>39</v>
      </c>
      <c r="N15" s="12" t="n">
        <v>6</v>
      </c>
      <c r="O15" s="12" t="n">
        <v>25</v>
      </c>
      <c r="P15" s="15" t="s">
        <v>78</v>
      </c>
      <c r="Q15" s="16" t="n">
        <f aca="false">IF(OR(N15="",K15=""),"",(N15*60+O15)-(L15*60+M15))</f>
        <v>106</v>
      </c>
    </row>
    <row r="16" customFormat="false" ht="15" hidden="false" customHeight="false" outlineLevel="0" collapsed="false">
      <c r="B16" s="9" t="s">
        <v>88</v>
      </c>
      <c r="C16" s="12" t="n">
        <v>1</v>
      </c>
      <c r="K16" s="12" t="n">
        <v>12</v>
      </c>
      <c r="L16" s="12" t="n">
        <v>5</v>
      </c>
      <c r="M16" s="12" t="n">
        <v>4</v>
      </c>
      <c r="N16" s="12" t="n">
        <v>6</v>
      </c>
      <c r="O16" s="12" t="n">
        <v>51</v>
      </c>
      <c r="P16" s="15" t="s">
        <v>78</v>
      </c>
      <c r="Q16" s="16" t="n">
        <f aca="false">IF(OR(N16="",K16=""),"",(N16*60+O16)-(L16*60+M16))</f>
        <v>107</v>
      </c>
    </row>
    <row r="17" customFormat="false" ht="15" hidden="false" customHeight="false" outlineLevel="0" collapsed="false">
      <c r="B17" s="9" t="s">
        <v>89</v>
      </c>
      <c r="C17" s="12" t="n">
        <v>1</v>
      </c>
      <c r="K17" s="12" t="n">
        <v>13</v>
      </c>
      <c r="L17" s="12" t="n">
        <v>5</v>
      </c>
      <c r="M17" s="12" t="n">
        <v>32</v>
      </c>
      <c r="N17" s="12" t="n">
        <v>7</v>
      </c>
      <c r="O17" s="12" t="n">
        <v>17</v>
      </c>
      <c r="P17" s="15" t="s">
        <v>78</v>
      </c>
      <c r="Q17" s="16" t="n">
        <f aca="false">IF(OR(N17="",K17=""),"",(N17*60+O17)-(L17*60+M17))</f>
        <v>105</v>
      </c>
    </row>
    <row r="18" customFormat="false" ht="15" hidden="false" customHeight="false" outlineLevel="0" collapsed="false">
      <c r="B18" s="9" t="s">
        <v>90</v>
      </c>
      <c r="C18" s="12" t="n">
        <v>1</v>
      </c>
      <c r="K18" s="12" t="n">
        <v>14</v>
      </c>
      <c r="L18" s="12" t="n">
        <v>6</v>
      </c>
      <c r="M18" s="12" t="n">
        <v>3</v>
      </c>
      <c r="N18" s="12" t="n">
        <v>7</v>
      </c>
      <c r="O18" s="12" t="n">
        <v>51</v>
      </c>
      <c r="P18" s="15" t="s">
        <v>78</v>
      </c>
      <c r="Q18" s="16" t="n">
        <f aca="false">IF(OR(N18="",K18=""),"",(N18*60+O18)-(L18*60+M18))</f>
        <v>108</v>
      </c>
    </row>
    <row r="19" customFormat="false" ht="15" hidden="false" customHeight="false" outlineLevel="0" collapsed="false">
      <c r="B19" s="9" t="s">
        <v>91</v>
      </c>
      <c r="C19" s="12" t="n">
        <v>1</v>
      </c>
      <c r="K19" s="12" t="n">
        <v>15</v>
      </c>
      <c r="L19" s="12" t="n">
        <v>6</v>
      </c>
      <c r="M19" s="12" t="n">
        <v>25</v>
      </c>
      <c r="N19" s="12" t="n">
        <v>8</v>
      </c>
      <c r="O19" s="12" t="n">
        <v>14</v>
      </c>
      <c r="P19" s="15" t="s">
        <v>78</v>
      </c>
      <c r="Q19" s="16" t="n">
        <f aca="false">IF(OR(N19="",K19=""),"",(N19*60+O19)-(L19*60+M19))</f>
        <v>109</v>
      </c>
    </row>
    <row r="20" customFormat="false" ht="15" hidden="false" customHeight="false" outlineLevel="0" collapsed="false">
      <c r="B20" s="18" t="s">
        <v>92</v>
      </c>
      <c r="C20" s="19" t="n">
        <f aca="false">SUM(C15:C19)</f>
        <v>4</v>
      </c>
      <c r="K20" s="12" t="n">
        <v>16</v>
      </c>
      <c r="L20" s="12" t="n">
        <v>6</v>
      </c>
      <c r="M20" s="12" t="n">
        <v>51</v>
      </c>
      <c r="N20" s="12" t="n">
        <v>8</v>
      </c>
      <c r="O20" s="12" t="n">
        <v>39</v>
      </c>
      <c r="P20" s="15" t="s">
        <v>78</v>
      </c>
      <c r="Q20" s="16" t="n">
        <f aca="false">IF(OR(N20="",K20=""),"",(N20*60+O20)-(L20*60+M20))</f>
        <v>108</v>
      </c>
    </row>
    <row r="21" customFormat="false" ht="15" hidden="false" customHeight="false" outlineLevel="0" collapsed="false">
      <c r="K21" s="12" t="n">
        <v>17</v>
      </c>
      <c r="L21" s="12" t="n">
        <v>7</v>
      </c>
      <c r="M21" s="12" t="n">
        <v>17</v>
      </c>
      <c r="N21" s="12" t="n">
        <v>9</v>
      </c>
      <c r="O21" s="12" t="n">
        <v>8</v>
      </c>
      <c r="P21" s="15" t="s">
        <v>78</v>
      </c>
      <c r="Q21" s="16" t="n">
        <f aca="false">IF(OR(N21="",K21=""),"",(N21*60+O21)-(L21*60+M21))</f>
        <v>111</v>
      </c>
    </row>
    <row r="22" customFormat="false" ht="15" hidden="false" customHeight="false" outlineLevel="0" collapsed="false">
      <c r="K22" s="12" t="n">
        <v>18</v>
      </c>
      <c r="L22" s="12" t="n">
        <v>7</v>
      </c>
      <c r="M22" s="12" t="n">
        <v>51</v>
      </c>
      <c r="N22" s="12" t="n">
        <v>9</v>
      </c>
      <c r="O22" s="12" t="n">
        <v>50</v>
      </c>
      <c r="P22" s="15" t="s">
        <v>78</v>
      </c>
      <c r="Q22" s="16" t="n">
        <f aca="false">IF(OR(N22="",K22=""),"",(N22*60+O22)-(L22*60+M22))</f>
        <v>119</v>
      </c>
    </row>
    <row r="23" customFormat="false" ht="15" hidden="false" customHeight="false" outlineLevel="0" collapsed="false">
      <c r="B23" s="2" t="s">
        <v>93</v>
      </c>
      <c r="K23" s="12" t="n">
        <v>19</v>
      </c>
      <c r="L23" s="12" t="n">
        <v>8</v>
      </c>
      <c r="M23" s="12" t="n">
        <v>14</v>
      </c>
      <c r="N23" s="12" t="n">
        <v>10</v>
      </c>
      <c r="O23" s="12" t="n">
        <v>15</v>
      </c>
      <c r="P23" s="15" t="s">
        <v>78</v>
      </c>
      <c r="Q23" s="16" t="n">
        <f aca="false">IF(OR(N23="",K23=""),"",(N23*60+O23)-(L23*60+M23))</f>
        <v>121</v>
      </c>
    </row>
    <row r="24" customFormat="false" ht="15" hidden="false" customHeight="false" outlineLevel="0" collapsed="false">
      <c r="B24" s="8" t="s">
        <v>94</v>
      </c>
      <c r="C24" s="8" t="s">
        <v>95</v>
      </c>
      <c r="D24" s="8" t="s">
        <v>96</v>
      </c>
      <c r="E24" s="8" t="s">
        <v>97</v>
      </c>
      <c r="F24" s="8" t="s">
        <v>98</v>
      </c>
      <c r="K24" s="12" t="n">
        <v>20</v>
      </c>
      <c r="L24" s="12" t="n">
        <v>8</v>
      </c>
      <c r="M24" s="12" t="n">
        <v>39</v>
      </c>
      <c r="N24" s="12" t="n">
        <v>10</v>
      </c>
      <c r="O24" s="12" t="n">
        <v>49</v>
      </c>
      <c r="P24" s="15" t="s">
        <v>78</v>
      </c>
      <c r="Q24" s="16" t="n">
        <f aca="false">IF(OR(N24="",K24=""),"",(N24*60+O24)-(L24*60+M24))</f>
        <v>130</v>
      </c>
    </row>
    <row r="25" customFormat="false" ht="15" hidden="false" customHeight="false" outlineLevel="0" collapsed="false">
      <c r="B25" s="10" t="n">
        <v>1</v>
      </c>
      <c r="C25" s="16" t="n">
        <f aca="false">(Paramètres!$C$4/Paramètres!$C$7)*1</f>
        <v>4</v>
      </c>
      <c r="D25" s="16" t="n">
        <f aca="false">Paramètres!$C$8</f>
        <v>6</v>
      </c>
      <c r="E25" s="12" t="n">
        <v>5</v>
      </c>
      <c r="F25" s="16" t="n">
        <f aca="false">SUM($D$25:D25)-SUM($E$25:E25)</f>
        <v>1</v>
      </c>
      <c r="K25" s="12" t="n">
        <v>21</v>
      </c>
      <c r="L25" s="12" t="n">
        <v>9</v>
      </c>
      <c r="M25" s="12" t="n">
        <v>8</v>
      </c>
      <c r="N25" s="12" t="n">
        <v>11</v>
      </c>
      <c r="O25" s="12" t="n">
        <v>24</v>
      </c>
      <c r="P25" s="15" t="s">
        <v>78</v>
      </c>
      <c r="Q25" s="16" t="n">
        <f aca="false">IF(OR(N25="",K25=""),"",(N25*60+O25)-(L25*60+M25))</f>
        <v>136</v>
      </c>
    </row>
    <row r="26" customFormat="false" ht="15" hidden="false" customHeight="false" outlineLevel="0" collapsed="false">
      <c r="B26" s="10" t="n">
        <v>2</v>
      </c>
      <c r="C26" s="16" t="n">
        <f aca="false">(Paramètres!$C$4/Paramètres!$C$7)*2</f>
        <v>8</v>
      </c>
      <c r="D26" s="16" t="n">
        <f aca="false">Paramètres!$C$8</f>
        <v>6</v>
      </c>
      <c r="E26" s="12" t="n">
        <v>7</v>
      </c>
      <c r="F26" s="16" t="n">
        <f aca="false">SUM($D$25:D26)-SUM($E$25:E26)</f>
        <v>0</v>
      </c>
      <c r="K26" s="12" t="n">
        <v>22</v>
      </c>
      <c r="L26" s="12" t="n">
        <v>9</v>
      </c>
      <c r="M26" s="12" t="n">
        <v>50</v>
      </c>
      <c r="N26" s="12" t="n">
        <v>11</v>
      </c>
      <c r="O26" s="12" t="n">
        <v>55</v>
      </c>
      <c r="P26" s="15" t="s">
        <v>78</v>
      </c>
      <c r="Q26" s="16" t="n">
        <f aca="false">IF(OR(N26="",K26=""),"",(N26*60+O26)-(L26*60+M26))</f>
        <v>125</v>
      </c>
    </row>
    <row r="27" customFormat="false" ht="15" hidden="false" customHeight="false" outlineLevel="0" collapsed="false">
      <c r="B27" s="10" t="n">
        <v>3</v>
      </c>
      <c r="C27" s="16" t="n">
        <f aca="false">(Paramètres!$C$4/Paramètres!$C$7)*3</f>
        <v>12</v>
      </c>
      <c r="D27" s="16" t="n">
        <f aca="false">Paramètres!$C$8</f>
        <v>6</v>
      </c>
      <c r="E27" s="12" t="n">
        <v>6</v>
      </c>
      <c r="F27" s="16" t="n">
        <f aca="false">SUM($D$25:D27)-SUM($E$25:E27)</f>
        <v>0</v>
      </c>
      <c r="K27" s="12" t="n">
        <v>23</v>
      </c>
      <c r="L27" s="12" t="n">
        <v>10</v>
      </c>
      <c r="M27" s="12" t="n">
        <v>15</v>
      </c>
      <c r="N27" s="12" t="n">
        <v>12</v>
      </c>
      <c r="O27" s="12" t="n">
        <v>20</v>
      </c>
      <c r="P27" s="15" t="s">
        <v>78</v>
      </c>
      <c r="Q27" s="16" t="n">
        <f aca="false">IF(OR(N27="",K27=""),"",(N27*60+O27)-(L27*60+M27))</f>
        <v>125</v>
      </c>
    </row>
    <row r="28" customFormat="false" ht="15" hidden="false" customHeight="false" outlineLevel="0" collapsed="false">
      <c r="B28" s="10" t="n">
        <v>4</v>
      </c>
      <c r="C28" s="16" t="n">
        <f aca="false">(Paramètres!$C$4/Paramètres!$C$7)*4</f>
        <v>16</v>
      </c>
      <c r="D28" s="16" t="n">
        <f aca="false">Paramètres!$C$8</f>
        <v>6</v>
      </c>
      <c r="E28" s="12" t="n">
        <v>6</v>
      </c>
      <c r="F28" s="16" t="n">
        <f aca="false">SUM($D$25:D28)-SUM($E$25:E28)</f>
        <v>0</v>
      </c>
      <c r="K28" s="12" t="n">
        <v>24</v>
      </c>
      <c r="L28" s="12" t="n">
        <v>10</v>
      </c>
      <c r="M28" s="12" t="n">
        <v>49</v>
      </c>
      <c r="N28" s="12" t="n">
        <v>12</v>
      </c>
      <c r="O28" s="12" t="n">
        <v>50</v>
      </c>
      <c r="P28" s="15" t="s">
        <v>78</v>
      </c>
      <c r="Q28" s="16" t="n">
        <f aca="false">IF(OR(N28="",K28=""),"",(N28*60+O28)-(L28*60+M28))</f>
        <v>121</v>
      </c>
    </row>
    <row r="29" customFormat="false" ht="15" hidden="false" customHeight="false" outlineLevel="0" collapsed="false">
      <c r="B29" s="18" t="s">
        <v>99</v>
      </c>
      <c r="D29" s="19" t="n">
        <f aca="false">SUM(D25:D28)</f>
        <v>24</v>
      </c>
      <c r="E29" s="19" t="n">
        <f aca="false">SUM(E25:E28)</f>
        <v>24</v>
      </c>
      <c r="K29" s="12" t="n">
        <v>25</v>
      </c>
      <c r="L29" s="12" t="n">
        <v>11</v>
      </c>
      <c r="M29" s="12" t="n">
        <v>24</v>
      </c>
      <c r="N29" s="12" t="n">
        <v>13</v>
      </c>
      <c r="O29" s="12" t="n">
        <v>17</v>
      </c>
      <c r="P29" s="15" t="s">
        <v>78</v>
      </c>
      <c r="Q29" s="16" t="n">
        <f aca="false">IF(OR(N29="",K29=""),"",(N29*60+O29)-(L29*60+M29))</f>
        <v>113</v>
      </c>
    </row>
    <row r="30" customFormat="false" ht="15" hidden="false" customHeight="false" outlineLevel="0" collapsed="false">
      <c r="K30" s="12" t="n">
        <v>26</v>
      </c>
      <c r="L30" s="12" t="n">
        <v>11</v>
      </c>
      <c r="M30" s="12" t="n">
        <v>55</v>
      </c>
      <c r="N30" s="12" t="n">
        <v>13</v>
      </c>
      <c r="O30" s="12" t="n">
        <v>48</v>
      </c>
      <c r="P30" s="15" t="s">
        <v>76</v>
      </c>
      <c r="Q30" s="16" t="n">
        <f aca="false">IF(OR(N30="",K30=""),"",(N30*60+O30)-(L30*60+M30))</f>
        <v>113</v>
      </c>
    </row>
    <row r="31" customFormat="false" ht="15" hidden="false" customHeight="false" outlineLevel="0" collapsed="false">
      <c r="B31" s="17" t="s">
        <v>100</v>
      </c>
      <c r="C31" s="12" t="n">
        <v>25</v>
      </c>
      <c r="K31" s="12" t="n">
        <v>27</v>
      </c>
      <c r="L31" s="12" t="n">
        <v>12</v>
      </c>
      <c r="M31" s="12" t="n">
        <v>20</v>
      </c>
      <c r="N31" s="12" t="n">
        <v>14</v>
      </c>
      <c r="O31" s="12" t="n">
        <v>15</v>
      </c>
      <c r="P31" s="15" t="s">
        <v>78</v>
      </c>
      <c r="Q31" s="16" t="n">
        <f aca="false">IF(OR(N31="",K31=""),"",(N31*60+O31)-(L31*60+M31))</f>
        <v>115</v>
      </c>
    </row>
    <row r="32" customFormat="false" ht="15" hidden="false" customHeight="false" outlineLevel="0" collapsed="false">
      <c r="K32" s="12" t="n">
        <v>28</v>
      </c>
      <c r="L32" s="12" t="n">
        <v>12</v>
      </c>
      <c r="M32" s="12" t="n">
        <v>50</v>
      </c>
      <c r="N32" s="12" t="n">
        <v>14</v>
      </c>
      <c r="O32" s="12" t="n">
        <v>43</v>
      </c>
      <c r="P32" s="15" t="s">
        <v>78</v>
      </c>
      <c r="Q32" s="16" t="n">
        <f aca="false">IF(OR(N32="",K32=""),"",(N32*60+O32)-(L32*60+M32))</f>
        <v>113</v>
      </c>
    </row>
    <row r="33" customFormat="false" ht="15" hidden="false" customHeight="false" outlineLevel="0" collapsed="false">
      <c r="K33" s="12" t="n">
        <v>29</v>
      </c>
      <c r="L33" s="12" t="n">
        <v>13</v>
      </c>
      <c r="M33" s="12" t="n">
        <v>17</v>
      </c>
      <c r="N33" s="12" t="n">
        <v>15</v>
      </c>
      <c r="O33" s="12" t="n">
        <v>11</v>
      </c>
      <c r="P33" s="15" t="s">
        <v>78</v>
      </c>
      <c r="Q33" s="16" t="n">
        <f aca="false">IF(OR(N33="",K33=""),"",(N33*60+O33)-(L33*60+M33))</f>
        <v>114</v>
      </c>
    </row>
    <row r="34" customFormat="false" ht="15" hidden="false" customHeight="false" outlineLevel="0" collapsed="false">
      <c r="B34" s="2" t="s">
        <v>101</v>
      </c>
      <c r="K34" s="12" t="n">
        <v>30</v>
      </c>
      <c r="L34" s="12" t="n">
        <v>13</v>
      </c>
      <c r="M34" s="12" t="n">
        <v>48</v>
      </c>
      <c r="N34" s="12" t="n">
        <v>15</v>
      </c>
      <c r="O34" s="12" t="n">
        <v>41</v>
      </c>
      <c r="P34" s="15" t="s">
        <v>78</v>
      </c>
      <c r="Q34" s="16" t="n">
        <f aca="false">IF(OR(N34="",K34=""),"",(N34*60+O34)-(L34*60+M34))</f>
        <v>113</v>
      </c>
    </row>
    <row r="35" customFormat="false" ht="15" hidden="false" customHeight="false" outlineLevel="0" collapsed="false">
      <c r="B35" s="8" t="s">
        <v>102</v>
      </c>
      <c r="C35" s="8" t="s">
        <v>34</v>
      </c>
      <c r="D35" s="8" t="s">
        <v>103</v>
      </c>
      <c r="K35" s="12" t="n">
        <v>31</v>
      </c>
      <c r="L35" s="12" t="n">
        <v>14</v>
      </c>
      <c r="M35" s="12" t="n">
        <v>7</v>
      </c>
      <c r="N35" s="12"/>
      <c r="O35" s="12"/>
      <c r="P35" s="15"/>
      <c r="Q35" s="16" t="str">
        <f aca="false">IF(OR(N35="",K35=""),"",(N35*60+O35)-(L35*60+M35))</f>
        <v/>
      </c>
    </row>
    <row r="36" customFormat="false" ht="15" hidden="false" customHeight="false" outlineLevel="0" collapsed="false">
      <c r="B36" s="9" t="s">
        <v>104</v>
      </c>
      <c r="C36" s="20" t="n">
        <f aca="false">COUNT(K5:K49)</f>
        <v>34</v>
      </c>
      <c r="D36" s="21" t="s">
        <v>105</v>
      </c>
      <c r="K36" s="12" t="n">
        <v>32</v>
      </c>
      <c r="L36" s="12" t="n">
        <v>14</v>
      </c>
      <c r="M36" s="12" t="n">
        <v>35</v>
      </c>
      <c r="N36" s="12"/>
      <c r="O36" s="12"/>
      <c r="P36" s="15"/>
      <c r="Q36" s="16" t="str">
        <f aca="false">IF(OR(N36="",K36=""),"",(N36*60+O36)-(L36*60+M36))</f>
        <v/>
      </c>
    </row>
    <row r="37" customFormat="false" ht="15" hidden="false" customHeight="false" outlineLevel="0" collapsed="false">
      <c r="B37" s="9" t="s">
        <v>106</v>
      </c>
      <c r="C37" s="20" t="n">
        <f aca="false">COUNT(Q5:Q49)</f>
        <v>30</v>
      </c>
      <c r="D37" s="21" t="s">
        <v>105</v>
      </c>
      <c r="K37" s="12" t="n">
        <v>33</v>
      </c>
      <c r="L37" s="12" t="n">
        <v>15</v>
      </c>
      <c r="M37" s="12" t="n">
        <v>4</v>
      </c>
      <c r="N37" s="12"/>
      <c r="O37" s="12"/>
      <c r="P37" s="15"/>
      <c r="Q37" s="16" t="str">
        <f aca="false">IF(OR(N37="",K37=""),"",(N37*60+O37)-(L37*60+M37))</f>
        <v/>
      </c>
    </row>
    <row r="38" customFormat="false" ht="15" hidden="false" customHeight="false" outlineLevel="0" collapsed="false">
      <c r="B38" s="9" t="s">
        <v>107</v>
      </c>
      <c r="C38" s="20" t="n">
        <f aca="false">COUNTIFS(P5:P49,"O",Q5:Q49,"&gt;=0")</f>
        <v>28</v>
      </c>
      <c r="D38" s="21" t="s">
        <v>105</v>
      </c>
      <c r="K38" s="12" t="n">
        <v>34</v>
      </c>
      <c r="L38" s="12" t="n">
        <v>15</v>
      </c>
      <c r="M38" s="12" t="n">
        <v>32</v>
      </c>
      <c r="N38" s="12"/>
      <c r="O38" s="12"/>
      <c r="P38" s="15"/>
      <c r="Q38" s="16" t="str">
        <f aca="false">IF(OR(N38="",K38=""),"",(N38*60+O38)-(L38*60+M38))</f>
        <v/>
      </c>
    </row>
    <row r="39" customFormat="false" ht="15" hidden="false" customHeight="false" outlineLevel="0" collapsed="false">
      <c r="B39" s="9" t="s">
        <v>108</v>
      </c>
      <c r="C39" s="22" t="n">
        <f aca="false">IFERROR(C38/C37,"")</f>
        <v>0.933333333333333</v>
      </c>
      <c r="D39" s="21"/>
      <c r="K39" s="12"/>
      <c r="L39" s="12"/>
      <c r="M39" s="12"/>
      <c r="N39" s="12"/>
      <c r="O39" s="12"/>
      <c r="P39" s="15"/>
      <c r="Q39" s="16" t="str">
        <f aca="false">IF(OR(N39="",K39=""),"",(N39*60+O39)-(L39*60+M39))</f>
        <v/>
      </c>
    </row>
    <row r="40" customFormat="false" ht="15" hidden="false" customHeight="false" outlineLevel="0" collapsed="false">
      <c r="B40" s="9" t="s">
        <v>109</v>
      </c>
      <c r="C40" s="20" t="n">
        <f aca="false">C20</f>
        <v>4</v>
      </c>
      <c r="D40" s="21" t="s">
        <v>105</v>
      </c>
      <c r="K40" s="12"/>
      <c r="L40" s="12"/>
      <c r="M40" s="12"/>
      <c r="N40" s="12"/>
      <c r="O40" s="12"/>
      <c r="P40" s="15"/>
      <c r="Q40" s="16" t="str">
        <f aca="false">IF(OR(N40="",K40=""),"",(N40*60+O40)-(L40*60+M40))</f>
        <v/>
      </c>
    </row>
    <row r="41" customFormat="false" ht="15" hidden="false" customHeight="false" outlineLevel="0" collapsed="false">
      <c r="B41" s="9" t="s">
        <v>110</v>
      </c>
      <c r="C41" s="20" t="n">
        <f aca="false">IFERROR(AVERAGE(Q5:Q49),"")</f>
        <v>119.666666666667</v>
      </c>
      <c r="D41" s="21" t="s">
        <v>111</v>
      </c>
      <c r="K41" s="12"/>
      <c r="L41" s="12"/>
      <c r="M41" s="12"/>
      <c r="N41" s="12"/>
      <c r="O41" s="12"/>
      <c r="P41" s="15"/>
      <c r="Q41" s="16" t="str">
        <f aca="false">IF(OR(N41="",K41=""),"",(N41*60+O41)-(L41*60+M41))</f>
        <v/>
      </c>
    </row>
    <row r="42" customFormat="false" ht="15" hidden="false" customHeight="false" outlineLevel="0" collapsed="false">
      <c r="B42" s="9" t="s">
        <v>112</v>
      </c>
      <c r="C42" s="20" t="n">
        <f aca="false">IFERROR(MEDIAN(Q5:Q49),"")</f>
        <v>113.5</v>
      </c>
      <c r="D42" s="21" t="s">
        <v>111</v>
      </c>
      <c r="K42" s="12"/>
      <c r="L42" s="12"/>
      <c r="M42" s="12"/>
      <c r="N42" s="12"/>
      <c r="O42" s="12"/>
      <c r="P42" s="15"/>
      <c r="Q42" s="16" t="str">
        <f aca="false">IF(OR(N42="",K42=""),"",(N42*60+O42)-(L42*60+M42))</f>
        <v/>
      </c>
    </row>
    <row r="43" customFormat="false" ht="15" hidden="false" customHeight="false" outlineLevel="0" collapsed="false">
      <c r="B43" s="9" t="s">
        <v>113</v>
      </c>
      <c r="C43" s="20" t="n">
        <f aca="false">IFERROR(MIN(Q5:Q49),"")</f>
        <v>101</v>
      </c>
      <c r="D43" s="21" t="s">
        <v>111</v>
      </c>
      <c r="K43" s="12"/>
      <c r="L43" s="12"/>
      <c r="M43" s="12"/>
      <c r="N43" s="12"/>
      <c r="O43" s="12"/>
      <c r="P43" s="15"/>
      <c r="Q43" s="16" t="str">
        <f aca="false">IF(OR(N43="",K43=""),"",(N43*60+O43)-(L43*60+M43))</f>
        <v/>
      </c>
    </row>
    <row r="44" customFormat="false" ht="15" hidden="false" customHeight="false" outlineLevel="0" collapsed="false">
      <c r="B44" s="9" t="s">
        <v>114</v>
      </c>
      <c r="C44" s="20" t="n">
        <f aca="false">IFERROR(MAX(Q5:Q49),"")</f>
        <v>195</v>
      </c>
      <c r="D44" s="21" t="s">
        <v>111</v>
      </c>
      <c r="K44" s="12"/>
      <c r="L44" s="12"/>
      <c r="M44" s="12"/>
      <c r="N44" s="12"/>
      <c r="O44" s="12"/>
      <c r="P44" s="15"/>
      <c r="Q44" s="16" t="str">
        <f aca="false">IF(OR(N44="",K44=""),"",(N44*60+O44)-(L44*60+M44))</f>
        <v/>
      </c>
    </row>
    <row r="45" customFormat="false" ht="15" hidden="false" customHeight="false" outlineLevel="0" collapsed="false">
      <c r="B45" s="9" t="s">
        <v>115</v>
      </c>
      <c r="C45" s="23" t="n">
        <f aca="false">IFERROR(C37/Paramètres!$C$4,"")</f>
        <v>1.875</v>
      </c>
      <c r="D45" s="21" t="s">
        <v>116</v>
      </c>
      <c r="K45" s="12"/>
      <c r="L45" s="12"/>
      <c r="M45" s="12"/>
      <c r="N45" s="12"/>
      <c r="O45" s="12"/>
      <c r="P45" s="15"/>
      <c r="Q45" s="16" t="str">
        <f aca="false">IF(OR(N45="",K45=""),"",(N45*60+O45)-(L45*60+M45))</f>
        <v/>
      </c>
    </row>
    <row r="46" customFormat="false" ht="15" hidden="false" customHeight="false" outlineLevel="0" collapsed="false">
      <c r="B46" s="9" t="s">
        <v>117</v>
      </c>
      <c r="C46" s="13" t="n">
        <f aca="false">IFERROR(Paramètres!$C$5/C37,"")</f>
        <v>32</v>
      </c>
      <c r="D46" s="21" t="s">
        <v>111</v>
      </c>
      <c r="K46" s="12"/>
      <c r="L46" s="12"/>
      <c r="M46" s="12"/>
      <c r="N46" s="12"/>
      <c r="O46" s="12"/>
      <c r="P46" s="15"/>
      <c r="Q46" s="16" t="str">
        <f aca="false">IF(OR(N46="",K46=""),"",(N46*60+O46)-(L46*60+M46))</f>
        <v/>
      </c>
    </row>
    <row r="47" customFormat="false" ht="15" hidden="false" customHeight="false" outlineLevel="0" collapsed="false">
      <c r="B47" s="9" t="s">
        <v>118</v>
      </c>
      <c r="C47" s="13" t="n">
        <f aca="false">Paramètres!$C$9</f>
        <v>40</v>
      </c>
      <c r="D47" s="21" t="s">
        <v>111</v>
      </c>
      <c r="K47" s="12"/>
      <c r="L47" s="12"/>
      <c r="M47" s="12"/>
      <c r="N47" s="12"/>
      <c r="O47" s="12"/>
      <c r="P47" s="15"/>
      <c r="Q47" s="16" t="str">
        <f aca="false">IF(OR(N47="",K47=""),"",(N47*60+O47)-(L47*60+M47))</f>
        <v/>
      </c>
    </row>
    <row r="48" customFormat="false" ht="15" hidden="false" customHeight="false" outlineLevel="0" collapsed="false">
      <c r="B48" s="9" t="s">
        <v>119</v>
      </c>
      <c r="C48" s="22" t="n">
        <f aca="false">IFERROR(H9/C41,"")</f>
        <v>0.852367688022284</v>
      </c>
      <c r="D48" s="21"/>
      <c r="K48" s="12"/>
      <c r="L48" s="12"/>
      <c r="M48" s="12"/>
      <c r="N48" s="12"/>
      <c r="O48" s="12"/>
      <c r="P48" s="15"/>
      <c r="Q48" s="16" t="str">
        <f aca="false">IF(OR(N48="",K48=""),"",(N48*60+O48)-(L48*60+M48))</f>
        <v/>
      </c>
    </row>
    <row r="49" customFormat="false" ht="15" hidden="false" customHeight="false" outlineLevel="0" collapsed="false">
      <c r="B49" s="9" t="s">
        <v>120</v>
      </c>
      <c r="C49" s="22" t="n">
        <f aca="false">IFERROR(E29/D29,"")</f>
        <v>1</v>
      </c>
      <c r="D49" s="21"/>
      <c r="K49" s="12"/>
      <c r="L49" s="12"/>
      <c r="M49" s="12"/>
      <c r="N49" s="12"/>
      <c r="O49" s="12"/>
      <c r="P49" s="15"/>
      <c r="Q49" s="16" t="str">
        <f aca="false">IF(OR(N49="",K49=""),"",(N49*60+O49)-(L49*60+M49))</f>
        <v/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6" min="3" style="0" width="16"/>
    <col collapsed="false" customWidth="true" hidden="false" outlineLevel="0" max="7" min="7" style="0" width="4"/>
  </cols>
  <sheetData>
    <row r="1" customFormat="false" ht="25.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B3" s="2" t="s">
        <v>124</v>
      </c>
    </row>
    <row r="4" customFormat="false" ht="15" hidden="false" customHeight="false" outlineLevel="0" collapsed="false">
      <c r="B4" s="8" t="s">
        <v>102</v>
      </c>
      <c r="C4" s="8" t="s">
        <v>125</v>
      </c>
      <c r="D4" s="8" t="s">
        <v>126</v>
      </c>
      <c r="E4" s="8" t="s">
        <v>127</v>
      </c>
    </row>
    <row r="5" customFormat="false" ht="15" hidden="false" customHeight="false" outlineLevel="0" collapsed="false">
      <c r="B5" s="9" t="s">
        <v>107</v>
      </c>
      <c r="C5" s="20" t="n">
        <f aca="false">'Round 1'!C38</f>
        <v>11</v>
      </c>
      <c r="D5" s="20" t="n">
        <f aca="false">'Round 2'!C38</f>
        <v>20</v>
      </c>
      <c r="E5" s="20" t="n">
        <f aca="false">'Round 3'!C38</f>
        <v>28</v>
      </c>
    </row>
    <row r="6" customFormat="false" ht="15" hidden="false" customHeight="false" outlineLevel="0" collapsed="false">
      <c r="B6" s="9" t="s">
        <v>128</v>
      </c>
      <c r="C6" s="20" t="n">
        <f aca="false">'Round 1'!C40</f>
        <v>26</v>
      </c>
      <c r="D6" s="20" t="n">
        <f aca="false">'Round 2'!C40</f>
        <v>6</v>
      </c>
      <c r="E6" s="20" t="n">
        <f aca="false">'Round 3'!C40</f>
        <v>4</v>
      </c>
    </row>
    <row r="7" customFormat="false" ht="15" hidden="false" customHeight="false" outlineLevel="0" collapsed="false">
      <c r="B7" s="9" t="s">
        <v>129</v>
      </c>
      <c r="C7" s="20" t="n">
        <f aca="false">'Round 1'!C41</f>
        <v>605.666666666667</v>
      </c>
      <c r="D7" s="20" t="n">
        <f aca="false">'Round 2'!C41</f>
        <v>213</v>
      </c>
      <c r="E7" s="20" t="n">
        <f aca="false">'Round 3'!C41</f>
        <v>119.666666666667</v>
      </c>
    </row>
    <row r="8" customFormat="false" ht="15" hidden="false" customHeight="false" outlineLevel="0" collapsed="false">
      <c r="B8" s="9" t="s">
        <v>130</v>
      </c>
      <c r="C8" s="23" t="n">
        <f aca="false">'Round 1'!C45</f>
        <v>0.9375</v>
      </c>
      <c r="D8" s="23" t="n">
        <f aca="false">'Round 2'!C45</f>
        <v>1.5</v>
      </c>
      <c r="E8" s="23" t="n">
        <f aca="false">'Round 3'!C45</f>
        <v>1.875</v>
      </c>
    </row>
    <row r="9" customFormat="false" ht="15" hidden="false" customHeight="false" outlineLevel="0" collapsed="false">
      <c r="B9" s="9" t="s">
        <v>131</v>
      </c>
      <c r="C9" s="13" t="n">
        <f aca="false">'Round 1'!C46</f>
        <v>64</v>
      </c>
      <c r="D9" s="13" t="n">
        <f aca="false">'Round 2'!C46</f>
        <v>40</v>
      </c>
      <c r="E9" s="13" t="n">
        <f aca="false">'Round 3'!C46</f>
        <v>32</v>
      </c>
    </row>
    <row r="10" customFormat="false" ht="15" hidden="false" customHeight="false" outlineLevel="0" collapsed="false">
      <c r="B10" s="9" t="s">
        <v>132</v>
      </c>
      <c r="C10" s="13" t="n">
        <f aca="false">Paramètres!$C$9</f>
        <v>40</v>
      </c>
      <c r="D10" s="13" t="n">
        <f aca="false">Paramètres!$C$9</f>
        <v>40</v>
      </c>
      <c r="E10" s="13" t="n">
        <f aca="false">Paramètres!$C$9</f>
        <v>40</v>
      </c>
    </row>
    <row r="11" customFormat="false" ht="15" hidden="false" customHeight="false" outlineLevel="0" collapsed="false">
      <c r="B11" s="9" t="s">
        <v>133</v>
      </c>
      <c r="C11" s="13" t="n">
        <f aca="false">'Round 1'!H9</f>
        <v>115</v>
      </c>
      <c r="D11" s="13" t="n">
        <f aca="false">'Round 2'!H9</f>
        <v>115</v>
      </c>
      <c r="E11" s="13" t="n">
        <f aca="false">'Round 3'!H9</f>
        <v>102</v>
      </c>
    </row>
    <row r="12" customFormat="false" ht="15" hidden="false" customHeight="false" outlineLevel="0" collapsed="false">
      <c r="B12" s="9" t="s">
        <v>119</v>
      </c>
      <c r="C12" s="22" t="n">
        <f aca="false">'Round 1'!C48</f>
        <v>0.189873417721519</v>
      </c>
      <c r="D12" s="22" t="n">
        <f aca="false">'Round 2'!C48</f>
        <v>0.539906103286385</v>
      </c>
      <c r="E12" s="22" t="n">
        <f aca="false">'Round 3'!C48</f>
        <v>0.852367688022284</v>
      </c>
    </row>
    <row r="13" customFormat="false" ht="15" hidden="false" customHeight="false" outlineLevel="0" collapsed="false">
      <c r="B13" s="9" t="s">
        <v>108</v>
      </c>
      <c r="C13" s="22" t="n">
        <f aca="false">'Round 1'!C39</f>
        <v>0.733333333333333</v>
      </c>
      <c r="D13" s="22" t="n">
        <f aca="false">'Round 2'!C39</f>
        <v>0.833333333333333</v>
      </c>
      <c r="E13" s="22" t="n">
        <f aca="false">'Round 3'!C39</f>
        <v>0.933333333333333</v>
      </c>
    </row>
    <row r="14" customFormat="false" ht="15" hidden="false" customHeight="false" outlineLevel="0" collapsed="false">
      <c r="B14" s="9" t="s">
        <v>120</v>
      </c>
      <c r="C14" s="22" t="n">
        <f aca="false">'Round 1'!C49</f>
        <v>0.458333333333333</v>
      </c>
      <c r="D14" s="22" t="n">
        <f aca="false">'Round 2'!C49</f>
        <v>0.833333333333333</v>
      </c>
      <c r="E14" s="22" t="n">
        <f aca="false">'Round 3'!C49</f>
        <v>1</v>
      </c>
    </row>
    <row r="17" customFormat="false" ht="15" hidden="false" customHeight="false" outlineLevel="0" collapsed="false">
      <c r="B17" s="2" t="s">
        <v>134</v>
      </c>
    </row>
    <row r="18" customFormat="false" ht="15" hidden="false" customHeight="false" outlineLevel="0" collapsed="false">
      <c r="B18" s="7" t="s">
        <v>135</v>
      </c>
    </row>
    <row r="19" customFormat="false" ht="15" hidden="false" customHeight="false" outlineLevel="0" collapsed="false">
      <c r="B19" s="8" t="s">
        <v>136</v>
      </c>
      <c r="C19" s="8" t="s">
        <v>125</v>
      </c>
      <c r="D19" s="8" t="s">
        <v>126</v>
      </c>
      <c r="E19" s="8" t="s">
        <v>127</v>
      </c>
    </row>
    <row r="20" customFormat="false" ht="15" hidden="false" customHeight="false" outlineLevel="0" collapsed="false">
      <c r="B20" s="9" t="s">
        <v>137</v>
      </c>
      <c r="C20" s="20" t="n">
        <f aca="false">C6</f>
        <v>26</v>
      </c>
      <c r="D20" s="20" t="n">
        <f aca="false">D6</f>
        <v>6</v>
      </c>
      <c r="E20" s="20" t="n">
        <f aca="false">E6</f>
        <v>4</v>
      </c>
    </row>
    <row r="21" customFormat="false" ht="15" hidden="false" customHeight="false" outlineLevel="0" collapsed="false">
      <c r="B21" s="9" t="s">
        <v>138</v>
      </c>
      <c r="C21" s="23" t="n">
        <f aca="false">C8</f>
        <v>0.9375</v>
      </c>
      <c r="D21" s="23" t="n">
        <f aca="false">D8</f>
        <v>1.5</v>
      </c>
      <c r="E21" s="23" t="n">
        <f aca="false">E8</f>
        <v>1.875</v>
      </c>
    </row>
    <row r="22" customFormat="false" ht="15" hidden="false" customHeight="false" outlineLevel="0" collapsed="false">
      <c r="B22" s="9" t="s">
        <v>139</v>
      </c>
      <c r="C22" s="20" t="n">
        <f aca="false">IFERROR(C20/C21*60,"")</f>
        <v>1664</v>
      </c>
      <c r="D22" s="20" t="n">
        <f aca="false">IFERROR(D20/D21*60,"")</f>
        <v>240</v>
      </c>
      <c r="E22" s="20" t="n">
        <f aca="false">IFERROR(E20/E21*60,"")</f>
        <v>128</v>
      </c>
    </row>
    <row r="23" customFormat="false" ht="15" hidden="false" customHeight="false" outlineLevel="0" collapsed="false">
      <c r="B23" s="9" t="s">
        <v>140</v>
      </c>
      <c r="C23" s="20" t="n">
        <f aca="false">C7</f>
        <v>605.666666666667</v>
      </c>
      <c r="D23" s="20" t="n">
        <f aca="false">D7</f>
        <v>213</v>
      </c>
      <c r="E23" s="20" t="n">
        <f aca="false">E7</f>
        <v>119.666666666667</v>
      </c>
    </row>
    <row r="24" customFormat="false" ht="15" hidden="false" customHeight="false" outlineLevel="0" collapsed="false">
      <c r="B24" s="9" t="s">
        <v>141</v>
      </c>
      <c r="C24" s="22" t="n">
        <f aca="false">IFERROR((C22-C23)/C23,"")</f>
        <v>1.7473858007705</v>
      </c>
      <c r="D24" s="22" t="n">
        <f aca="false">IFERROR((D22-D23)/D23,"")</f>
        <v>0.126760563380282</v>
      </c>
      <c r="E24" s="22" t="n">
        <f aca="false">IFERROR((E22-E23)/E23,"")</f>
        <v>0.0696378830083565</v>
      </c>
    </row>
    <row r="26" customFormat="false" ht="15" hidden="false" customHeight="false" outlineLevel="0" collapsed="false">
      <c r="B26" s="7" t="s">
        <v>142</v>
      </c>
    </row>
    <row r="27" customFormat="false" ht="15" hidden="false" customHeight="false" outlineLevel="0" collapsed="false">
      <c r="B27" s="7" t="s">
        <v>143</v>
      </c>
    </row>
    <row r="28" customFormat="false" ht="15" hidden="false" customHeight="false" outlineLevel="0" collapsed="false">
      <c r="B28" s="7" t="s">
        <v>144</v>
      </c>
    </row>
    <row r="29" customFormat="false" ht="15" hidden="false" customHeight="false" outlineLevel="0" collapsed="false">
      <c r="B29" s="7" t="s">
        <v>145</v>
      </c>
    </row>
    <row r="32" customFormat="false" ht="15" hidden="false" customHeight="false" outlineLevel="0" collapsed="false">
      <c r="B32" s="2" t="s">
        <v>146</v>
      </c>
    </row>
    <row r="33" customFormat="false" ht="15" hidden="false" customHeight="false" outlineLevel="0" collapsed="false">
      <c r="B33" s="7" t="s">
        <v>147</v>
      </c>
    </row>
    <row r="34" customFormat="false" ht="15" hidden="false" customHeight="false" outlineLevel="0" collapsed="false">
      <c r="B34" s="7" t="s">
        <v>148</v>
      </c>
    </row>
    <row r="35" customFormat="false" ht="15" hidden="false" customHeight="false" outlineLevel="0" collapsed="false">
      <c r="B35" s="8" t="s">
        <v>149</v>
      </c>
      <c r="C35" s="8" t="s">
        <v>125</v>
      </c>
      <c r="D35" s="8" t="s">
        <v>126</v>
      </c>
      <c r="E35" s="8" t="s">
        <v>127</v>
      </c>
    </row>
    <row r="36" customFormat="false" ht="15" hidden="false" customHeight="false" outlineLevel="0" collapsed="false">
      <c r="B36" s="9" t="s">
        <v>106</v>
      </c>
      <c r="C36" s="16" t="n">
        <f aca="false">'Round 1'!C37</f>
        <v>15</v>
      </c>
      <c r="D36" s="16" t="n">
        <f aca="false">'Round 2'!C37</f>
        <v>24</v>
      </c>
      <c r="E36" s="16" t="n">
        <f aca="false">'Round 3'!C37</f>
        <v>30</v>
      </c>
    </row>
    <row r="37" customFormat="false" ht="15" hidden="false" customHeight="false" outlineLevel="0" collapsed="false">
      <c r="B37" s="9" t="s">
        <v>107</v>
      </c>
      <c r="C37" s="16" t="n">
        <f aca="false">C5</f>
        <v>11</v>
      </c>
      <c r="D37" s="16" t="n">
        <f aca="false">D5</f>
        <v>20</v>
      </c>
      <c r="E37" s="16" t="n">
        <f aca="false">E5</f>
        <v>28</v>
      </c>
    </row>
    <row r="38" customFormat="false" ht="15" hidden="false" customHeight="false" outlineLevel="0" collapsed="false">
      <c r="B38" s="9" t="s">
        <v>150</v>
      </c>
      <c r="C38" s="16" t="n">
        <f aca="false">MIN(C37,Paramètres!$C$6)</f>
        <v>11</v>
      </c>
      <c r="D38" s="16" t="n">
        <f aca="false">MIN(D37,Paramètres!$C$6)</f>
        <v>20</v>
      </c>
      <c r="E38" s="16" t="n">
        <f aca="false">MIN(E37,Paramètres!$C$6)</f>
        <v>24</v>
      </c>
    </row>
    <row r="39" customFormat="false" ht="15" hidden="false" customHeight="false" outlineLevel="0" collapsed="false">
      <c r="B39" s="9" t="s">
        <v>151</v>
      </c>
      <c r="C39" s="16" t="n">
        <f aca="false">Paramètres!$C$5</f>
        <v>960</v>
      </c>
      <c r="D39" s="16" t="n">
        <f aca="false">Paramètres!$C$5</f>
        <v>960</v>
      </c>
      <c r="E39" s="16" t="n">
        <f aca="false">Paramètres!$C$5</f>
        <v>960</v>
      </c>
    </row>
    <row r="40" customFormat="false" ht="15" hidden="false" customHeight="false" outlineLevel="0" collapsed="false">
      <c r="B40" s="9" t="s">
        <v>152</v>
      </c>
      <c r="C40" s="16" t="n">
        <f aca="false">'Round 1'!C31</f>
        <v>0</v>
      </c>
      <c r="D40" s="16" t="n">
        <f aca="false">'Round 2'!C31</f>
        <v>15</v>
      </c>
      <c r="E40" s="16" t="n">
        <f aca="false">'Round 3'!C31</f>
        <v>25</v>
      </c>
    </row>
    <row r="41" customFormat="false" ht="15" hidden="false" customHeight="false" outlineLevel="0" collapsed="false">
      <c r="B41" s="9" t="s">
        <v>153</v>
      </c>
      <c r="C41" s="16" t="n">
        <f aca="false">C39-C40</f>
        <v>960</v>
      </c>
      <c r="D41" s="16" t="n">
        <f aca="false">D39-D40</f>
        <v>945</v>
      </c>
      <c r="E41" s="16" t="n">
        <f aca="false">E39-E40</f>
        <v>935</v>
      </c>
    </row>
    <row r="42" customFormat="false" ht="15" hidden="false" customHeight="false" outlineLevel="0" collapsed="false">
      <c r="B42" s="9" t="s">
        <v>154</v>
      </c>
      <c r="C42" s="16" t="n">
        <f aca="false">C38*Paramètres!$C$11</f>
        <v>385</v>
      </c>
      <c r="D42" s="16" t="n">
        <f aca="false">D38*Paramètres!$C$11</f>
        <v>700</v>
      </c>
      <c r="E42" s="16" t="n">
        <f aca="false">E38*Paramètres!$C$11</f>
        <v>840</v>
      </c>
    </row>
    <row r="43" customFormat="false" ht="15" hidden="false" customHeight="false" outlineLevel="0" collapsed="false">
      <c r="B43" s="9" t="s">
        <v>155</v>
      </c>
      <c r="C43" s="24" t="n">
        <f aca="false">IFERROR(C41/C39,"")</f>
        <v>1</v>
      </c>
      <c r="D43" s="24" t="n">
        <f aca="false">IFERROR(D41/D39,"")</f>
        <v>0.984375</v>
      </c>
      <c r="E43" s="24" t="n">
        <f aca="false">IFERROR(E41/E39,"")</f>
        <v>0.973958333333333</v>
      </c>
    </row>
    <row r="44" customFormat="false" ht="15" hidden="false" customHeight="false" outlineLevel="0" collapsed="false">
      <c r="B44" s="9" t="s">
        <v>156</v>
      </c>
      <c r="C44" s="24" t="n">
        <f aca="false">IFERROR(C36*Paramètres!$C$11/C41,"")</f>
        <v>0.546875</v>
      </c>
      <c r="D44" s="24" t="n">
        <f aca="false">IFERROR(D36*Paramètres!$C$11/D41,"")</f>
        <v>0.888888888888889</v>
      </c>
      <c r="E44" s="24" t="n">
        <f aca="false">IFERROR(E36*Paramètres!$C$11/E41,"")</f>
        <v>1.12299465240642</v>
      </c>
    </row>
    <row r="45" customFormat="false" ht="15" hidden="false" customHeight="false" outlineLevel="0" collapsed="false">
      <c r="B45" s="9" t="s">
        <v>157</v>
      </c>
      <c r="C45" s="24" t="n">
        <f aca="false">IFERROR(C38/C36,"")</f>
        <v>0.733333333333333</v>
      </c>
      <c r="D45" s="24" t="n">
        <f aca="false">IFERROR(D38/D36,"")</f>
        <v>0.833333333333333</v>
      </c>
      <c r="E45" s="24" t="n">
        <f aca="false">IFERROR(E38/E36,"")</f>
        <v>0.8</v>
      </c>
    </row>
    <row r="46" customFormat="false" ht="15" hidden="false" customHeight="false" outlineLevel="0" collapsed="false">
      <c r="B46" s="9" t="s">
        <v>158</v>
      </c>
      <c r="C46" s="22" t="n">
        <f aca="false">IFERROR(C43*C44*C45,"")</f>
        <v>0.401041666666667</v>
      </c>
      <c r="D46" s="22" t="n">
        <f aca="false">IFERROR(D43*D44*D45,"")</f>
        <v>0.729166666666667</v>
      </c>
      <c r="E46" s="22" t="n">
        <f aca="false">IFERROR(E43*E44*E45,"")</f>
        <v>0.875</v>
      </c>
    </row>
    <row r="47" customFormat="false" ht="15" hidden="false" customHeight="false" outlineLevel="0" collapsed="false">
      <c r="B47" s="9" t="s">
        <v>159</v>
      </c>
      <c r="C47" s="22" t="n">
        <f aca="false">IFERROR(C42/C39,"")</f>
        <v>0.401041666666667</v>
      </c>
      <c r="D47" s="22" t="n">
        <f aca="false">IFERROR(D42/D39,"")</f>
        <v>0.729166666666667</v>
      </c>
      <c r="E47" s="22" t="n">
        <f aca="false">IFERROR(E42/E39,"")</f>
        <v>0.875</v>
      </c>
    </row>
    <row r="49" customFormat="false" ht="15" hidden="false" customHeight="false" outlineLevel="0" collapsed="false">
      <c r="B49" s="7" t="s">
        <v>160</v>
      </c>
    </row>
    <row r="50" customFormat="false" ht="15" hidden="false" customHeight="false" outlineLevel="0" collapsed="false">
      <c r="B50" s="7" t="s">
        <v>161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2026-07-31T04:54:03Z</dcterms:created>
  <dc:creator>openpyxl</dc:creator>
  <dc:description/>
  <dc:language>en-US</dc:language>
  <cp:lastModifiedBy/>
  <dcterms:modified xsi:type="dcterms:W3CDTF">2026-07-31T04:54:06Z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