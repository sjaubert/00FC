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hubert_poleformation-uimmcvdl_fr/Documents/Bureau/"/>
    </mc:Choice>
  </mc:AlternateContent>
  <xr:revisionPtr revIDLastSave="1" documentId="8_{45CCBF35-86BD-47FF-804E-69EEBD55599D}" xr6:coauthVersionLast="47" xr6:coauthVersionMax="47" xr10:uidLastSave="{1127CAB6-7C7E-403F-9F6C-C2E2E237AA4E}"/>
  <bookViews>
    <workbookView xWindow="43080" yWindow="-120" windowWidth="29040" windowHeight="15720" xr2:uid="{57C63110-A53C-4A27-AFD1-0C77926CCA02}"/>
  </bookViews>
  <sheets>
    <sheet name="Feuil1" sheetId="1" r:id="rId1"/>
  </sheets>
  <definedNames>
    <definedName name="_xlnm.Print_Area" localSheetId="0">Feuil1!$A$1:$BF$55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5" i="1" l="1"/>
  <c r="W45" i="1"/>
  <c r="S45" i="1"/>
  <c r="R45" i="1"/>
  <c r="O45" i="1"/>
  <c r="M45" i="1"/>
  <c r="I45" i="1"/>
  <c r="H45" i="1"/>
  <c r="D45" i="1"/>
  <c r="C45" i="1"/>
  <c r="AB45" i="1"/>
  <c r="AC45" i="1"/>
  <c r="BC45" i="1"/>
  <c r="AU45" i="1"/>
  <c r="AT45" i="1"/>
  <c r="AQ45" i="1"/>
  <c r="AP45" i="1"/>
  <c r="AM45" i="1"/>
  <c r="AL45" i="1"/>
  <c r="AI45" i="1"/>
  <c r="AG45" i="1"/>
  <c r="M8" i="1" l="1"/>
  <c r="BB45" i="1"/>
  <c r="AX45" i="1"/>
  <c r="M7" i="1" l="1"/>
  <c r="M9" i="1" s="1"/>
</calcChain>
</file>

<file path=xl/sharedStrings.xml><?xml version="1.0" encoding="utf-8"?>
<sst xmlns="http://schemas.openxmlformats.org/spreadsheetml/2006/main" count="252" uniqueCount="105">
  <si>
    <t>Calendrier prévisionnel susceptible d'être modifié</t>
  </si>
  <si>
    <t>Formation :</t>
  </si>
  <si>
    <t>Dates de la formation :</t>
  </si>
  <si>
    <t>Lieu de formation :</t>
  </si>
  <si>
    <t>Total heures de formation du stage :</t>
  </si>
  <si>
    <t>h</t>
  </si>
  <si>
    <t>Total heures en centre :</t>
  </si>
  <si>
    <t>Total heures en entreprise :</t>
  </si>
  <si>
    <t>Septembre 2025</t>
  </si>
  <si>
    <t>Octobre 2025</t>
  </si>
  <si>
    <t>Décembre 2025</t>
  </si>
  <si>
    <t>Hrs Centre</t>
  </si>
  <si>
    <t>Hrs entrep</t>
  </si>
  <si>
    <t>S14</t>
  </si>
  <si>
    <t>S18</t>
  </si>
  <si>
    <t>S31</t>
  </si>
  <si>
    <t>S36</t>
  </si>
  <si>
    <t>S49</t>
  </si>
  <si>
    <t>TRE</t>
  </si>
  <si>
    <t>S32</t>
  </si>
  <si>
    <t>S19</t>
  </si>
  <si>
    <t>S15</t>
  </si>
  <si>
    <t>S37</t>
  </si>
  <si>
    <t>S50</t>
  </si>
  <si>
    <t>S33</t>
  </si>
  <si>
    <t>S20</t>
  </si>
  <si>
    <t>S16</t>
  </si>
  <si>
    <t>S38</t>
  </si>
  <si>
    <t>S51</t>
  </si>
  <si>
    <t>S34</t>
  </si>
  <si>
    <t>S21</t>
  </si>
  <si>
    <t>S17</t>
  </si>
  <si>
    <t>S39</t>
  </si>
  <si>
    <t>S52</t>
  </si>
  <si>
    <t>S35</t>
  </si>
  <si>
    <t>S22</t>
  </si>
  <si>
    <t>LEGENDE :</t>
  </si>
  <si>
    <t>Formation en centre</t>
  </si>
  <si>
    <t>Horaires</t>
  </si>
  <si>
    <t>Heures en entreprise</t>
  </si>
  <si>
    <t>Vacances scolaires (pour information)</t>
  </si>
  <si>
    <t>WE et Jours fériés</t>
  </si>
  <si>
    <t>RAN</t>
  </si>
  <si>
    <t>Lundi au Vendredi</t>
  </si>
  <si>
    <t>8H30 - 12H30 / 13H30 - 16H30</t>
  </si>
  <si>
    <t>Avril 2026</t>
  </si>
  <si>
    <t>Mai 2026</t>
  </si>
  <si>
    <t>Juin 2026</t>
  </si>
  <si>
    <t>S23</t>
  </si>
  <si>
    <t>S24</t>
  </si>
  <si>
    <t>S25</t>
  </si>
  <si>
    <t>S26</t>
  </si>
  <si>
    <t>Juillet 2026</t>
  </si>
  <si>
    <t>S27</t>
  </si>
  <si>
    <t>S28</t>
  </si>
  <si>
    <t>S29</t>
  </si>
  <si>
    <t>S30</t>
  </si>
  <si>
    <t>SST</t>
  </si>
  <si>
    <t>Liste des formateurs</t>
  </si>
  <si>
    <t>Aout 2026</t>
  </si>
  <si>
    <t>Septembre 2026</t>
  </si>
  <si>
    <t>S40</t>
  </si>
  <si>
    <t>BILAN</t>
  </si>
  <si>
    <t>INTER</t>
  </si>
  <si>
    <t>TPFP TMI 0137</t>
  </si>
  <si>
    <t>Octobre 2026</t>
  </si>
  <si>
    <t>Novembre 2026</t>
  </si>
  <si>
    <t>CERTIF</t>
  </si>
  <si>
    <t>SS</t>
  </si>
  <si>
    <t>45  Montargis</t>
  </si>
  <si>
    <t>Trans Eco</t>
  </si>
  <si>
    <t>Déc Num</t>
  </si>
  <si>
    <t>Hab Elec</t>
  </si>
  <si>
    <t>HSE</t>
  </si>
  <si>
    <t>Technique</t>
  </si>
  <si>
    <t>S41</t>
  </si>
  <si>
    <t>S42</t>
  </si>
  <si>
    <t>S43</t>
  </si>
  <si>
    <t>S44</t>
  </si>
  <si>
    <t>S45</t>
  </si>
  <si>
    <t>S46</t>
  </si>
  <si>
    <t>S47</t>
  </si>
  <si>
    <t>S48</t>
  </si>
  <si>
    <t>AC / MRP</t>
  </si>
  <si>
    <t xml:space="preserve"> 2.RAN Maths/Français</t>
  </si>
  <si>
    <t>14.SST</t>
  </si>
  <si>
    <t>17.Déc Numérique</t>
  </si>
  <si>
    <t>13.Hab Elec</t>
  </si>
  <si>
    <t>3.Softskills SS</t>
  </si>
  <si>
    <t>4.TRE</t>
  </si>
  <si>
    <t>11.AC / MRP</t>
  </si>
  <si>
    <t>15.Trans Eco</t>
  </si>
  <si>
    <t>12.HSE</t>
  </si>
  <si>
    <t>90j</t>
  </si>
  <si>
    <t>33j</t>
  </si>
  <si>
    <t>123j</t>
  </si>
  <si>
    <t>Prépa Livret</t>
  </si>
  <si>
    <t>Prép Liv</t>
  </si>
  <si>
    <t>Odile</t>
  </si>
  <si>
    <t>INTEGRATION</t>
  </si>
  <si>
    <t>Du 18 mai au 20 novembre 2026</t>
  </si>
  <si>
    <t>SY</t>
  </si>
  <si>
    <t>SJ</t>
  </si>
  <si>
    <t>CD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</si>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</sst>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mm\-yy;@"/>
    <numFmt numFmtId="165" formatCode="ddd\ d"/>
  </numFmts>
  <fonts count="3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20"/>
      <color theme="1"/>
      <name val="Calibri"/>
      <family val="2"/>
      <scheme val="minor"/>
    </font>
    <font>
      <b/>
      <i/>
      <sz val="14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color rgb="FFEE0000"/>
      <name val="Arial"/>
      <family val="2"/>
    </font>
    <font>
      <b/>
      <sz val="9"/>
      <color rgb="FFFF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8" tint="0.39997558519241921"/>
        <bgColor indexed="47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11BD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3" fillId="2" borderId="0" xfId="0" applyFont="1" applyFill="1"/>
    <xf numFmtId="164" fontId="0" fillId="2" borderId="0" xfId="0" applyNumberForma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164" fontId="0" fillId="0" borderId="0" xfId="0" applyNumberFormat="1"/>
    <xf numFmtId="0" fontId="8" fillId="4" borderId="5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wrapText="1"/>
    </xf>
    <xf numFmtId="165" fontId="7" fillId="7" borderId="3" xfId="0" applyNumberFormat="1" applyFont="1" applyFill="1" applyBorder="1" applyAlignment="1">
      <alignment horizontal="left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65" fontId="7" fillId="2" borderId="3" xfId="0" applyNumberFormat="1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vertical="center"/>
      <protection locked="0"/>
    </xf>
    <xf numFmtId="0" fontId="7" fillId="7" borderId="3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165" fontId="8" fillId="2" borderId="8" xfId="0" applyNumberFormat="1" applyFont="1" applyFill="1" applyBorder="1" applyAlignment="1">
      <alignment horizontal="center" vertical="center" textRotation="9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center" wrapText="1"/>
    </xf>
    <xf numFmtId="0" fontId="7" fillId="0" borderId="0" xfId="0" applyFont="1"/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4" fillId="0" borderId="0" xfId="0" applyFont="1"/>
    <xf numFmtId="0" fontId="12" fillId="0" borderId="0" xfId="0" applyFont="1"/>
    <xf numFmtId="0" fontId="13" fillId="0" borderId="0" xfId="0" applyFont="1"/>
    <xf numFmtId="0" fontId="0" fillId="10" borderId="0" xfId="0" applyFill="1" applyAlignment="1">
      <alignment vertical="center"/>
    </xf>
    <xf numFmtId="0" fontId="0" fillId="10" borderId="0" xfId="0" applyFill="1"/>
    <xf numFmtId="164" fontId="14" fillId="10" borderId="0" xfId="0" applyNumberFormat="1" applyFont="1" applyFill="1"/>
    <xf numFmtId="164" fontId="4" fillId="8" borderId="5" xfId="0" applyNumberFormat="1" applyFont="1" applyFill="1" applyBorder="1"/>
    <xf numFmtId="0" fontId="8" fillId="11" borderId="5" xfId="0" applyFont="1" applyFill="1" applyBorder="1" applyAlignment="1">
      <alignment horizontal="center" wrapText="1"/>
    </xf>
    <xf numFmtId="0" fontId="0" fillId="9" borderId="5" xfId="0" applyFill="1" applyBorder="1"/>
    <xf numFmtId="0" fontId="0" fillId="12" borderId="5" xfId="0" applyFill="1" applyBorder="1"/>
    <xf numFmtId="164" fontId="0" fillId="10" borderId="0" xfId="0" applyNumberFormat="1" applyFill="1"/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165" fontId="7" fillId="9" borderId="3" xfId="0" applyNumberFormat="1" applyFont="1" applyFill="1" applyBorder="1" applyAlignment="1">
      <alignment horizontal="left"/>
    </xf>
    <xf numFmtId="0" fontId="0" fillId="10" borderId="0" xfId="0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8" fillId="2" borderId="0" xfId="0" applyFont="1" applyFill="1" applyAlignment="1">
      <alignment vertical="center"/>
    </xf>
    <xf numFmtId="0" fontId="0" fillId="13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165" fontId="11" fillId="0" borderId="5" xfId="0" applyNumberFormat="1" applyFont="1" applyBorder="1" applyAlignment="1" applyProtection="1">
      <alignment horizontal="center" vertical="center"/>
      <protection locked="0"/>
    </xf>
    <xf numFmtId="0" fontId="17" fillId="2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/>
    </xf>
    <xf numFmtId="0" fontId="15" fillId="10" borderId="0" xfId="0" applyFont="1" applyFill="1"/>
    <xf numFmtId="0" fontId="0" fillId="10" borderId="0" xfId="0" applyFill="1" applyAlignment="1">
      <alignment horizont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4" fillId="19" borderId="5" xfId="0" applyFont="1" applyFill="1" applyBorder="1" applyAlignment="1" applyProtection="1">
      <alignment horizontal="center" vertical="center"/>
      <protection locked="0"/>
    </xf>
    <xf numFmtId="0" fontId="0" fillId="20" borderId="0" xfId="0" applyFill="1" applyAlignment="1">
      <alignment horizontal="center" vertical="center"/>
    </xf>
    <xf numFmtId="0" fontId="0" fillId="22" borderId="0" xfId="0" applyFill="1"/>
    <xf numFmtId="0" fontId="11" fillId="0" borderId="8" xfId="0" applyFont="1" applyBorder="1" applyAlignment="1" applyProtection="1">
      <alignment horizontal="center" vertical="center"/>
      <protection locked="0"/>
    </xf>
    <xf numFmtId="0" fontId="23" fillId="2" borderId="5" xfId="0" applyFont="1" applyFill="1" applyBorder="1" applyAlignment="1" applyProtection="1">
      <alignment horizontal="center" vertical="center"/>
      <protection locked="0"/>
    </xf>
    <xf numFmtId="0" fontId="9" fillId="5" borderId="5" xfId="0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left"/>
    </xf>
    <xf numFmtId="164" fontId="0" fillId="0" borderId="5" xfId="0" applyNumberFormat="1" applyBorder="1"/>
    <xf numFmtId="0" fontId="25" fillId="0" borderId="5" xfId="0" applyFont="1" applyBorder="1" applyAlignment="1">
      <alignment vertical="center"/>
    </xf>
    <xf numFmtId="0" fontId="5" fillId="7" borderId="5" xfId="0" applyFont="1" applyFill="1" applyBorder="1" applyAlignment="1" applyProtection="1">
      <alignment horizontal="center" vertical="center"/>
      <protection locked="0"/>
    </xf>
    <xf numFmtId="0" fontId="23" fillId="14" borderId="5" xfId="0" applyFont="1" applyFill="1" applyBorder="1" applyAlignment="1" applyProtection="1">
      <alignment horizontal="center" vertical="center"/>
      <protection locked="0"/>
    </xf>
    <xf numFmtId="0" fontId="7" fillId="15" borderId="5" xfId="0" applyFont="1" applyFill="1" applyBorder="1" applyAlignment="1" applyProtection="1">
      <alignment horizontal="center" vertical="center"/>
      <protection locked="0"/>
    </xf>
    <xf numFmtId="0" fontId="0" fillId="23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1" borderId="0" xfId="0" applyFill="1" applyAlignment="1">
      <alignment horizontal="center" vertical="center"/>
    </xf>
    <xf numFmtId="0" fontId="26" fillId="10" borderId="0" xfId="0" applyFont="1" applyFill="1"/>
    <xf numFmtId="0" fontId="27" fillId="18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/>
    </xf>
    <xf numFmtId="165" fontId="8" fillId="6" borderId="8" xfId="0" applyNumberFormat="1" applyFont="1" applyFill="1" applyBorder="1" applyAlignment="1">
      <alignment horizontal="center" vertical="center" textRotation="90"/>
    </xf>
    <xf numFmtId="0" fontId="22" fillId="7" borderId="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>
      <alignment vertical="top"/>
    </xf>
    <xf numFmtId="0" fontId="7" fillId="20" borderId="5" xfId="0" applyFont="1" applyFill="1" applyBorder="1" applyAlignment="1" applyProtection="1">
      <alignment horizontal="center" vertical="center"/>
      <protection locked="0"/>
    </xf>
    <xf numFmtId="0" fontId="4" fillId="17" borderId="5" xfId="0" applyFont="1" applyFill="1" applyBorder="1" applyAlignment="1" applyProtection="1">
      <alignment horizontal="center" vertical="center"/>
      <protection locked="0"/>
    </xf>
    <xf numFmtId="0" fontId="7" fillId="17" borderId="5" xfId="0" applyFont="1" applyFill="1" applyBorder="1" applyAlignment="1" applyProtection="1">
      <alignment horizontal="center" vertical="center"/>
      <protection locked="0"/>
    </xf>
    <xf numFmtId="0" fontId="24" fillId="6" borderId="5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7" fillId="14" borderId="5" xfId="0" applyFont="1" applyFill="1" applyBorder="1" applyAlignment="1" applyProtection="1">
      <alignment horizontal="center" vertical="center"/>
      <protection locked="0"/>
    </xf>
    <xf numFmtId="0" fontId="7" fillId="24" borderId="5" xfId="0" applyFont="1" applyFill="1" applyBorder="1" applyAlignment="1" applyProtection="1">
      <alignment horizontal="center" vertical="center"/>
      <protection locked="0"/>
    </xf>
    <xf numFmtId="0" fontId="8" fillId="19" borderId="5" xfId="0" applyFont="1" applyFill="1" applyBorder="1" applyAlignment="1" applyProtection="1">
      <alignment horizontal="center" vertical="center"/>
      <protection locked="0"/>
    </xf>
    <xf numFmtId="0" fontId="0" fillId="22" borderId="5" xfId="0" applyFill="1" applyBorder="1" applyAlignment="1">
      <alignment horizontal="center"/>
    </xf>
    <xf numFmtId="0" fontId="0" fillId="21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165" fontId="8" fillId="6" borderId="21" xfId="0" applyNumberFormat="1" applyFont="1" applyFill="1" applyBorder="1" applyAlignment="1">
      <alignment horizontal="center" vertical="center" textRotation="90"/>
    </xf>
    <xf numFmtId="165" fontId="8" fillId="6" borderId="19" xfId="0" applyNumberFormat="1" applyFont="1" applyFill="1" applyBorder="1" applyAlignment="1">
      <alignment horizontal="center" vertical="center" textRotation="90"/>
    </xf>
    <xf numFmtId="165" fontId="8" fillId="6" borderId="22" xfId="0" applyNumberFormat="1" applyFont="1" applyFill="1" applyBorder="1" applyAlignment="1">
      <alignment horizontal="center" vertical="center" textRotation="9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5" fontId="8" fillId="6" borderId="6" xfId="0" applyNumberFormat="1" applyFont="1" applyFill="1" applyBorder="1" applyAlignment="1">
      <alignment horizontal="center" vertical="center" textRotation="90"/>
    </xf>
    <xf numFmtId="165" fontId="8" fillId="6" borderId="3" xfId="0" applyNumberFormat="1" applyFont="1" applyFill="1" applyBorder="1" applyAlignment="1">
      <alignment horizontal="center" vertical="center" textRotation="90"/>
    </xf>
    <xf numFmtId="165" fontId="8" fillId="6" borderId="7" xfId="0" applyNumberFormat="1" applyFont="1" applyFill="1" applyBorder="1" applyAlignment="1">
      <alignment horizontal="center" vertical="center" textRotation="90"/>
    </xf>
    <xf numFmtId="165" fontId="8" fillId="6" borderId="8" xfId="0" applyNumberFormat="1" applyFont="1" applyFill="1" applyBorder="1" applyAlignment="1">
      <alignment horizontal="center" vertical="center" textRotation="90"/>
    </xf>
    <xf numFmtId="165" fontId="8" fillId="6" borderId="5" xfId="0" applyNumberFormat="1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0" fontId="0" fillId="10" borderId="0" xfId="0" applyFill="1" applyAlignment="1">
      <alignment horizontal="center" vertical="center"/>
    </xf>
    <xf numFmtId="0" fontId="0" fillId="10" borderId="12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15" fillId="0" borderId="9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16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18" xfId="0" applyFont="1" applyBorder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5" fillId="10" borderId="0" xfId="0" applyFont="1" applyFill="1" applyAlignment="1">
      <alignment horizontal="center" vertical="top"/>
    </xf>
    <xf numFmtId="0" fontId="28" fillId="6" borderId="6" xfId="0" applyFont="1" applyFill="1" applyBorder="1" applyAlignment="1">
      <alignment horizontal="center" vertical="center" textRotation="90"/>
    </xf>
    <xf numFmtId="0" fontId="28" fillId="6" borderId="7" xfId="0" applyFont="1" applyFill="1" applyBorder="1" applyAlignment="1">
      <alignment horizontal="center" vertical="center" textRotation="90"/>
    </xf>
    <xf numFmtId="0" fontId="28" fillId="6" borderId="8" xfId="0" applyFont="1" applyFill="1" applyBorder="1" applyAlignment="1">
      <alignment horizontal="center" vertical="center" textRotation="90"/>
    </xf>
    <xf numFmtId="0" fontId="29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C2E6"/>
      <color rgb="FFF11BD2"/>
      <color rgb="FFCC66FF"/>
      <color rgb="FFFFF2CC"/>
      <color rgb="FF99CC00"/>
      <color rgb="FF00FF00"/>
      <color rgb="FFF6D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444844</xdr:colOff>
      <xdr:row>0</xdr:row>
      <xdr:rowOff>136769</xdr:rowOff>
    </xdr:from>
    <xdr:to>
      <xdr:col>3</xdr:col>
      <xdr:colOff>524313</xdr:colOff>
      <xdr:row>5</xdr:row>
      <xdr:rowOff>169510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C59D0A-B516-4F73-931A-A738064A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59" y="136769"/>
          <a:ext cx="1005887" cy="1222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7CAE-02AB-41C1-9FE6-AF7FA64321B3}">
  <sheetPr>
    <pageSetUpPr fitToPage="1"/>
  </sheetPr>
  <dimension ref="A1:BF59"/>
  <sheetViews>
    <sheetView tabSelected="1" view="pageBreakPreview" topLeftCell="A7" zoomScale="70" zoomScaleNormal="60" zoomScaleSheetLayoutView="70" workbookViewId="0">
      <selection activeCell="BG53" sqref="BG53"/>
    </sheetView>
  </sheetViews>
  <sheetFormatPr baseColWidth="10" defaultColWidth="11.46484375" defaultRowHeight="14.25" x14ac:dyDescent="0.45"/>
  <cols>
    <col min="1" max="1" width="2.6640625" customWidth="1"/>
    <col min="2" max="2" width="7.33203125" customWidth="1"/>
    <col min="3" max="3" width="6.46484375" customWidth="1"/>
    <col min="4" max="4" width="9.53125" customWidth="1"/>
    <col min="5" max="5" width="11.19921875" customWidth="1"/>
    <col min="6" max="6" width="2.6640625" customWidth="1"/>
    <col min="7" max="7" width="7.33203125" customWidth="1"/>
    <col min="8" max="8" width="6.46484375" customWidth="1"/>
    <col min="9" max="9" width="9.53125" customWidth="1"/>
    <col min="10" max="10" width="12.1328125" customWidth="1"/>
    <col min="11" max="11" width="2.6640625" customWidth="1"/>
    <col min="12" max="12" width="7.33203125" customWidth="1"/>
    <col min="13" max="13" width="6.46484375" customWidth="1"/>
    <col min="14" max="15" width="9.53125" customWidth="1"/>
    <col min="16" max="16" width="3.6640625" customWidth="1"/>
    <col min="17" max="17" width="7.33203125" customWidth="1"/>
    <col min="18" max="18" width="6.46484375" customWidth="1"/>
    <col min="19" max="19" width="9.53125" customWidth="1"/>
    <col min="20" max="20" width="11.46484375" customWidth="1"/>
    <col min="21" max="21" width="2.6640625" customWidth="1"/>
    <col min="22" max="22" width="7.33203125" customWidth="1"/>
    <col min="23" max="23" width="6.46484375" customWidth="1"/>
    <col min="24" max="24" width="11.19921875" customWidth="1"/>
    <col min="25" max="25" width="9.53125" customWidth="1"/>
    <col min="26" max="26" width="2.6640625" customWidth="1"/>
    <col min="27" max="27" width="7.33203125" customWidth="1"/>
    <col min="28" max="28" width="6.46484375" customWidth="1"/>
    <col min="29" max="29" width="9.53125" customWidth="1"/>
    <col min="30" max="30" width="11.796875" customWidth="1"/>
    <col min="31" max="31" width="2.6640625" customWidth="1"/>
    <col min="32" max="32" width="7.33203125" customWidth="1"/>
    <col min="33" max="33" width="6.46484375" customWidth="1"/>
    <col min="34" max="34" width="11.46484375" customWidth="1"/>
    <col min="35" max="35" width="9" customWidth="1"/>
    <col min="36" max="36" width="2.6640625" hidden="1" customWidth="1"/>
    <col min="37" max="37" width="7.46484375" hidden="1" customWidth="1"/>
    <col min="38" max="39" width="6.46484375" hidden="1" customWidth="1"/>
    <col min="40" max="40" width="2.6640625" hidden="1" customWidth="1"/>
    <col min="41" max="41" width="17.1328125" hidden="1" customWidth="1"/>
    <col min="42" max="42" width="6.19921875" hidden="1" customWidth="1"/>
    <col min="43" max="43" width="22.53125" hidden="1" customWidth="1"/>
    <col min="44" max="44" width="0.1328125" hidden="1" customWidth="1"/>
    <col min="45" max="45" width="7.33203125" hidden="1" customWidth="1"/>
    <col min="46" max="47" width="6.46484375" hidden="1" customWidth="1"/>
    <col min="48" max="48" width="3.33203125" hidden="1" customWidth="1"/>
    <col min="49" max="49" width="6.86328125" hidden="1" customWidth="1"/>
    <col min="50" max="51" width="6.1328125" hidden="1" customWidth="1"/>
    <col min="52" max="52" width="3.86328125" hidden="1" customWidth="1"/>
    <col min="53" max="53" width="7" hidden="1" customWidth="1"/>
    <col min="54" max="54" width="9.1328125" hidden="1" customWidth="1"/>
    <col min="55" max="55" width="6.19921875" hidden="1" customWidth="1"/>
    <col min="56" max="56" width="11.46484375" customWidth="1"/>
    <col min="57" max="57" width="3" customWidth="1"/>
    <col min="58" max="58" width="24.33203125" customWidth="1"/>
  </cols>
  <sheetData>
    <row r="1" spans="1:58" ht="20.65" x14ac:dyDescent="0.6">
      <c r="A1" s="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"/>
      <c r="AW1" s="1"/>
      <c r="AX1" s="1"/>
      <c r="AY1" s="1"/>
    </row>
    <row r="2" spans="1:58" ht="17.25" x14ac:dyDescent="0.45">
      <c r="A2" s="1"/>
      <c r="C2" s="1"/>
      <c r="D2" s="1"/>
      <c r="E2" s="1"/>
      <c r="F2" s="1"/>
      <c r="G2" s="1"/>
      <c r="H2" s="1"/>
      <c r="I2" s="113"/>
      <c r="J2" s="113"/>
      <c r="K2" s="113"/>
      <c r="L2" s="113"/>
      <c r="M2" s="1"/>
      <c r="N2" s="2" t="s">
        <v>0</v>
      </c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8" ht="15" customHeight="1" x14ac:dyDescent="0.45">
      <c r="A3" s="1"/>
      <c r="B3" s="3"/>
      <c r="C3" s="1"/>
      <c r="D3" s="1"/>
      <c r="E3" s="1"/>
      <c r="F3" s="1"/>
      <c r="G3" s="1"/>
      <c r="H3" s="1"/>
      <c r="I3" s="113"/>
      <c r="J3" s="113"/>
      <c r="K3" s="113"/>
      <c r="L3" s="113"/>
      <c r="M3" s="4" t="s">
        <v>1</v>
      </c>
      <c r="N3" s="1"/>
      <c r="O3" s="1"/>
      <c r="P3" s="1"/>
      <c r="Q3" s="4"/>
      <c r="R3" s="65" t="s">
        <v>64</v>
      </c>
      <c r="S3" s="5"/>
      <c r="T3" s="5"/>
      <c r="U3" s="5"/>
      <c r="V3" s="1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8" x14ac:dyDescent="0.4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5" t="s">
        <v>2</v>
      </c>
      <c r="N4" s="1"/>
      <c r="O4" s="1"/>
      <c r="P4" s="1"/>
      <c r="Q4" s="5"/>
      <c r="R4" s="65" t="s">
        <v>100</v>
      </c>
      <c r="S4" s="5"/>
      <c r="T4" s="5"/>
      <c r="U4" s="5"/>
      <c r="V4" s="5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8" ht="24.75" customHeight="1" x14ac:dyDescent="0.45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5" t="s">
        <v>3</v>
      </c>
      <c r="N5" s="7"/>
      <c r="O5" s="7"/>
      <c r="P5" s="7"/>
      <c r="Q5" s="5"/>
      <c r="R5" s="87" t="s">
        <v>69</v>
      </c>
      <c r="S5" s="87"/>
      <c r="T5" s="7"/>
      <c r="U5" s="7"/>
      <c r="V5" s="7"/>
      <c r="W5" s="52"/>
      <c r="X5" s="4"/>
      <c r="Y5" s="4"/>
      <c r="Z5" s="4"/>
      <c r="AA5" s="4"/>
      <c r="AB5" s="4"/>
      <c r="AC5" s="4"/>
      <c r="AD5" s="4"/>
      <c r="AE5" s="4"/>
      <c r="AF5" s="52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7"/>
      <c r="AU5" s="7"/>
      <c r="AV5" s="1"/>
      <c r="AW5" s="1"/>
      <c r="AX5" s="1"/>
      <c r="AY5" s="1"/>
    </row>
    <row r="6" spans="1:58" x14ac:dyDescent="0.45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5"/>
      <c r="R6" s="5"/>
      <c r="S6" s="5"/>
      <c r="T6" s="5"/>
      <c r="U6" s="5"/>
      <c r="V6" s="5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1"/>
      <c r="AM6" s="8"/>
      <c r="AN6" s="8"/>
      <c r="AO6" s="8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8" ht="18" x14ac:dyDescent="0.45">
      <c r="A7" s="1"/>
      <c r="B7" s="116" t="s">
        <v>6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9">
        <f>C45+H45+M45+R45+W45+AB45+AG45+AT45+AX45+BB45</f>
        <v>616</v>
      </c>
      <c r="N7" s="4" t="s">
        <v>5</v>
      </c>
      <c r="O7" s="4"/>
      <c r="P7" s="4" t="s">
        <v>93</v>
      </c>
      <c r="R7" s="5"/>
      <c r="S7" s="63"/>
      <c r="T7" s="63"/>
      <c r="U7" s="64"/>
      <c r="V7" s="64"/>
      <c r="W7" s="63"/>
      <c r="X7" s="64"/>
      <c r="Y7" s="64"/>
      <c r="Z7" s="64"/>
      <c r="AA7" s="64"/>
      <c r="AB7" s="5"/>
      <c r="AC7" s="5"/>
      <c r="AD7" s="5"/>
      <c r="AE7" s="5"/>
      <c r="AF7" s="5"/>
      <c r="AG7" s="8"/>
      <c r="AH7" s="8"/>
      <c r="AI7" s="8"/>
      <c r="AK7" s="8"/>
      <c r="AL7" s="8"/>
      <c r="AM7" s="8"/>
      <c r="AN7" s="8"/>
      <c r="AO7" s="8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8" x14ac:dyDescent="0.45">
      <c r="A8" s="1"/>
      <c r="B8" s="116" t="s">
        <v>7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5">
        <f>D45+I45+O45+S45+Y45+AC45+AI45+AU45</f>
        <v>231</v>
      </c>
      <c r="N8" s="4" t="s">
        <v>5</v>
      </c>
      <c r="O8" s="4"/>
      <c r="P8" s="4" t="s">
        <v>94</v>
      </c>
      <c r="Q8" s="4"/>
      <c r="R8" s="5"/>
      <c r="S8" s="117"/>
      <c r="T8" s="117"/>
      <c r="U8" s="117"/>
      <c r="V8" s="117"/>
      <c r="W8" s="117"/>
      <c r="X8" s="10"/>
      <c r="Y8" s="10"/>
      <c r="Z8" s="10"/>
      <c r="AA8" s="10"/>
      <c r="AB8" s="117"/>
      <c r="AC8" s="117"/>
      <c r="AD8" s="117"/>
      <c r="AE8" s="117"/>
      <c r="AF8" s="117"/>
      <c r="AG8" s="10"/>
      <c r="AH8" s="10"/>
      <c r="AI8" s="10"/>
      <c r="AJ8" s="10"/>
      <c r="AK8" s="8"/>
      <c r="AL8" s="8"/>
      <c r="AM8" s="8"/>
      <c r="AN8" s="8"/>
      <c r="AO8" s="8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8" x14ac:dyDescent="0.45">
      <c r="A9" s="1"/>
      <c r="B9" s="116" t="s">
        <v>4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5">
        <f>M7+M8</f>
        <v>847</v>
      </c>
      <c r="N9" s="4" t="s">
        <v>5</v>
      </c>
      <c r="O9" s="4"/>
      <c r="P9" s="4" t="s">
        <v>95</v>
      </c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"/>
      <c r="AH9" s="1"/>
      <c r="AI9" s="1"/>
      <c r="AJ9" s="8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8" x14ac:dyDescent="0.45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8" ht="14.25" customHeight="1" x14ac:dyDescent="0.45">
      <c r="A11" s="121" t="s">
        <v>46</v>
      </c>
      <c r="B11" s="122"/>
      <c r="C11" s="122"/>
      <c r="D11" s="123"/>
      <c r="E11" s="66"/>
      <c r="F11" s="121" t="s">
        <v>47</v>
      </c>
      <c r="G11" s="122"/>
      <c r="H11" s="122"/>
      <c r="I11" s="123"/>
      <c r="J11" s="66"/>
      <c r="K11" s="121" t="s">
        <v>52</v>
      </c>
      <c r="L11" s="122"/>
      <c r="M11" s="122"/>
      <c r="N11" s="122"/>
      <c r="O11" s="123"/>
      <c r="P11" s="121" t="s">
        <v>59</v>
      </c>
      <c r="Q11" s="122"/>
      <c r="R11" s="122"/>
      <c r="S11" s="123"/>
      <c r="T11" s="66"/>
      <c r="U11" s="121" t="s">
        <v>60</v>
      </c>
      <c r="V11" s="122"/>
      <c r="W11" s="122"/>
      <c r="X11" s="122"/>
      <c r="Y11" s="123"/>
      <c r="Z11" s="121" t="s">
        <v>65</v>
      </c>
      <c r="AA11" s="122"/>
      <c r="AB11" s="122"/>
      <c r="AC11" s="123"/>
      <c r="AD11" s="66"/>
      <c r="AE11" s="121" t="s">
        <v>66</v>
      </c>
      <c r="AF11" s="122"/>
      <c r="AG11" s="122"/>
      <c r="AH11" s="122"/>
      <c r="AI11" s="123"/>
      <c r="AJ11" s="121" t="s">
        <v>9</v>
      </c>
      <c r="AK11" s="122"/>
      <c r="AL11" s="122"/>
      <c r="AM11" s="123"/>
      <c r="AN11" s="121" t="s">
        <v>8</v>
      </c>
      <c r="AO11" s="122"/>
      <c r="AP11" s="122"/>
      <c r="AQ11" s="123"/>
      <c r="AR11" s="121" t="s">
        <v>45</v>
      </c>
      <c r="AS11" s="122"/>
      <c r="AT11" s="122"/>
      <c r="AU11" s="123"/>
      <c r="AV11" s="121" t="s">
        <v>46</v>
      </c>
      <c r="AW11" s="122"/>
      <c r="AX11" s="122"/>
      <c r="AY11" s="123"/>
      <c r="AZ11" s="121" t="s">
        <v>10</v>
      </c>
      <c r="BA11" s="122"/>
      <c r="BB11" s="122"/>
      <c r="BC11" s="123"/>
    </row>
    <row r="12" spans="1:58" ht="24.75" customHeight="1" x14ac:dyDescent="0.45">
      <c r="A12" s="124"/>
      <c r="B12" s="119"/>
      <c r="C12" s="12" t="s">
        <v>11</v>
      </c>
      <c r="D12" s="32" t="s">
        <v>12</v>
      </c>
      <c r="E12" s="72"/>
      <c r="F12" s="125"/>
      <c r="G12" s="119"/>
      <c r="H12" s="12" t="s">
        <v>11</v>
      </c>
      <c r="I12" s="32" t="s">
        <v>12</v>
      </c>
      <c r="J12" s="72"/>
      <c r="K12" s="125"/>
      <c r="L12" s="119"/>
      <c r="M12" s="12" t="s">
        <v>11</v>
      </c>
      <c r="N12" s="32"/>
      <c r="O12" s="32" t="s">
        <v>12</v>
      </c>
      <c r="P12" s="118"/>
      <c r="Q12" s="119"/>
      <c r="R12" s="12" t="s">
        <v>11</v>
      </c>
      <c r="S12" s="32" t="s">
        <v>12</v>
      </c>
      <c r="T12" s="72"/>
      <c r="U12" s="125"/>
      <c r="V12" s="119"/>
      <c r="W12" s="12" t="s">
        <v>11</v>
      </c>
      <c r="X12" s="32"/>
      <c r="Y12" s="32" t="s">
        <v>12</v>
      </c>
      <c r="Z12" s="118"/>
      <c r="AA12" s="119"/>
      <c r="AB12" s="12" t="s">
        <v>11</v>
      </c>
      <c r="AC12" s="32" t="s">
        <v>12</v>
      </c>
      <c r="AD12" s="72"/>
      <c r="AE12" s="125"/>
      <c r="AF12" s="119"/>
      <c r="AG12" s="12" t="s">
        <v>11</v>
      </c>
      <c r="AH12" s="32"/>
      <c r="AI12" s="32" t="s">
        <v>12</v>
      </c>
      <c r="AJ12" s="125"/>
      <c r="AK12" s="119"/>
      <c r="AL12" s="12" t="s">
        <v>11</v>
      </c>
      <c r="AM12" s="13" t="s">
        <v>12</v>
      </c>
      <c r="AN12" s="120"/>
      <c r="AO12" s="119"/>
      <c r="AP12" s="12" t="s">
        <v>11</v>
      </c>
      <c r="AQ12" s="13" t="s">
        <v>12</v>
      </c>
      <c r="AR12" s="120"/>
      <c r="AS12" s="119"/>
      <c r="AT12" s="12" t="s">
        <v>11</v>
      </c>
      <c r="AU12" s="13" t="s">
        <v>12</v>
      </c>
      <c r="AV12" s="118"/>
      <c r="AW12" s="119"/>
      <c r="AX12" s="12" t="s">
        <v>11</v>
      </c>
      <c r="AY12" s="13" t="s">
        <v>12</v>
      </c>
      <c r="AZ12" s="118"/>
      <c r="BA12" s="119"/>
      <c r="BB12" s="12" t="s">
        <v>11</v>
      </c>
      <c r="BC12" s="13" t="s">
        <v>12</v>
      </c>
    </row>
    <row r="13" spans="1:58" ht="15" customHeight="1" x14ac:dyDescent="0.5">
      <c r="A13" s="100" t="s">
        <v>14</v>
      </c>
      <c r="B13" s="14">
        <v>45870</v>
      </c>
      <c r="C13" s="20"/>
      <c r="D13" s="15"/>
      <c r="E13" s="15"/>
      <c r="F13" s="100" t="s">
        <v>48</v>
      </c>
      <c r="G13" s="16">
        <v>45901</v>
      </c>
      <c r="H13" s="67">
        <v>7</v>
      </c>
      <c r="I13" s="71"/>
      <c r="J13" s="92" t="s">
        <v>74</v>
      </c>
      <c r="K13" s="108" t="s">
        <v>53</v>
      </c>
      <c r="L13" s="16">
        <v>45931</v>
      </c>
      <c r="M13" s="67">
        <v>7</v>
      </c>
      <c r="N13" s="91" t="s">
        <v>72</v>
      </c>
      <c r="O13" s="26"/>
      <c r="P13" s="107" t="s">
        <v>19</v>
      </c>
      <c r="Q13" s="14">
        <v>46235</v>
      </c>
      <c r="R13" s="20"/>
      <c r="S13" s="20"/>
      <c r="T13" s="20"/>
      <c r="U13" s="107" t="s">
        <v>16</v>
      </c>
      <c r="V13" s="16">
        <v>46266</v>
      </c>
      <c r="W13" s="67">
        <v>7</v>
      </c>
      <c r="X13" s="79" t="s">
        <v>97</v>
      </c>
      <c r="Y13" s="26"/>
      <c r="Z13" s="107"/>
      <c r="AA13" s="16">
        <v>46296</v>
      </c>
      <c r="AB13" s="67">
        <v>7</v>
      </c>
      <c r="AC13" s="22"/>
      <c r="AD13" s="92" t="s">
        <v>74</v>
      </c>
      <c r="AE13" s="107" t="s">
        <v>79</v>
      </c>
      <c r="AF13" s="14">
        <v>46327</v>
      </c>
      <c r="AG13" s="20"/>
      <c r="AH13" s="105"/>
      <c r="AI13" s="106"/>
      <c r="AJ13" s="108" t="s">
        <v>15</v>
      </c>
      <c r="AK13" s="16">
        <v>45931</v>
      </c>
      <c r="AL13" s="22"/>
      <c r="AM13" s="25"/>
      <c r="AN13" s="111" t="s">
        <v>16</v>
      </c>
      <c r="AO13" s="16">
        <v>45901</v>
      </c>
      <c r="AP13" s="48"/>
      <c r="AQ13" s="28"/>
      <c r="AR13" s="111" t="s">
        <v>13</v>
      </c>
      <c r="AS13" s="16">
        <v>46113</v>
      </c>
      <c r="AT13" s="22"/>
      <c r="AU13" s="18"/>
      <c r="AV13" s="107"/>
      <c r="AW13" s="14">
        <v>46143</v>
      </c>
      <c r="AX13" s="23"/>
      <c r="AY13" s="24"/>
      <c r="AZ13" s="111" t="s">
        <v>17</v>
      </c>
      <c r="BA13" s="16">
        <v>45992</v>
      </c>
      <c r="BB13" s="20"/>
      <c r="BC13" s="15"/>
    </row>
    <row r="14" spans="1:58" ht="15" customHeight="1" x14ac:dyDescent="0.45">
      <c r="A14" s="101"/>
      <c r="B14" s="14">
        <v>45871</v>
      </c>
      <c r="C14" s="20"/>
      <c r="D14" s="20"/>
      <c r="E14" s="20"/>
      <c r="F14" s="101"/>
      <c r="G14" s="16">
        <v>45902</v>
      </c>
      <c r="H14" s="67">
        <v>7</v>
      </c>
      <c r="I14" s="26"/>
      <c r="J14" s="92" t="s">
        <v>74</v>
      </c>
      <c r="K14" s="108"/>
      <c r="L14" s="16">
        <v>45932</v>
      </c>
      <c r="M14" s="67">
        <v>7</v>
      </c>
      <c r="N14" s="142" t="s">
        <v>70</v>
      </c>
      <c r="O14" s="142" t="s">
        <v>103</v>
      </c>
      <c r="P14" s="109"/>
      <c r="Q14" s="14">
        <v>46236</v>
      </c>
      <c r="R14" s="20"/>
      <c r="S14" s="15"/>
      <c r="T14" s="15"/>
      <c r="U14" s="98"/>
      <c r="V14" s="16">
        <v>46267</v>
      </c>
      <c r="W14" s="67">
        <v>7</v>
      </c>
      <c r="X14" s="92" t="s">
        <v>74</v>
      </c>
      <c r="Y14" s="22"/>
      <c r="Z14" s="99"/>
      <c r="AA14" s="16">
        <v>46297</v>
      </c>
      <c r="AB14" s="67">
        <v>7</v>
      </c>
      <c r="AC14" s="26"/>
      <c r="AD14" s="92" t="s">
        <v>74</v>
      </c>
      <c r="AE14" s="98"/>
      <c r="AF14" s="16">
        <v>46328</v>
      </c>
      <c r="AG14" s="67">
        <v>7</v>
      </c>
      <c r="AH14" s="93" t="s">
        <v>18</v>
      </c>
      <c r="AI14" s="93" t="s">
        <v>101</v>
      </c>
      <c r="AJ14" s="108"/>
      <c r="AK14" s="16">
        <v>45932</v>
      </c>
      <c r="AL14" s="22"/>
      <c r="AM14" s="25"/>
      <c r="AN14" s="111"/>
      <c r="AO14" s="16">
        <v>45902</v>
      </c>
      <c r="AP14" s="22"/>
      <c r="AQ14" s="17"/>
      <c r="AR14" s="111"/>
      <c r="AS14" s="16">
        <v>46114</v>
      </c>
      <c r="AT14" s="22"/>
      <c r="AU14" s="18"/>
      <c r="AV14" s="109"/>
      <c r="AW14" s="14">
        <v>46144</v>
      </c>
      <c r="AX14" s="20"/>
      <c r="AY14" s="21"/>
      <c r="AZ14" s="111"/>
      <c r="BA14" s="16">
        <v>45993</v>
      </c>
      <c r="BB14" s="22"/>
      <c r="BC14" s="26"/>
      <c r="BF14" s="74" t="s">
        <v>58</v>
      </c>
    </row>
    <row r="15" spans="1:58" ht="15" customHeight="1" x14ac:dyDescent="0.45">
      <c r="A15" s="102"/>
      <c r="B15" s="14">
        <v>45872</v>
      </c>
      <c r="C15" s="15"/>
      <c r="D15" s="15"/>
      <c r="E15" s="15"/>
      <c r="F15" s="101"/>
      <c r="G15" s="16">
        <v>45903</v>
      </c>
      <c r="H15" s="67">
        <v>7</v>
      </c>
      <c r="I15" s="26"/>
      <c r="J15" s="92" t="s">
        <v>74</v>
      </c>
      <c r="K15" s="108"/>
      <c r="L15" s="16">
        <v>45933</v>
      </c>
      <c r="M15" s="67">
        <v>7</v>
      </c>
      <c r="N15" s="142" t="s">
        <v>70</v>
      </c>
      <c r="O15" s="142" t="s">
        <v>103</v>
      </c>
      <c r="P15" s="109"/>
      <c r="Q15" s="49">
        <v>46237</v>
      </c>
      <c r="R15" s="67">
        <v>7</v>
      </c>
      <c r="S15" s="26"/>
      <c r="T15" s="92" t="s">
        <v>74</v>
      </c>
      <c r="U15" s="98"/>
      <c r="V15" s="16">
        <v>46268</v>
      </c>
      <c r="W15" s="67">
        <v>7</v>
      </c>
      <c r="X15" s="92" t="s">
        <v>74</v>
      </c>
      <c r="Y15" s="26"/>
      <c r="Z15" s="107" t="s">
        <v>75</v>
      </c>
      <c r="AA15" s="14">
        <v>46298</v>
      </c>
      <c r="AB15" s="20"/>
      <c r="AC15" s="15"/>
      <c r="AD15" s="15"/>
      <c r="AE15" s="98"/>
      <c r="AF15" s="16">
        <v>46329</v>
      </c>
      <c r="AG15" s="67">
        <v>7</v>
      </c>
      <c r="AH15" s="92" t="s">
        <v>74</v>
      </c>
      <c r="AI15" s="22"/>
      <c r="AJ15" s="108"/>
      <c r="AK15" s="16">
        <v>45933</v>
      </c>
      <c r="AL15" s="22"/>
      <c r="AM15" s="25"/>
      <c r="AN15" s="111"/>
      <c r="AO15" s="16">
        <v>45903</v>
      </c>
      <c r="AP15" s="22"/>
      <c r="AQ15" s="17"/>
      <c r="AR15" s="111"/>
      <c r="AS15" s="16">
        <v>46115</v>
      </c>
      <c r="AT15" s="22"/>
      <c r="AU15" s="18"/>
      <c r="AV15" s="110"/>
      <c r="AW15" s="14">
        <v>46145</v>
      </c>
      <c r="AX15" s="20"/>
      <c r="AY15" s="47"/>
      <c r="AZ15" s="111"/>
      <c r="BA15" s="16">
        <v>45994</v>
      </c>
      <c r="BB15" s="22"/>
      <c r="BC15" s="26"/>
      <c r="BF15" s="74"/>
    </row>
    <row r="16" spans="1:58" ht="15" customHeight="1" x14ac:dyDescent="0.45">
      <c r="A16" s="100" t="s">
        <v>20</v>
      </c>
      <c r="B16" s="16">
        <v>45873</v>
      </c>
      <c r="C16" s="22"/>
      <c r="D16" s="26"/>
      <c r="E16" s="26"/>
      <c r="F16" s="101"/>
      <c r="G16" s="16">
        <v>45904</v>
      </c>
      <c r="H16" s="67">
        <v>7</v>
      </c>
      <c r="I16" s="26"/>
      <c r="J16" s="92" t="s">
        <v>74</v>
      </c>
      <c r="K16" s="108" t="s">
        <v>54</v>
      </c>
      <c r="L16" s="14">
        <v>45934</v>
      </c>
      <c r="M16" s="15"/>
      <c r="N16" s="15"/>
      <c r="O16" s="15"/>
      <c r="P16" s="109"/>
      <c r="Q16" s="49">
        <v>46238</v>
      </c>
      <c r="R16" s="67">
        <v>7</v>
      </c>
      <c r="S16" s="26"/>
      <c r="T16" s="92" t="s">
        <v>74</v>
      </c>
      <c r="U16" s="99"/>
      <c r="V16" s="16">
        <v>46269</v>
      </c>
      <c r="W16" s="67">
        <v>7</v>
      </c>
      <c r="X16" s="92" t="s">
        <v>74</v>
      </c>
      <c r="Y16" s="26"/>
      <c r="Z16" s="98"/>
      <c r="AA16" s="14">
        <v>46299</v>
      </c>
      <c r="AB16" s="20"/>
      <c r="AC16" s="15"/>
      <c r="AD16" s="15"/>
      <c r="AE16" s="98"/>
      <c r="AF16" s="16">
        <v>46330</v>
      </c>
      <c r="AG16" s="67">
        <v>7</v>
      </c>
      <c r="AH16" s="92" t="s">
        <v>74</v>
      </c>
      <c r="AI16" s="26"/>
      <c r="AJ16" s="108" t="s">
        <v>19</v>
      </c>
      <c r="AK16" s="14">
        <v>45934</v>
      </c>
      <c r="AL16" s="15"/>
      <c r="AM16" s="19"/>
      <c r="AN16" s="111"/>
      <c r="AO16" s="16">
        <v>45904</v>
      </c>
      <c r="AP16" s="22"/>
      <c r="AQ16" s="17"/>
      <c r="AR16" s="111"/>
      <c r="AS16" s="14">
        <v>46116</v>
      </c>
      <c r="AT16" s="15"/>
      <c r="AU16" s="19"/>
      <c r="AV16" s="107" t="s">
        <v>20</v>
      </c>
      <c r="AW16" s="16">
        <v>46146</v>
      </c>
      <c r="AX16" s="22"/>
      <c r="AY16" s="18"/>
      <c r="AZ16" s="111"/>
      <c r="BA16" s="16">
        <v>45995</v>
      </c>
      <c r="BB16" s="26"/>
      <c r="BC16" s="26"/>
      <c r="BF16" s="75"/>
    </row>
    <row r="17" spans="1:58" ht="15" customHeight="1" x14ac:dyDescent="0.45">
      <c r="A17" s="101"/>
      <c r="B17" s="16">
        <v>45874</v>
      </c>
      <c r="C17" s="22"/>
      <c r="D17" s="26"/>
      <c r="E17" s="26"/>
      <c r="F17" s="101"/>
      <c r="G17" s="16">
        <v>45905</v>
      </c>
      <c r="H17" s="67">
        <v>7</v>
      </c>
      <c r="I17" s="26"/>
      <c r="J17" s="54" t="s">
        <v>74</v>
      </c>
      <c r="K17" s="108"/>
      <c r="L17" s="14">
        <v>45935</v>
      </c>
      <c r="M17" s="15"/>
      <c r="N17" s="15"/>
      <c r="O17" s="15"/>
      <c r="P17" s="109"/>
      <c r="Q17" s="49">
        <v>46239</v>
      </c>
      <c r="R17" s="67">
        <v>7</v>
      </c>
      <c r="S17" s="26"/>
      <c r="T17" s="92" t="s">
        <v>74</v>
      </c>
      <c r="U17" s="107" t="s">
        <v>22</v>
      </c>
      <c r="V17" s="14">
        <v>46270</v>
      </c>
      <c r="W17" s="15"/>
      <c r="X17" s="15"/>
      <c r="Y17" s="15"/>
      <c r="Z17" s="98"/>
      <c r="AA17" s="16">
        <v>46300</v>
      </c>
      <c r="AB17" s="67">
        <v>7</v>
      </c>
      <c r="AC17" s="26"/>
      <c r="AD17" s="92" t="s">
        <v>74</v>
      </c>
      <c r="AE17" s="98"/>
      <c r="AF17" s="16">
        <v>46331</v>
      </c>
      <c r="AG17" s="67">
        <v>7</v>
      </c>
      <c r="AH17" s="92" t="s">
        <v>74</v>
      </c>
      <c r="AI17" s="26"/>
      <c r="AJ17" s="108"/>
      <c r="AK17" s="14">
        <v>45935</v>
      </c>
      <c r="AL17" s="15"/>
      <c r="AM17" s="19"/>
      <c r="AN17" s="111"/>
      <c r="AO17" s="16">
        <v>45905</v>
      </c>
      <c r="AP17" s="22"/>
      <c r="AQ17" s="17"/>
      <c r="AR17" s="111"/>
      <c r="AS17" s="14">
        <v>46117</v>
      </c>
      <c r="AT17" s="15"/>
      <c r="AU17" s="19"/>
      <c r="AV17" s="109"/>
      <c r="AW17" s="16">
        <v>46147</v>
      </c>
      <c r="AX17" s="22"/>
      <c r="AY17" s="18"/>
      <c r="AZ17" s="111"/>
      <c r="BA17" s="16">
        <v>45996</v>
      </c>
      <c r="BB17" s="26"/>
      <c r="BC17" s="26"/>
      <c r="BF17" s="75"/>
    </row>
    <row r="18" spans="1:58" ht="15" customHeight="1" x14ac:dyDescent="0.45">
      <c r="A18" s="101"/>
      <c r="B18" s="16">
        <v>45875</v>
      </c>
      <c r="C18" s="22"/>
      <c r="D18" s="26"/>
      <c r="E18" s="26"/>
      <c r="F18" s="101"/>
      <c r="G18" s="14">
        <v>45906</v>
      </c>
      <c r="H18" s="20"/>
      <c r="I18" s="20"/>
      <c r="J18" s="20"/>
      <c r="K18" s="108"/>
      <c r="L18" s="49">
        <v>45936</v>
      </c>
      <c r="M18" s="32"/>
      <c r="N18" s="32"/>
      <c r="O18" s="32">
        <v>7</v>
      </c>
      <c r="P18" s="109"/>
      <c r="Q18" s="49">
        <v>46240</v>
      </c>
      <c r="R18" s="67">
        <v>7</v>
      </c>
      <c r="S18" s="22"/>
      <c r="T18" s="92" t="s">
        <v>74</v>
      </c>
      <c r="U18" s="98"/>
      <c r="V18" s="14">
        <v>46271</v>
      </c>
      <c r="W18" s="76"/>
      <c r="X18" s="103"/>
      <c r="Y18" s="104"/>
      <c r="Z18" s="98"/>
      <c r="AA18" s="16">
        <v>46301</v>
      </c>
      <c r="AB18" s="67">
        <v>7</v>
      </c>
      <c r="AC18" s="22"/>
      <c r="AD18" s="92" t="s">
        <v>74</v>
      </c>
      <c r="AE18" s="98"/>
      <c r="AF18" s="16">
        <v>46332</v>
      </c>
      <c r="AG18" s="67">
        <v>7</v>
      </c>
      <c r="AH18" s="92" t="s">
        <v>74</v>
      </c>
      <c r="AI18" s="26"/>
      <c r="AJ18" s="108"/>
      <c r="AK18" s="16">
        <v>45936</v>
      </c>
      <c r="AL18" s="26"/>
      <c r="AM18" s="27"/>
      <c r="AN18" s="111"/>
      <c r="AO18" s="14">
        <v>45906</v>
      </c>
      <c r="AP18" s="20"/>
      <c r="AQ18" s="21"/>
      <c r="AR18" s="111" t="s">
        <v>21</v>
      </c>
      <c r="AS18" s="14">
        <v>46118</v>
      </c>
      <c r="AT18" s="20"/>
      <c r="AU18" s="47"/>
      <c r="AV18" s="109"/>
      <c r="AW18" s="16">
        <v>46148</v>
      </c>
      <c r="AX18" s="22"/>
      <c r="AY18" s="18"/>
      <c r="AZ18" s="111"/>
      <c r="BA18" s="14">
        <v>45997</v>
      </c>
      <c r="BB18" s="15"/>
      <c r="BC18" s="24"/>
      <c r="BF18" s="75"/>
    </row>
    <row r="19" spans="1:58" ht="15" customHeight="1" x14ac:dyDescent="0.45">
      <c r="A19" s="101"/>
      <c r="B19" s="16">
        <v>45876</v>
      </c>
      <c r="C19" s="22"/>
      <c r="D19" s="26"/>
      <c r="E19" s="26"/>
      <c r="F19" s="102"/>
      <c r="G19" s="14">
        <v>45907</v>
      </c>
      <c r="H19" s="15"/>
      <c r="I19" s="15"/>
      <c r="J19" s="15"/>
      <c r="K19" s="108"/>
      <c r="L19" s="49">
        <v>45937</v>
      </c>
      <c r="M19" s="32"/>
      <c r="N19" s="32"/>
      <c r="O19" s="32">
        <v>7</v>
      </c>
      <c r="P19" s="110"/>
      <c r="Q19" s="49">
        <v>46241</v>
      </c>
      <c r="R19" s="67">
        <v>7</v>
      </c>
      <c r="S19" s="26"/>
      <c r="T19" s="54" t="s">
        <v>74</v>
      </c>
      <c r="U19" s="98"/>
      <c r="V19" s="16">
        <v>46272</v>
      </c>
      <c r="W19" s="32"/>
      <c r="X19" s="32"/>
      <c r="Y19" s="32">
        <v>7</v>
      </c>
      <c r="Z19" s="98"/>
      <c r="AA19" s="16">
        <v>46302</v>
      </c>
      <c r="AB19" s="67">
        <v>7</v>
      </c>
      <c r="AC19" s="26"/>
      <c r="AD19" s="92" t="s">
        <v>74</v>
      </c>
      <c r="AE19" s="139" t="s">
        <v>80</v>
      </c>
      <c r="AF19" s="14">
        <v>46333</v>
      </c>
      <c r="AG19" s="76"/>
      <c r="AH19" s="103"/>
      <c r="AI19" s="104"/>
      <c r="AJ19" s="108"/>
      <c r="AK19" s="16">
        <v>45937</v>
      </c>
      <c r="AL19" s="26"/>
      <c r="AM19" s="25"/>
      <c r="AN19" s="111"/>
      <c r="AO19" s="14">
        <v>45907</v>
      </c>
      <c r="AP19" s="15"/>
      <c r="AQ19" s="19"/>
      <c r="AR19" s="111"/>
      <c r="AS19" s="16">
        <v>46119</v>
      </c>
      <c r="AT19" s="22"/>
      <c r="AU19" s="18"/>
      <c r="AV19" s="109"/>
      <c r="AW19" s="16">
        <v>46149</v>
      </c>
      <c r="AX19" s="22"/>
      <c r="AY19" s="18"/>
      <c r="AZ19" s="111"/>
      <c r="BA19" s="14">
        <v>45998</v>
      </c>
      <c r="BB19" s="15"/>
      <c r="BC19" s="15"/>
      <c r="BF19" s="75"/>
    </row>
    <row r="20" spans="1:58" ht="15" customHeight="1" x14ac:dyDescent="0.45">
      <c r="A20" s="101"/>
      <c r="B20" s="14">
        <v>45877</v>
      </c>
      <c r="C20" s="20"/>
      <c r="D20" s="15"/>
      <c r="E20" s="15"/>
      <c r="F20" s="101" t="s">
        <v>49</v>
      </c>
      <c r="G20" s="16">
        <v>45908</v>
      </c>
      <c r="H20" s="67">
        <v>7</v>
      </c>
      <c r="I20" s="26"/>
      <c r="J20" s="92" t="s">
        <v>74</v>
      </c>
      <c r="K20" s="108"/>
      <c r="L20" s="49">
        <v>45938</v>
      </c>
      <c r="M20" s="32"/>
      <c r="N20" s="32"/>
      <c r="O20" s="32">
        <v>7</v>
      </c>
      <c r="P20" s="107" t="s">
        <v>24</v>
      </c>
      <c r="Q20" s="14">
        <v>46242</v>
      </c>
      <c r="R20" s="20"/>
      <c r="S20" s="15"/>
      <c r="T20" s="15"/>
      <c r="U20" s="98"/>
      <c r="V20" s="16">
        <v>46273</v>
      </c>
      <c r="W20" s="32"/>
      <c r="X20" s="32"/>
      <c r="Y20" s="32">
        <v>7</v>
      </c>
      <c r="Z20" s="98"/>
      <c r="AA20" s="16">
        <v>46303</v>
      </c>
      <c r="AB20" s="67">
        <v>7</v>
      </c>
      <c r="AC20" s="26"/>
      <c r="AD20" s="92" t="s">
        <v>74</v>
      </c>
      <c r="AE20" s="140"/>
      <c r="AF20" s="14">
        <v>46334</v>
      </c>
      <c r="AG20" s="76"/>
      <c r="AH20" s="103"/>
      <c r="AI20" s="104"/>
      <c r="AJ20" s="108"/>
      <c r="AK20" s="16">
        <v>45938</v>
      </c>
      <c r="AL20" s="26"/>
      <c r="AM20" s="25"/>
      <c r="AN20" s="111" t="s">
        <v>22</v>
      </c>
      <c r="AO20" s="16">
        <v>45908</v>
      </c>
      <c r="AP20" s="26"/>
      <c r="AQ20" s="27"/>
      <c r="AR20" s="111"/>
      <c r="AS20" s="16">
        <v>46120</v>
      </c>
      <c r="AT20" s="22"/>
      <c r="AU20" s="18"/>
      <c r="AV20" s="109"/>
      <c r="AW20" s="14">
        <v>46150</v>
      </c>
      <c r="AX20" s="15"/>
      <c r="AY20" s="47"/>
      <c r="AZ20" s="111" t="s">
        <v>23</v>
      </c>
      <c r="BA20" s="16">
        <v>45999</v>
      </c>
      <c r="BB20" s="26"/>
      <c r="BC20" s="26"/>
      <c r="BF20" s="75"/>
    </row>
    <row r="21" spans="1:58" ht="15" customHeight="1" x14ac:dyDescent="0.45">
      <c r="A21" s="101"/>
      <c r="B21" s="14">
        <v>45878</v>
      </c>
      <c r="C21" s="15"/>
      <c r="D21" s="15"/>
      <c r="E21" s="15"/>
      <c r="F21" s="101"/>
      <c r="G21" s="16">
        <v>45909</v>
      </c>
      <c r="H21" s="67">
        <v>7</v>
      </c>
      <c r="I21" s="26"/>
      <c r="J21" s="92" t="s">
        <v>74</v>
      </c>
      <c r="K21" s="108"/>
      <c r="L21" s="49">
        <v>45939</v>
      </c>
      <c r="M21" s="32"/>
      <c r="N21" s="32"/>
      <c r="O21" s="32">
        <v>7</v>
      </c>
      <c r="P21" s="109"/>
      <c r="Q21" s="14">
        <v>46243</v>
      </c>
      <c r="R21" s="20"/>
      <c r="S21" s="15"/>
      <c r="T21" s="15"/>
      <c r="U21" s="98"/>
      <c r="V21" s="16">
        <v>46274</v>
      </c>
      <c r="W21" s="32"/>
      <c r="X21" s="32"/>
      <c r="Y21" s="32">
        <v>7</v>
      </c>
      <c r="Z21" s="99"/>
      <c r="AA21" s="16">
        <v>46304</v>
      </c>
      <c r="AB21" s="67">
        <v>7</v>
      </c>
      <c r="AC21" s="26"/>
      <c r="AD21" s="54" t="s">
        <v>74</v>
      </c>
      <c r="AE21" s="140"/>
      <c r="AF21" s="16">
        <v>46335</v>
      </c>
      <c r="AG21" s="67">
        <v>7</v>
      </c>
      <c r="AH21" s="96" t="s">
        <v>73</v>
      </c>
      <c r="AI21" s="26"/>
      <c r="AJ21" s="108"/>
      <c r="AK21" s="16">
        <v>45939</v>
      </c>
      <c r="AL21" s="26"/>
      <c r="AM21" s="25"/>
      <c r="AN21" s="111"/>
      <c r="AO21" s="16">
        <v>45909</v>
      </c>
      <c r="AP21" s="22"/>
      <c r="AQ21" s="17"/>
      <c r="AR21" s="111"/>
      <c r="AS21" s="16">
        <v>46121</v>
      </c>
      <c r="AT21" s="22"/>
      <c r="AU21" s="18"/>
      <c r="AV21" s="109"/>
      <c r="AW21" s="14">
        <v>46151</v>
      </c>
      <c r="AX21" s="20"/>
      <c r="AY21" s="21"/>
      <c r="AZ21" s="111"/>
      <c r="BA21" s="16">
        <v>46000</v>
      </c>
      <c r="BB21" s="26"/>
      <c r="BC21" s="26"/>
      <c r="BF21" s="75"/>
    </row>
    <row r="22" spans="1:58" ht="15" customHeight="1" x14ac:dyDescent="0.45">
      <c r="A22" s="102"/>
      <c r="B22" s="14">
        <v>45879</v>
      </c>
      <c r="C22" s="15"/>
      <c r="D22" s="15"/>
      <c r="E22" s="15"/>
      <c r="F22" s="101"/>
      <c r="G22" s="16">
        <v>45910</v>
      </c>
      <c r="H22" s="67">
        <v>7</v>
      </c>
      <c r="I22" s="26"/>
      <c r="J22" s="92" t="s">
        <v>74</v>
      </c>
      <c r="K22" s="108"/>
      <c r="L22" s="49">
        <v>45940</v>
      </c>
      <c r="M22" s="32"/>
      <c r="N22" s="32"/>
      <c r="O22" s="32">
        <v>7</v>
      </c>
      <c r="P22" s="109"/>
      <c r="Q22" s="49">
        <v>46244</v>
      </c>
      <c r="R22" s="20"/>
      <c r="S22" s="15"/>
      <c r="T22" s="15"/>
      <c r="U22" s="98"/>
      <c r="V22" s="16">
        <v>46275</v>
      </c>
      <c r="W22" s="32"/>
      <c r="X22" s="32"/>
      <c r="Y22" s="32">
        <v>7</v>
      </c>
      <c r="Z22" s="107" t="s">
        <v>76</v>
      </c>
      <c r="AA22" s="14">
        <v>46305</v>
      </c>
      <c r="AB22" s="20"/>
      <c r="AC22" s="15"/>
      <c r="AD22" s="15"/>
      <c r="AE22" s="140"/>
      <c r="AF22" s="16">
        <v>46336</v>
      </c>
      <c r="AG22" s="67">
        <v>7</v>
      </c>
      <c r="AH22" s="96" t="s">
        <v>73</v>
      </c>
      <c r="AI22" s="22"/>
      <c r="AJ22" s="108"/>
      <c r="AK22" s="16">
        <v>45940</v>
      </c>
      <c r="AL22" s="26"/>
      <c r="AM22" s="25"/>
      <c r="AN22" s="111"/>
      <c r="AO22" s="16">
        <v>45910</v>
      </c>
      <c r="AP22" s="22"/>
      <c r="AQ22" s="17"/>
      <c r="AR22" s="111"/>
      <c r="AS22" s="16">
        <v>46122</v>
      </c>
      <c r="AT22" s="22"/>
      <c r="AU22" s="18"/>
      <c r="AV22" s="110"/>
      <c r="AW22" s="14">
        <v>46152</v>
      </c>
      <c r="AX22" s="20"/>
      <c r="AY22" s="21"/>
      <c r="AZ22" s="111"/>
      <c r="BA22" s="16">
        <v>46001</v>
      </c>
      <c r="BB22" s="26"/>
      <c r="BC22" s="26"/>
      <c r="BF22" s="75"/>
    </row>
    <row r="23" spans="1:58" ht="15" customHeight="1" x14ac:dyDescent="0.45">
      <c r="A23" s="100" t="s">
        <v>25</v>
      </c>
      <c r="B23" s="16">
        <v>45880</v>
      </c>
      <c r="C23" s="22"/>
      <c r="D23" s="26"/>
      <c r="E23" s="26"/>
      <c r="F23" s="101"/>
      <c r="G23" s="16">
        <v>45911</v>
      </c>
      <c r="H23" s="67">
        <v>7</v>
      </c>
      <c r="I23" s="26"/>
      <c r="J23" s="92" t="s">
        <v>74</v>
      </c>
      <c r="K23" s="108" t="s">
        <v>55</v>
      </c>
      <c r="L23" s="14">
        <v>45941</v>
      </c>
      <c r="M23" s="15"/>
      <c r="N23" s="15"/>
      <c r="O23" s="15"/>
      <c r="P23" s="109"/>
      <c r="Q23" s="49">
        <v>46245</v>
      </c>
      <c r="R23" s="20"/>
      <c r="S23" s="15"/>
      <c r="T23" s="15"/>
      <c r="U23" s="99"/>
      <c r="V23" s="16">
        <v>46276</v>
      </c>
      <c r="W23" s="32"/>
      <c r="X23" s="32"/>
      <c r="Y23" s="32">
        <v>7</v>
      </c>
      <c r="Z23" s="98"/>
      <c r="AA23" s="14">
        <v>46306</v>
      </c>
      <c r="AB23" s="20"/>
      <c r="AC23" s="15"/>
      <c r="AD23" s="15"/>
      <c r="AE23" s="140"/>
      <c r="AF23" s="14">
        <v>46337</v>
      </c>
      <c r="AG23" s="15"/>
      <c r="AH23" s="15"/>
      <c r="AI23" s="15"/>
      <c r="AJ23" s="108" t="s">
        <v>24</v>
      </c>
      <c r="AK23" s="14">
        <v>45941</v>
      </c>
      <c r="AL23" s="15"/>
      <c r="AM23" s="19"/>
      <c r="AN23" s="111"/>
      <c r="AO23" s="16">
        <v>45911</v>
      </c>
      <c r="AP23" s="22"/>
      <c r="AQ23" s="17"/>
      <c r="AR23" s="111"/>
      <c r="AS23" s="14">
        <v>46123</v>
      </c>
      <c r="AT23" s="15"/>
      <c r="AU23" s="19"/>
      <c r="AV23" s="107" t="s">
        <v>25</v>
      </c>
      <c r="AW23" s="16">
        <v>46153</v>
      </c>
      <c r="AX23" s="22"/>
      <c r="AY23" s="18"/>
      <c r="AZ23" s="111"/>
      <c r="BA23" s="16">
        <v>46002</v>
      </c>
      <c r="BB23" s="26"/>
      <c r="BC23" s="26"/>
      <c r="BF23" s="75"/>
    </row>
    <row r="24" spans="1:58" ht="15" customHeight="1" x14ac:dyDescent="0.45">
      <c r="A24" s="101"/>
      <c r="B24" s="16">
        <v>45881</v>
      </c>
      <c r="C24" s="22"/>
      <c r="D24" s="26"/>
      <c r="E24" s="26"/>
      <c r="F24" s="101"/>
      <c r="G24" s="16">
        <v>45912</v>
      </c>
      <c r="H24" s="67">
        <v>7</v>
      </c>
      <c r="I24" s="26"/>
      <c r="J24" s="54" t="s">
        <v>74</v>
      </c>
      <c r="K24" s="108"/>
      <c r="L24" s="14">
        <v>45942</v>
      </c>
      <c r="M24" s="15"/>
      <c r="N24" s="15"/>
      <c r="O24" s="15"/>
      <c r="P24" s="109"/>
      <c r="Q24" s="49">
        <v>46246</v>
      </c>
      <c r="R24" s="20"/>
      <c r="S24" s="15"/>
      <c r="T24" s="15"/>
      <c r="U24" s="107" t="s">
        <v>27</v>
      </c>
      <c r="V24" s="14">
        <v>46277</v>
      </c>
      <c r="W24" s="15"/>
      <c r="X24" s="15"/>
      <c r="Y24" s="15"/>
      <c r="Z24" s="98"/>
      <c r="AA24" s="16">
        <v>46307</v>
      </c>
      <c r="AB24" s="67">
        <v>7</v>
      </c>
      <c r="AC24" s="26"/>
      <c r="AD24" s="92" t="s">
        <v>74</v>
      </c>
      <c r="AE24" s="140"/>
      <c r="AF24" s="16">
        <v>46338</v>
      </c>
      <c r="AG24" s="67">
        <v>7</v>
      </c>
      <c r="AH24" s="92" t="s">
        <v>74</v>
      </c>
      <c r="AI24" s="26"/>
      <c r="AJ24" s="108"/>
      <c r="AK24" s="14">
        <v>45942</v>
      </c>
      <c r="AL24" s="15"/>
      <c r="AM24" s="19"/>
      <c r="AN24" s="111"/>
      <c r="AO24" s="16">
        <v>45912</v>
      </c>
      <c r="AP24" s="22"/>
      <c r="AQ24" s="17"/>
      <c r="AR24" s="111"/>
      <c r="AS24" s="14">
        <v>46124</v>
      </c>
      <c r="AT24" s="15"/>
      <c r="AU24" s="19"/>
      <c r="AV24" s="109"/>
      <c r="AW24" s="16">
        <v>46154</v>
      </c>
      <c r="AX24" s="22"/>
      <c r="AY24" s="18"/>
      <c r="AZ24" s="111"/>
      <c r="BA24" s="16">
        <v>46003</v>
      </c>
      <c r="BB24" s="26"/>
      <c r="BC24" s="26"/>
      <c r="BF24" s="75"/>
    </row>
    <row r="25" spans="1:58" ht="15" customHeight="1" x14ac:dyDescent="0.45">
      <c r="A25" s="101"/>
      <c r="B25" s="16">
        <v>45882</v>
      </c>
      <c r="C25" s="22"/>
      <c r="D25" s="26"/>
      <c r="E25" s="26"/>
      <c r="F25" s="101"/>
      <c r="G25" s="14">
        <v>45913</v>
      </c>
      <c r="H25" s="20"/>
      <c r="I25" s="20"/>
      <c r="J25" s="20"/>
      <c r="K25" s="108"/>
      <c r="L25" s="14">
        <v>45943</v>
      </c>
      <c r="M25" s="15"/>
      <c r="N25" s="15"/>
      <c r="O25" s="15"/>
      <c r="P25" s="109"/>
      <c r="Q25" s="49">
        <v>46247</v>
      </c>
      <c r="R25" s="20"/>
      <c r="S25" s="20"/>
      <c r="T25" s="20"/>
      <c r="U25" s="98"/>
      <c r="V25" s="14">
        <v>46278</v>
      </c>
      <c r="W25" s="15"/>
      <c r="X25" s="15"/>
      <c r="Y25" s="15"/>
      <c r="Z25" s="98"/>
      <c r="AA25" s="16">
        <v>46308</v>
      </c>
      <c r="AB25" s="67">
        <v>7</v>
      </c>
      <c r="AC25" s="22"/>
      <c r="AD25" s="92" t="s">
        <v>74</v>
      </c>
      <c r="AE25" s="141"/>
      <c r="AF25" s="16">
        <v>46339</v>
      </c>
      <c r="AG25" s="67">
        <v>7</v>
      </c>
      <c r="AH25" s="92" t="s">
        <v>74</v>
      </c>
      <c r="AI25" s="26"/>
      <c r="AJ25" s="108"/>
      <c r="AK25" s="16">
        <v>45943</v>
      </c>
      <c r="AL25" s="26"/>
      <c r="AM25" s="25"/>
      <c r="AN25" s="111"/>
      <c r="AO25" s="14">
        <v>45913</v>
      </c>
      <c r="AP25" s="20"/>
      <c r="AQ25" s="21"/>
      <c r="AR25" s="111" t="s">
        <v>26</v>
      </c>
      <c r="AS25" s="49">
        <v>46125</v>
      </c>
      <c r="AT25" s="22"/>
      <c r="AU25" s="25"/>
      <c r="AV25" s="109"/>
      <c r="AW25" s="16">
        <v>46155</v>
      </c>
      <c r="AX25" s="22"/>
      <c r="AY25" s="18"/>
      <c r="AZ25" s="111"/>
      <c r="BA25" s="14">
        <v>46004</v>
      </c>
      <c r="BB25" s="15"/>
      <c r="BC25" s="15"/>
      <c r="BF25" s="75"/>
    </row>
    <row r="26" spans="1:58" ht="15" customHeight="1" x14ac:dyDescent="0.45">
      <c r="A26" s="101"/>
      <c r="B26" s="14">
        <v>45883</v>
      </c>
      <c r="C26" s="15"/>
      <c r="D26" s="20"/>
      <c r="E26" s="20"/>
      <c r="F26" s="102"/>
      <c r="G26" s="14">
        <v>45914</v>
      </c>
      <c r="H26" s="15"/>
      <c r="I26" s="15"/>
      <c r="J26" s="15"/>
      <c r="K26" s="108"/>
      <c r="L26" s="14">
        <v>45944</v>
      </c>
      <c r="M26" s="15"/>
      <c r="N26" s="15"/>
      <c r="O26" s="15"/>
      <c r="P26" s="110"/>
      <c r="Q26" s="49">
        <v>46248</v>
      </c>
      <c r="R26" s="89"/>
      <c r="S26" s="90"/>
      <c r="T26" s="90"/>
      <c r="U26" s="98"/>
      <c r="V26" s="16">
        <v>46279</v>
      </c>
      <c r="W26" s="32"/>
      <c r="X26" s="32"/>
      <c r="Y26" s="32">
        <v>7</v>
      </c>
      <c r="Z26" s="98"/>
      <c r="AA26" s="16">
        <v>46309</v>
      </c>
      <c r="AB26" s="67">
        <v>7</v>
      </c>
      <c r="AC26" s="26"/>
      <c r="AD26" s="92" t="s">
        <v>74</v>
      </c>
      <c r="AE26" s="139" t="s">
        <v>81</v>
      </c>
      <c r="AF26" s="14">
        <v>46340</v>
      </c>
      <c r="AG26" s="15"/>
      <c r="AH26" s="15"/>
      <c r="AI26" s="15"/>
      <c r="AJ26" s="108"/>
      <c r="AK26" s="16">
        <v>45944</v>
      </c>
      <c r="AL26" s="26"/>
      <c r="AM26" s="25"/>
      <c r="AN26" s="111"/>
      <c r="AO26" s="14">
        <v>45914</v>
      </c>
      <c r="AP26" s="15"/>
      <c r="AQ26" s="19"/>
      <c r="AR26" s="111"/>
      <c r="AS26" s="49">
        <v>46126</v>
      </c>
      <c r="AT26" s="22"/>
      <c r="AU26" s="25"/>
      <c r="AV26" s="109"/>
      <c r="AW26" s="14">
        <v>46156</v>
      </c>
      <c r="AX26" s="20"/>
      <c r="AY26" s="47"/>
      <c r="AZ26" s="111"/>
      <c r="BA26" s="14">
        <v>46005</v>
      </c>
      <c r="BB26" s="15"/>
      <c r="BC26" s="15"/>
      <c r="BF26" s="75"/>
    </row>
    <row r="27" spans="1:58" ht="15" customHeight="1" x14ac:dyDescent="0.45">
      <c r="A27" s="101"/>
      <c r="B27" s="14">
        <v>45884</v>
      </c>
      <c r="C27" s="20"/>
      <c r="D27" s="15"/>
      <c r="E27" s="15"/>
      <c r="F27" s="100" t="s">
        <v>50</v>
      </c>
      <c r="G27" s="16">
        <v>45915</v>
      </c>
      <c r="H27" s="67">
        <v>7</v>
      </c>
      <c r="I27" s="26"/>
      <c r="J27" s="92" t="s">
        <v>74</v>
      </c>
      <c r="K27" s="108"/>
      <c r="L27" s="49">
        <v>45945</v>
      </c>
      <c r="M27" s="32"/>
      <c r="N27" s="32"/>
      <c r="O27" s="32">
        <v>7</v>
      </c>
      <c r="P27" s="107" t="s">
        <v>29</v>
      </c>
      <c r="Q27" s="14">
        <v>46249</v>
      </c>
      <c r="R27" s="20"/>
      <c r="S27" s="15"/>
      <c r="T27" s="15"/>
      <c r="U27" s="98"/>
      <c r="V27" s="16">
        <v>46280</v>
      </c>
      <c r="W27" s="32"/>
      <c r="X27" s="32"/>
      <c r="Y27" s="32">
        <v>7</v>
      </c>
      <c r="Z27" s="98"/>
      <c r="AA27" s="16">
        <v>46310</v>
      </c>
      <c r="AB27" s="67">
        <v>7</v>
      </c>
      <c r="AC27" s="26"/>
      <c r="AD27" s="92" t="s">
        <v>74</v>
      </c>
      <c r="AE27" s="140"/>
      <c r="AF27" s="14">
        <v>46341</v>
      </c>
      <c r="AG27" s="86"/>
      <c r="AH27" s="86"/>
      <c r="AI27" s="86"/>
      <c r="AJ27" s="108"/>
      <c r="AK27" s="16">
        <v>45945</v>
      </c>
      <c r="AL27" s="26"/>
      <c r="AM27" s="25"/>
      <c r="AN27" s="111" t="s">
        <v>27</v>
      </c>
      <c r="AO27" s="16">
        <v>45915</v>
      </c>
      <c r="AP27" s="26"/>
      <c r="AQ27" s="25"/>
      <c r="AR27" s="111"/>
      <c r="AS27" s="49">
        <v>46127</v>
      </c>
      <c r="AT27" s="22"/>
      <c r="AU27" s="25"/>
      <c r="AV27" s="109"/>
      <c r="AW27" s="16">
        <v>46157</v>
      </c>
      <c r="AX27" s="22"/>
      <c r="AY27" s="18"/>
      <c r="AZ27" s="111" t="s">
        <v>28</v>
      </c>
      <c r="BA27" s="16">
        <v>46006</v>
      </c>
      <c r="BB27" s="26"/>
      <c r="BC27" s="26"/>
      <c r="BF27" s="75"/>
    </row>
    <row r="28" spans="1:58" ht="15" customHeight="1" x14ac:dyDescent="0.45">
      <c r="A28" s="101"/>
      <c r="B28" s="14">
        <v>45885</v>
      </c>
      <c r="C28" s="15"/>
      <c r="D28" s="15"/>
      <c r="E28" s="15"/>
      <c r="F28" s="101"/>
      <c r="G28" s="16">
        <v>45916</v>
      </c>
      <c r="H28" s="67">
        <v>7</v>
      </c>
      <c r="I28" s="26"/>
      <c r="J28" s="54" t="s">
        <v>74</v>
      </c>
      <c r="K28" s="108"/>
      <c r="L28" s="49">
        <v>45946</v>
      </c>
      <c r="M28" s="32"/>
      <c r="N28" s="32"/>
      <c r="O28" s="32">
        <v>7</v>
      </c>
      <c r="P28" s="109"/>
      <c r="Q28" s="14">
        <v>46250</v>
      </c>
      <c r="R28" s="20"/>
      <c r="S28" s="15"/>
      <c r="T28" s="15"/>
      <c r="U28" s="98"/>
      <c r="V28" s="16">
        <v>46281</v>
      </c>
      <c r="W28" s="32"/>
      <c r="X28" s="32"/>
      <c r="Y28" s="32">
        <v>7</v>
      </c>
      <c r="Z28" s="98"/>
      <c r="AA28" s="16">
        <v>46311</v>
      </c>
      <c r="AB28" s="67">
        <v>7</v>
      </c>
      <c r="AC28" s="26"/>
      <c r="AD28" s="54" t="s">
        <v>74</v>
      </c>
      <c r="AE28" s="140"/>
      <c r="AF28" s="16">
        <v>46342</v>
      </c>
      <c r="AG28" s="67">
        <v>7</v>
      </c>
      <c r="AH28" s="92" t="s">
        <v>74</v>
      </c>
      <c r="AI28" s="71"/>
      <c r="AJ28" s="108"/>
      <c r="AK28" s="16">
        <v>45946</v>
      </c>
      <c r="AL28" s="26"/>
      <c r="AM28" s="25"/>
      <c r="AN28" s="111"/>
      <c r="AO28" s="16">
        <v>45916</v>
      </c>
      <c r="AP28" s="26"/>
      <c r="AQ28" s="25"/>
      <c r="AR28" s="111"/>
      <c r="AS28" s="49">
        <v>46128</v>
      </c>
      <c r="AT28" s="22"/>
      <c r="AU28" s="25"/>
      <c r="AV28" s="109"/>
      <c r="AW28" s="14">
        <v>46158</v>
      </c>
      <c r="AX28" s="15"/>
      <c r="AY28" s="19"/>
      <c r="AZ28" s="111"/>
      <c r="BA28" s="16">
        <v>46007</v>
      </c>
      <c r="BB28" s="26"/>
      <c r="BC28" s="26"/>
    </row>
    <row r="29" spans="1:58" ht="15" customHeight="1" x14ac:dyDescent="0.45">
      <c r="A29" s="102"/>
      <c r="B29" s="14">
        <v>45886</v>
      </c>
      <c r="C29" s="20"/>
      <c r="D29" s="20"/>
      <c r="E29" s="20"/>
      <c r="F29" s="101"/>
      <c r="G29" s="16">
        <v>45917</v>
      </c>
      <c r="H29" s="67">
        <v>7</v>
      </c>
      <c r="I29" s="26"/>
      <c r="J29" s="88" t="s">
        <v>42</v>
      </c>
      <c r="K29" s="108"/>
      <c r="L29" s="49">
        <v>45947</v>
      </c>
      <c r="M29" s="32"/>
      <c r="N29" s="32"/>
      <c r="O29" s="32">
        <v>7</v>
      </c>
      <c r="P29" s="109"/>
      <c r="Q29" s="49">
        <v>46251</v>
      </c>
      <c r="R29" s="20"/>
      <c r="S29" s="15"/>
      <c r="T29" s="15"/>
      <c r="U29" s="98"/>
      <c r="V29" s="16">
        <v>46282</v>
      </c>
      <c r="W29" s="32"/>
      <c r="X29" s="32"/>
      <c r="Y29" s="32">
        <v>7</v>
      </c>
      <c r="Z29" s="107" t="s">
        <v>77</v>
      </c>
      <c r="AA29" s="14">
        <v>46312</v>
      </c>
      <c r="AB29" s="20"/>
      <c r="AC29" s="15"/>
      <c r="AD29" s="15"/>
      <c r="AE29" s="140"/>
      <c r="AF29" s="16">
        <v>46343</v>
      </c>
      <c r="AG29" s="67">
        <v>7</v>
      </c>
      <c r="AH29" s="92" t="s">
        <v>74</v>
      </c>
      <c r="AI29" s="71"/>
      <c r="AJ29" s="108"/>
      <c r="AK29" s="16">
        <v>45947</v>
      </c>
      <c r="AL29" s="26"/>
      <c r="AM29" s="25"/>
      <c r="AN29" s="111"/>
      <c r="AO29" s="16">
        <v>45917</v>
      </c>
      <c r="AP29" s="26"/>
      <c r="AQ29" s="25"/>
      <c r="AR29" s="111"/>
      <c r="AS29" s="49">
        <v>46129</v>
      </c>
      <c r="AT29" s="22"/>
      <c r="AU29" s="25"/>
      <c r="AV29" s="110"/>
      <c r="AW29" s="14">
        <v>46159</v>
      </c>
      <c r="AX29" s="20"/>
      <c r="AY29" s="47"/>
      <c r="AZ29" s="111"/>
      <c r="BA29" s="16">
        <v>46008</v>
      </c>
      <c r="BB29" s="26"/>
      <c r="BC29" s="26"/>
    </row>
    <row r="30" spans="1:58" ht="15" customHeight="1" x14ac:dyDescent="0.45">
      <c r="A30" s="100" t="s">
        <v>30</v>
      </c>
      <c r="B30" s="73">
        <v>45887</v>
      </c>
      <c r="C30" s="67">
        <v>7</v>
      </c>
      <c r="D30" s="26"/>
      <c r="E30" s="95" t="s">
        <v>99</v>
      </c>
      <c r="F30" s="101"/>
      <c r="G30" s="16">
        <v>45918</v>
      </c>
      <c r="H30" s="67">
        <v>7</v>
      </c>
      <c r="I30" s="26"/>
      <c r="J30" s="88" t="s">
        <v>42</v>
      </c>
      <c r="K30" s="108" t="s">
        <v>56</v>
      </c>
      <c r="L30" s="14">
        <v>45948</v>
      </c>
      <c r="M30" s="15"/>
      <c r="N30" s="15"/>
      <c r="O30" s="15"/>
      <c r="P30" s="109"/>
      <c r="Q30" s="49">
        <v>46252</v>
      </c>
      <c r="R30" s="20"/>
      <c r="S30" s="15"/>
      <c r="T30" s="15"/>
      <c r="U30" s="99"/>
      <c r="V30" s="16">
        <v>46283</v>
      </c>
      <c r="W30" s="32"/>
      <c r="X30" s="32"/>
      <c r="Y30" s="32">
        <v>7</v>
      </c>
      <c r="Z30" s="98"/>
      <c r="AA30" s="14">
        <v>46313</v>
      </c>
      <c r="AB30" s="20"/>
      <c r="AC30" s="15"/>
      <c r="AD30" s="15"/>
      <c r="AE30" s="140"/>
      <c r="AF30" s="16">
        <v>46344</v>
      </c>
      <c r="AG30" s="67">
        <v>7</v>
      </c>
      <c r="AH30" s="92" t="s">
        <v>74</v>
      </c>
      <c r="AI30" s="26"/>
      <c r="AJ30" s="108" t="s">
        <v>29</v>
      </c>
      <c r="AK30" s="14">
        <v>45948</v>
      </c>
      <c r="AL30" s="15"/>
      <c r="AM30" s="19"/>
      <c r="AN30" s="111"/>
      <c r="AO30" s="16">
        <v>45918</v>
      </c>
      <c r="AP30" s="26"/>
      <c r="AQ30" s="25"/>
      <c r="AR30" s="111"/>
      <c r="AS30" s="14">
        <v>46130</v>
      </c>
      <c r="AT30" s="15"/>
      <c r="AU30" s="19"/>
      <c r="AV30" s="107" t="s">
        <v>30</v>
      </c>
      <c r="AW30" s="16">
        <v>46160</v>
      </c>
      <c r="AX30" s="22"/>
      <c r="AY30" s="18"/>
      <c r="AZ30" s="111"/>
      <c r="BA30" s="16">
        <v>46009</v>
      </c>
      <c r="BB30" s="26"/>
      <c r="BC30" s="26"/>
    </row>
    <row r="31" spans="1:58" ht="15" customHeight="1" x14ac:dyDescent="0.45">
      <c r="A31" s="101"/>
      <c r="B31" s="73">
        <v>45888</v>
      </c>
      <c r="C31" s="67">
        <v>7</v>
      </c>
      <c r="D31" s="78" t="s">
        <v>101</v>
      </c>
      <c r="E31" s="78" t="s">
        <v>68</v>
      </c>
      <c r="F31" s="101"/>
      <c r="G31" s="16">
        <v>45919</v>
      </c>
      <c r="H31" s="67">
        <v>7</v>
      </c>
      <c r="I31" s="26" t="s">
        <v>104</v>
      </c>
      <c r="J31" s="83" t="s">
        <v>71</v>
      </c>
      <c r="K31" s="108"/>
      <c r="L31" s="14">
        <v>45949</v>
      </c>
      <c r="M31" s="15"/>
      <c r="N31" s="15"/>
      <c r="O31" s="15"/>
      <c r="P31" s="109"/>
      <c r="Q31" s="49">
        <v>46253</v>
      </c>
      <c r="R31" s="20"/>
      <c r="S31" s="15"/>
      <c r="T31" s="15"/>
      <c r="U31" s="107" t="s">
        <v>32</v>
      </c>
      <c r="V31" s="14">
        <v>46284</v>
      </c>
      <c r="W31" s="15"/>
      <c r="X31" s="15"/>
      <c r="Y31" s="15"/>
      <c r="Z31" s="98"/>
      <c r="AA31" s="16">
        <v>46314</v>
      </c>
      <c r="AB31" s="32"/>
      <c r="AC31" s="32">
        <v>7</v>
      </c>
      <c r="AD31" s="32"/>
      <c r="AE31" s="140"/>
      <c r="AF31" s="16">
        <v>46345</v>
      </c>
      <c r="AG31" s="77">
        <v>7</v>
      </c>
      <c r="AH31" s="77" t="s">
        <v>67</v>
      </c>
      <c r="AI31" s="77"/>
      <c r="AJ31" s="108"/>
      <c r="AK31" s="14">
        <v>45949</v>
      </c>
      <c r="AL31" s="15"/>
      <c r="AM31" s="19"/>
      <c r="AN31" s="111"/>
      <c r="AO31" s="16">
        <v>45919</v>
      </c>
      <c r="AP31" s="26"/>
      <c r="AQ31" s="25"/>
      <c r="AR31" s="111"/>
      <c r="AS31" s="14">
        <v>46131</v>
      </c>
      <c r="AT31" s="15"/>
      <c r="AU31" s="19"/>
      <c r="AV31" s="109"/>
      <c r="AW31" s="16">
        <v>46161</v>
      </c>
      <c r="AX31" s="22"/>
      <c r="AY31" s="18"/>
      <c r="AZ31" s="111"/>
      <c r="BA31" s="16">
        <v>46010</v>
      </c>
      <c r="BB31" s="26"/>
      <c r="BC31" s="26"/>
    </row>
    <row r="32" spans="1:58" ht="15" customHeight="1" x14ac:dyDescent="0.45">
      <c r="A32" s="101"/>
      <c r="B32" s="73">
        <v>45889</v>
      </c>
      <c r="C32" s="67">
        <v>7</v>
      </c>
      <c r="D32" s="78" t="s">
        <v>101</v>
      </c>
      <c r="E32" s="78" t="s">
        <v>68</v>
      </c>
      <c r="F32" s="101"/>
      <c r="G32" s="14">
        <v>45920</v>
      </c>
      <c r="H32" s="15"/>
      <c r="I32" s="15"/>
      <c r="J32" s="15"/>
      <c r="K32" s="108"/>
      <c r="L32" s="49">
        <v>45950</v>
      </c>
      <c r="M32" s="32"/>
      <c r="N32" s="32"/>
      <c r="O32" s="32">
        <v>7</v>
      </c>
      <c r="P32" s="109"/>
      <c r="Q32" s="49">
        <v>46254</v>
      </c>
      <c r="R32" s="20"/>
      <c r="S32" s="15"/>
      <c r="T32" s="15"/>
      <c r="U32" s="98"/>
      <c r="V32" s="14">
        <v>46285</v>
      </c>
      <c r="W32" s="15"/>
      <c r="X32" s="15"/>
      <c r="Y32" s="15"/>
      <c r="Z32" s="98"/>
      <c r="AA32" s="16">
        <v>46315</v>
      </c>
      <c r="AB32" s="32"/>
      <c r="AC32" s="32">
        <v>7</v>
      </c>
      <c r="AD32" s="32"/>
      <c r="AE32" s="141"/>
      <c r="AF32" s="16">
        <v>46346</v>
      </c>
      <c r="AG32" s="77">
        <v>7</v>
      </c>
      <c r="AH32" s="77" t="s">
        <v>62</v>
      </c>
      <c r="AI32" s="77"/>
      <c r="AJ32" s="108"/>
      <c r="AK32" s="16">
        <v>45950</v>
      </c>
      <c r="AL32" s="26"/>
      <c r="AM32" s="25"/>
      <c r="AN32" s="111"/>
      <c r="AO32" s="14">
        <v>45920</v>
      </c>
      <c r="AP32" s="15"/>
      <c r="AQ32" s="19"/>
      <c r="AR32" s="111" t="s">
        <v>31</v>
      </c>
      <c r="AS32" s="49">
        <v>46132</v>
      </c>
      <c r="AT32" s="22"/>
      <c r="AU32" s="25"/>
      <c r="AV32" s="109"/>
      <c r="AW32" s="16">
        <v>46162</v>
      </c>
      <c r="AX32" s="22"/>
      <c r="AY32" s="18"/>
      <c r="AZ32" s="111"/>
      <c r="BA32" s="14">
        <v>46011</v>
      </c>
      <c r="BB32" s="15"/>
      <c r="BC32" s="15"/>
    </row>
    <row r="33" spans="1:55" ht="15" customHeight="1" x14ac:dyDescent="0.45">
      <c r="A33" s="101"/>
      <c r="B33" s="73">
        <v>45890</v>
      </c>
      <c r="C33" s="67">
        <v>7</v>
      </c>
      <c r="D33" s="26"/>
      <c r="E33" s="88" t="s">
        <v>42</v>
      </c>
      <c r="F33" s="102"/>
      <c r="G33" s="14">
        <v>45921</v>
      </c>
      <c r="H33" s="15"/>
      <c r="I33" s="15"/>
      <c r="J33" s="15"/>
      <c r="K33" s="108"/>
      <c r="L33" s="49">
        <v>45951</v>
      </c>
      <c r="M33" s="32"/>
      <c r="N33" s="32"/>
      <c r="O33" s="32">
        <v>7</v>
      </c>
      <c r="P33" s="110"/>
      <c r="Q33" s="49">
        <v>46255</v>
      </c>
      <c r="R33" s="20"/>
      <c r="S33" s="15"/>
      <c r="T33" s="15"/>
      <c r="U33" s="98"/>
      <c r="V33" s="16">
        <v>46286</v>
      </c>
      <c r="W33" s="67">
        <v>7</v>
      </c>
      <c r="X33" s="92" t="s">
        <v>74</v>
      </c>
      <c r="Y33" s="26"/>
      <c r="Z33" s="98"/>
      <c r="AA33" s="16">
        <v>46316</v>
      </c>
      <c r="AB33" s="32"/>
      <c r="AC33" s="32">
        <v>7</v>
      </c>
      <c r="AD33" s="32"/>
      <c r="AE33" s="139" t="s">
        <v>82</v>
      </c>
      <c r="AF33" s="14">
        <v>46347</v>
      </c>
      <c r="AG33" s="15"/>
      <c r="AH33" s="15"/>
      <c r="AI33" s="15"/>
      <c r="AJ33" s="108"/>
      <c r="AK33" s="16">
        <v>45951</v>
      </c>
      <c r="AL33" s="26"/>
      <c r="AM33" s="25"/>
      <c r="AN33" s="111"/>
      <c r="AO33" s="14">
        <v>45921</v>
      </c>
      <c r="AP33" s="15"/>
      <c r="AQ33" s="19"/>
      <c r="AR33" s="111"/>
      <c r="AS33" s="49">
        <v>46133</v>
      </c>
      <c r="AT33" s="22"/>
      <c r="AU33" s="25"/>
      <c r="AV33" s="109"/>
      <c r="AW33" s="16">
        <v>46163</v>
      </c>
      <c r="AX33" s="22"/>
      <c r="AY33" s="18"/>
      <c r="AZ33" s="111"/>
      <c r="BA33" s="14">
        <v>46012</v>
      </c>
      <c r="BB33" s="15"/>
      <c r="BC33" s="15"/>
    </row>
    <row r="34" spans="1:55" ht="15" customHeight="1" x14ac:dyDescent="0.45">
      <c r="A34" s="101"/>
      <c r="B34" s="73">
        <v>45891</v>
      </c>
      <c r="C34" s="67">
        <v>7</v>
      </c>
      <c r="D34" s="26"/>
      <c r="E34" s="88" t="s">
        <v>42</v>
      </c>
      <c r="F34" s="100" t="s">
        <v>51</v>
      </c>
      <c r="G34" s="16">
        <v>45922</v>
      </c>
      <c r="H34" s="67">
        <v>7</v>
      </c>
      <c r="I34" s="78" t="s">
        <v>101</v>
      </c>
      <c r="J34" s="78" t="s">
        <v>68</v>
      </c>
      <c r="K34" s="108"/>
      <c r="L34" s="49">
        <v>45952</v>
      </c>
      <c r="M34" s="32"/>
      <c r="N34" s="32"/>
      <c r="O34" s="32">
        <v>7</v>
      </c>
      <c r="P34" s="107" t="s">
        <v>34</v>
      </c>
      <c r="Q34" s="14">
        <v>46256</v>
      </c>
      <c r="R34" s="76"/>
      <c r="S34" s="103"/>
      <c r="T34" s="104"/>
      <c r="U34" s="98"/>
      <c r="V34" s="16">
        <v>46287</v>
      </c>
      <c r="W34" s="67">
        <v>7</v>
      </c>
      <c r="X34" s="92" t="s">
        <v>74</v>
      </c>
      <c r="Y34" s="26"/>
      <c r="Z34" s="98"/>
      <c r="AA34" s="16">
        <v>46317</v>
      </c>
      <c r="AB34" s="32"/>
      <c r="AC34" s="32">
        <v>7</v>
      </c>
      <c r="AD34" s="32"/>
      <c r="AE34" s="140"/>
      <c r="AF34" s="14">
        <v>46348</v>
      </c>
      <c r="AG34" s="15"/>
      <c r="AH34" s="15"/>
      <c r="AI34" s="15"/>
      <c r="AJ34" s="108"/>
      <c r="AK34" s="16">
        <v>45952</v>
      </c>
      <c r="AL34" s="26"/>
      <c r="AM34" s="25"/>
      <c r="AN34" s="111" t="s">
        <v>32</v>
      </c>
      <c r="AO34" s="16">
        <v>45922</v>
      </c>
      <c r="AP34" s="26"/>
      <c r="AQ34" s="25"/>
      <c r="AR34" s="111"/>
      <c r="AS34" s="49">
        <v>46134</v>
      </c>
      <c r="AT34" s="22"/>
      <c r="AU34" s="25"/>
      <c r="AV34" s="109"/>
      <c r="AW34" s="16">
        <v>46164</v>
      </c>
      <c r="AX34" s="22"/>
      <c r="AY34" s="18"/>
      <c r="AZ34" s="111" t="s">
        <v>33</v>
      </c>
      <c r="BA34" s="16">
        <v>46013</v>
      </c>
      <c r="BB34" s="26"/>
      <c r="BC34" s="26"/>
    </row>
    <row r="35" spans="1:55" ht="15" customHeight="1" x14ac:dyDescent="0.45">
      <c r="A35" s="101"/>
      <c r="B35" s="14">
        <v>45892</v>
      </c>
      <c r="C35" s="15"/>
      <c r="D35" s="15"/>
      <c r="E35" s="15"/>
      <c r="F35" s="101"/>
      <c r="G35" s="16">
        <v>45923</v>
      </c>
      <c r="H35" s="67">
        <v>7</v>
      </c>
      <c r="I35" s="93" t="s">
        <v>101</v>
      </c>
      <c r="J35" s="93" t="s">
        <v>18</v>
      </c>
      <c r="K35" s="108"/>
      <c r="L35" s="49">
        <v>45953</v>
      </c>
      <c r="M35" s="32"/>
      <c r="N35" s="32"/>
      <c r="O35" s="32">
        <v>7</v>
      </c>
      <c r="P35" s="109"/>
      <c r="Q35" s="14">
        <v>46257</v>
      </c>
      <c r="R35" s="76"/>
      <c r="S35" s="103"/>
      <c r="T35" s="104"/>
      <c r="U35" s="98"/>
      <c r="V35" s="16">
        <v>46288</v>
      </c>
      <c r="W35" s="67">
        <v>7</v>
      </c>
      <c r="X35" s="92" t="s">
        <v>74</v>
      </c>
      <c r="Y35" s="26"/>
      <c r="Z35" s="99"/>
      <c r="AA35" s="16">
        <v>46318</v>
      </c>
      <c r="AB35" s="32"/>
      <c r="AC35" s="32">
        <v>7</v>
      </c>
      <c r="AD35" s="32"/>
      <c r="AE35" s="140"/>
      <c r="AF35" s="16">
        <v>46349</v>
      </c>
      <c r="AG35" s="71"/>
      <c r="AH35" s="71"/>
      <c r="AI35" s="71"/>
      <c r="AJ35" s="108"/>
      <c r="AK35" s="16">
        <v>45953</v>
      </c>
      <c r="AL35" s="26"/>
      <c r="AM35" s="25"/>
      <c r="AN35" s="111"/>
      <c r="AO35" s="16">
        <v>45923</v>
      </c>
      <c r="AP35" s="26"/>
      <c r="AQ35" s="25"/>
      <c r="AR35" s="111"/>
      <c r="AS35" s="49">
        <v>46135</v>
      </c>
      <c r="AT35" s="22"/>
      <c r="AU35" s="25"/>
      <c r="AV35" s="109"/>
      <c r="AW35" s="14">
        <v>46165</v>
      </c>
      <c r="AX35" s="15"/>
      <c r="AY35" s="19"/>
      <c r="AZ35" s="111"/>
      <c r="BA35" s="16">
        <v>46014</v>
      </c>
      <c r="BB35" s="26"/>
      <c r="BC35" s="26"/>
    </row>
    <row r="36" spans="1:55" ht="15" customHeight="1" x14ac:dyDescent="0.45">
      <c r="A36" s="102"/>
      <c r="B36" s="14">
        <v>45893</v>
      </c>
      <c r="C36" s="15"/>
      <c r="D36" s="15"/>
      <c r="E36" s="15"/>
      <c r="F36" s="101"/>
      <c r="G36" s="16">
        <v>45924</v>
      </c>
      <c r="H36" s="67">
        <v>7</v>
      </c>
      <c r="I36" s="94" t="s">
        <v>102</v>
      </c>
      <c r="J36" s="94" t="s">
        <v>83</v>
      </c>
      <c r="K36" s="108"/>
      <c r="L36" s="49">
        <v>45954</v>
      </c>
      <c r="M36" s="32"/>
      <c r="N36" s="32"/>
      <c r="O36" s="32">
        <v>7</v>
      </c>
      <c r="P36" s="109"/>
      <c r="Q36" s="49">
        <v>46258</v>
      </c>
      <c r="R36" s="67">
        <v>7</v>
      </c>
      <c r="S36" s="26"/>
      <c r="T36" s="92" t="s">
        <v>74</v>
      </c>
      <c r="U36" s="98"/>
      <c r="V36" s="16">
        <v>46289</v>
      </c>
      <c r="W36" s="67">
        <v>7</v>
      </c>
      <c r="X36" s="92" t="s">
        <v>74</v>
      </c>
      <c r="Y36" s="26"/>
      <c r="Z36" s="107" t="s">
        <v>78</v>
      </c>
      <c r="AA36" s="14">
        <v>46319</v>
      </c>
      <c r="AB36" s="76"/>
      <c r="AC36" s="103"/>
      <c r="AD36" s="104"/>
      <c r="AE36" s="140"/>
      <c r="AF36" s="16">
        <v>46350</v>
      </c>
      <c r="AG36" s="71"/>
      <c r="AH36" s="71"/>
      <c r="AI36" s="71"/>
      <c r="AJ36" s="108"/>
      <c r="AK36" s="16">
        <v>45954</v>
      </c>
      <c r="AL36" s="26"/>
      <c r="AM36" s="25"/>
      <c r="AN36" s="111"/>
      <c r="AO36" s="16">
        <v>45924</v>
      </c>
      <c r="AP36" s="26"/>
      <c r="AQ36" s="25"/>
      <c r="AR36" s="111"/>
      <c r="AS36" s="49">
        <v>46136</v>
      </c>
      <c r="AT36" s="22"/>
      <c r="AU36" s="25"/>
      <c r="AV36" s="110"/>
      <c r="AW36" s="14">
        <v>46166</v>
      </c>
      <c r="AX36" s="15"/>
      <c r="AY36" s="19"/>
      <c r="AZ36" s="111"/>
      <c r="BA36" s="16">
        <v>46015</v>
      </c>
      <c r="BB36" s="26"/>
      <c r="BC36" s="26"/>
    </row>
    <row r="37" spans="1:55" ht="15" customHeight="1" x14ac:dyDescent="0.45">
      <c r="A37" s="100" t="s">
        <v>35</v>
      </c>
      <c r="B37" s="14">
        <v>45894</v>
      </c>
      <c r="C37" s="20"/>
      <c r="D37" s="15"/>
      <c r="E37" s="15"/>
      <c r="F37" s="101"/>
      <c r="G37" s="16">
        <v>45925</v>
      </c>
      <c r="H37" s="67">
        <v>7</v>
      </c>
      <c r="I37" s="94" t="s">
        <v>102</v>
      </c>
      <c r="J37" s="94" t="s">
        <v>83</v>
      </c>
      <c r="K37" s="108" t="s">
        <v>15</v>
      </c>
      <c r="L37" s="14">
        <v>45955</v>
      </c>
      <c r="M37" s="15"/>
      <c r="N37" s="15"/>
      <c r="O37" s="15"/>
      <c r="P37" s="109"/>
      <c r="Q37" s="49">
        <v>46259</v>
      </c>
      <c r="R37" s="67">
        <v>7</v>
      </c>
      <c r="S37" s="22"/>
      <c r="T37" s="92" t="s">
        <v>74</v>
      </c>
      <c r="U37" s="99"/>
      <c r="V37" s="16">
        <v>46290</v>
      </c>
      <c r="W37" s="67">
        <v>7</v>
      </c>
      <c r="X37" s="54" t="s">
        <v>74</v>
      </c>
      <c r="Y37" s="26"/>
      <c r="Z37" s="98"/>
      <c r="AA37" s="14">
        <v>46320</v>
      </c>
      <c r="AB37" s="20"/>
      <c r="AC37" s="103"/>
      <c r="AD37" s="104"/>
      <c r="AE37" s="140"/>
      <c r="AF37" s="16">
        <v>46351</v>
      </c>
      <c r="AG37" s="22"/>
      <c r="AH37" s="26"/>
      <c r="AI37" s="26"/>
      <c r="AJ37" s="108" t="s">
        <v>34</v>
      </c>
      <c r="AK37" s="14">
        <v>45955</v>
      </c>
      <c r="AL37" s="15"/>
      <c r="AM37" s="19"/>
      <c r="AN37" s="111"/>
      <c r="AO37" s="16">
        <v>45925</v>
      </c>
      <c r="AP37" s="26"/>
      <c r="AQ37" s="25"/>
      <c r="AR37" s="111"/>
      <c r="AS37" s="14">
        <v>46137</v>
      </c>
      <c r="AT37" s="15"/>
      <c r="AU37" s="19"/>
      <c r="AV37" s="107" t="s">
        <v>35</v>
      </c>
      <c r="AW37" s="14">
        <v>46167</v>
      </c>
      <c r="AX37" s="15"/>
      <c r="AY37" s="19"/>
      <c r="AZ37" s="111"/>
      <c r="BA37" s="14">
        <v>46016</v>
      </c>
      <c r="BB37" s="15"/>
      <c r="BC37" s="15"/>
    </row>
    <row r="38" spans="1:55" ht="15" customHeight="1" x14ac:dyDescent="0.45">
      <c r="A38" s="101"/>
      <c r="B38" s="16">
        <v>45895</v>
      </c>
      <c r="C38" s="67">
        <v>7</v>
      </c>
      <c r="D38" s="26"/>
      <c r="E38" s="97" t="s">
        <v>57</v>
      </c>
      <c r="F38" s="101"/>
      <c r="G38" s="16">
        <v>45926</v>
      </c>
      <c r="H38" s="67">
        <v>7</v>
      </c>
      <c r="I38" s="94" t="s">
        <v>102</v>
      </c>
      <c r="J38" s="94" t="s">
        <v>83</v>
      </c>
      <c r="K38" s="108"/>
      <c r="L38" s="14">
        <v>45956</v>
      </c>
      <c r="M38" s="15"/>
      <c r="N38" s="15"/>
      <c r="O38" s="15"/>
      <c r="P38" s="109"/>
      <c r="Q38" s="49">
        <v>46260</v>
      </c>
      <c r="R38" s="67">
        <v>7</v>
      </c>
      <c r="S38" s="26"/>
      <c r="T38" s="92" t="s">
        <v>74</v>
      </c>
      <c r="U38" s="107" t="s">
        <v>61</v>
      </c>
      <c r="V38" s="14">
        <v>46291</v>
      </c>
      <c r="W38" s="15"/>
      <c r="X38" s="15"/>
      <c r="Y38" s="15"/>
      <c r="Z38" s="98"/>
      <c r="AA38" s="16">
        <v>46321</v>
      </c>
      <c r="AB38" s="32"/>
      <c r="AC38" s="32">
        <v>7</v>
      </c>
      <c r="AD38" s="32"/>
      <c r="AE38" s="140"/>
      <c r="AF38" s="16">
        <v>46352</v>
      </c>
      <c r="AG38" s="71"/>
      <c r="AH38" s="71"/>
      <c r="AI38" s="71"/>
      <c r="AJ38" s="108"/>
      <c r="AK38" s="14">
        <v>45956</v>
      </c>
      <c r="AL38" s="15"/>
      <c r="AM38" s="19"/>
      <c r="AN38" s="111"/>
      <c r="AO38" s="16">
        <v>45926</v>
      </c>
      <c r="AP38" s="26"/>
      <c r="AQ38" s="27"/>
      <c r="AR38" s="111"/>
      <c r="AS38" s="14">
        <v>46138</v>
      </c>
      <c r="AT38" s="15"/>
      <c r="AU38" s="19"/>
      <c r="AV38" s="109"/>
      <c r="AW38" s="16">
        <v>46168</v>
      </c>
      <c r="AX38" s="26"/>
      <c r="AY38" s="18"/>
      <c r="AZ38" s="111"/>
      <c r="BA38" s="16">
        <v>46017</v>
      </c>
      <c r="BB38" s="26"/>
      <c r="BC38" s="26"/>
    </row>
    <row r="39" spans="1:55" ht="15" customHeight="1" x14ac:dyDescent="0.45">
      <c r="A39" s="101"/>
      <c r="B39" s="16">
        <v>45896</v>
      </c>
      <c r="C39" s="67">
        <v>7</v>
      </c>
      <c r="D39" s="26"/>
      <c r="E39" s="81" t="s">
        <v>57</v>
      </c>
      <c r="F39" s="101"/>
      <c r="G39" s="14">
        <v>45927</v>
      </c>
      <c r="H39" s="15"/>
      <c r="I39" s="15"/>
      <c r="J39" s="15"/>
      <c r="K39" s="108"/>
      <c r="L39" s="49">
        <v>45957</v>
      </c>
      <c r="M39" s="67">
        <v>7</v>
      </c>
      <c r="N39" s="26"/>
      <c r="O39" s="92" t="s">
        <v>74</v>
      </c>
      <c r="P39" s="109"/>
      <c r="Q39" s="49">
        <v>46261</v>
      </c>
      <c r="R39" s="67">
        <v>7</v>
      </c>
      <c r="S39" s="26"/>
      <c r="T39" s="92" t="s">
        <v>74</v>
      </c>
      <c r="U39" s="98"/>
      <c r="V39" s="14">
        <v>46292</v>
      </c>
      <c r="W39" s="15"/>
      <c r="X39" s="15"/>
      <c r="Y39" s="15"/>
      <c r="Z39" s="98"/>
      <c r="AA39" s="16">
        <v>46322</v>
      </c>
      <c r="AB39" s="32"/>
      <c r="AC39" s="32">
        <v>7</v>
      </c>
      <c r="AD39" s="32"/>
      <c r="AE39" s="141"/>
      <c r="AF39" s="16">
        <v>46353</v>
      </c>
      <c r="AG39" s="71"/>
      <c r="AH39" s="71"/>
      <c r="AI39" s="71"/>
      <c r="AJ39" s="108"/>
      <c r="AK39" s="16">
        <v>45957</v>
      </c>
      <c r="AL39" s="26"/>
      <c r="AM39" s="25"/>
      <c r="AN39" s="111"/>
      <c r="AO39" s="14">
        <v>45927</v>
      </c>
      <c r="AP39" s="15"/>
      <c r="AQ39" s="19"/>
      <c r="AR39" s="111" t="s">
        <v>14</v>
      </c>
      <c r="AS39" s="16">
        <v>46139</v>
      </c>
      <c r="AT39" s="22"/>
      <c r="AU39" s="18"/>
      <c r="AV39" s="109"/>
      <c r="AW39" s="16">
        <v>46169</v>
      </c>
      <c r="AX39" s="26"/>
      <c r="AY39" s="25"/>
      <c r="AZ39" s="111"/>
      <c r="BA39" s="14">
        <v>46018</v>
      </c>
      <c r="BB39" s="15"/>
      <c r="BC39" s="15"/>
    </row>
    <row r="40" spans="1:55" ht="15" customHeight="1" x14ac:dyDescent="0.45">
      <c r="A40" s="101"/>
      <c r="B40" s="16">
        <v>45897</v>
      </c>
      <c r="C40" s="67">
        <v>7</v>
      </c>
      <c r="D40" s="93" t="s">
        <v>101</v>
      </c>
      <c r="E40" s="93" t="s">
        <v>18</v>
      </c>
      <c r="F40" s="102"/>
      <c r="G40" s="14">
        <v>45928</v>
      </c>
      <c r="H40" s="15"/>
      <c r="I40" s="15"/>
      <c r="J40" s="15"/>
      <c r="K40" s="108"/>
      <c r="L40" s="49">
        <v>45958</v>
      </c>
      <c r="M40" s="67">
        <v>7</v>
      </c>
      <c r="N40" s="26"/>
      <c r="O40" s="92" t="s">
        <v>74</v>
      </c>
      <c r="P40" s="110"/>
      <c r="Q40" s="49">
        <v>46262</v>
      </c>
      <c r="R40" s="67">
        <v>7</v>
      </c>
      <c r="S40" s="26"/>
      <c r="T40" s="54" t="s">
        <v>74</v>
      </c>
      <c r="U40" s="98"/>
      <c r="V40" s="16">
        <v>46293</v>
      </c>
      <c r="W40" s="67">
        <v>7</v>
      </c>
      <c r="X40" s="92" t="s">
        <v>74</v>
      </c>
      <c r="Y40" s="26"/>
      <c r="Z40" s="98"/>
      <c r="AA40" s="16">
        <v>46323</v>
      </c>
      <c r="AB40" s="32"/>
      <c r="AC40" s="32">
        <v>7</v>
      </c>
      <c r="AD40" s="32"/>
      <c r="AE40" s="98"/>
      <c r="AF40" s="14">
        <v>46354</v>
      </c>
      <c r="AG40" s="15"/>
      <c r="AH40" s="15"/>
      <c r="AI40" s="15"/>
      <c r="AJ40" s="108"/>
      <c r="AK40" s="16">
        <v>45958</v>
      </c>
      <c r="AL40" s="26"/>
      <c r="AM40" s="25"/>
      <c r="AN40" s="111"/>
      <c r="AO40" s="14">
        <v>45928</v>
      </c>
      <c r="AP40" s="15"/>
      <c r="AQ40" s="19"/>
      <c r="AR40" s="111"/>
      <c r="AS40" s="16">
        <v>46140</v>
      </c>
      <c r="AT40" s="22"/>
      <c r="AU40" s="18"/>
      <c r="AV40" s="109"/>
      <c r="AW40" s="16">
        <v>46170</v>
      </c>
      <c r="AX40" s="26"/>
      <c r="AY40" s="25"/>
      <c r="AZ40" s="111"/>
      <c r="BA40" s="14">
        <v>46019</v>
      </c>
      <c r="BB40" s="15"/>
      <c r="BC40" s="15"/>
    </row>
    <row r="41" spans="1:55" ht="15" customHeight="1" x14ac:dyDescent="0.5">
      <c r="A41" s="101"/>
      <c r="B41" s="16">
        <v>45898</v>
      </c>
      <c r="C41" s="67">
        <v>7</v>
      </c>
      <c r="D41" s="26"/>
      <c r="E41" s="88" t="s">
        <v>42</v>
      </c>
      <c r="F41" s="101"/>
      <c r="G41" s="16">
        <v>45929</v>
      </c>
      <c r="H41" s="67">
        <v>7</v>
      </c>
      <c r="I41" s="26"/>
      <c r="J41" s="91" t="s">
        <v>72</v>
      </c>
      <c r="K41" s="108"/>
      <c r="L41" s="49">
        <v>45959</v>
      </c>
      <c r="M41" s="67">
        <v>7</v>
      </c>
      <c r="N41" s="26"/>
      <c r="O41" s="54" t="s">
        <v>74</v>
      </c>
      <c r="P41" s="107"/>
      <c r="Q41" s="14">
        <v>46263</v>
      </c>
      <c r="R41" s="20"/>
      <c r="S41" s="105"/>
      <c r="T41" s="106"/>
      <c r="U41" s="98"/>
      <c r="V41" s="16">
        <v>46294</v>
      </c>
      <c r="W41" s="67">
        <v>7</v>
      </c>
      <c r="X41" s="92" t="s">
        <v>74</v>
      </c>
      <c r="Y41" s="26"/>
      <c r="Z41" s="98"/>
      <c r="AA41" s="16">
        <v>46324</v>
      </c>
      <c r="AB41" s="32"/>
      <c r="AC41" s="32">
        <v>7</v>
      </c>
      <c r="AD41" s="32"/>
      <c r="AE41" s="98"/>
      <c r="AF41" s="14">
        <v>46355</v>
      </c>
      <c r="AG41" s="15"/>
      <c r="AH41" s="15"/>
      <c r="AI41" s="15"/>
      <c r="AJ41" s="108"/>
      <c r="AK41" s="16">
        <v>45959</v>
      </c>
      <c r="AL41" s="26"/>
      <c r="AM41" s="25"/>
      <c r="AN41" s="111"/>
      <c r="AO41" s="16">
        <v>45929</v>
      </c>
      <c r="AP41" s="26"/>
      <c r="AQ41" s="25"/>
      <c r="AR41" s="111"/>
      <c r="AS41" s="16">
        <v>46141</v>
      </c>
      <c r="AT41" s="22"/>
      <c r="AU41" s="18"/>
      <c r="AV41" s="109"/>
      <c r="AW41" s="16">
        <v>46171</v>
      </c>
      <c r="AX41" s="26"/>
      <c r="AY41" s="25"/>
      <c r="AZ41" s="111"/>
      <c r="BA41" s="16">
        <v>46020</v>
      </c>
      <c r="BB41" s="26"/>
      <c r="BC41" s="26"/>
    </row>
    <row r="42" spans="1:55" ht="15" customHeight="1" x14ac:dyDescent="0.5">
      <c r="A42" s="101"/>
      <c r="B42" s="14">
        <v>45899</v>
      </c>
      <c r="C42" s="15"/>
      <c r="D42" s="15"/>
      <c r="E42" s="15"/>
      <c r="F42" s="101"/>
      <c r="G42" s="16">
        <v>45930</v>
      </c>
      <c r="H42" s="67">
        <v>7</v>
      </c>
      <c r="I42" s="26"/>
      <c r="J42" s="91" t="s">
        <v>72</v>
      </c>
      <c r="K42" s="108"/>
      <c r="L42" s="49">
        <v>45960</v>
      </c>
      <c r="M42" s="67">
        <v>7</v>
      </c>
      <c r="N42" s="26"/>
      <c r="O42" s="54" t="s">
        <v>74</v>
      </c>
      <c r="P42" s="109"/>
      <c r="Q42" s="14">
        <v>46264</v>
      </c>
      <c r="R42" s="20"/>
      <c r="S42" s="105"/>
      <c r="T42" s="106"/>
      <c r="U42" s="98"/>
      <c r="V42" s="16">
        <v>46295</v>
      </c>
      <c r="W42" s="67">
        <v>7</v>
      </c>
      <c r="X42" s="92" t="s">
        <v>74</v>
      </c>
      <c r="Y42" s="26"/>
      <c r="Z42" s="99"/>
      <c r="AA42" s="16">
        <v>46325</v>
      </c>
      <c r="AB42" s="32"/>
      <c r="AC42" s="32">
        <v>7</v>
      </c>
      <c r="AD42" s="32"/>
      <c r="AE42" s="98"/>
      <c r="AF42" s="16">
        <v>46356</v>
      </c>
      <c r="AG42" s="26"/>
      <c r="AH42" s="26"/>
      <c r="AI42" s="26"/>
      <c r="AJ42" s="108"/>
      <c r="AK42" s="16">
        <v>45960</v>
      </c>
      <c r="AL42" s="26"/>
      <c r="AM42" s="25"/>
      <c r="AN42" s="111"/>
      <c r="AO42" s="16">
        <v>45930</v>
      </c>
      <c r="AP42" s="22"/>
      <c r="AQ42" s="25"/>
      <c r="AR42" s="111"/>
      <c r="AS42" s="16">
        <v>46142</v>
      </c>
      <c r="AT42" s="22"/>
      <c r="AU42" s="18"/>
      <c r="AV42" s="109"/>
      <c r="AW42" s="14">
        <v>46172</v>
      </c>
      <c r="AX42" s="20"/>
      <c r="AY42" s="19"/>
      <c r="AZ42" s="111"/>
      <c r="BA42" s="16">
        <v>46021</v>
      </c>
      <c r="BB42" s="26"/>
      <c r="BC42" s="26"/>
    </row>
    <row r="43" spans="1:55" ht="15" customHeight="1" x14ac:dyDescent="0.45">
      <c r="A43" s="102"/>
      <c r="B43" s="14">
        <v>45900</v>
      </c>
      <c r="C43" s="19"/>
      <c r="D43" s="15"/>
      <c r="E43" s="15"/>
      <c r="F43" s="102"/>
      <c r="G43" s="16"/>
      <c r="H43" s="22"/>
      <c r="I43" s="26"/>
      <c r="J43" s="26"/>
      <c r="K43" s="108"/>
      <c r="L43" s="49">
        <v>45961</v>
      </c>
      <c r="M43" s="77">
        <v>7</v>
      </c>
      <c r="N43" s="77" t="s">
        <v>62</v>
      </c>
      <c r="O43" s="77" t="s">
        <v>63</v>
      </c>
      <c r="P43" s="110"/>
      <c r="Q43" s="49">
        <v>46265</v>
      </c>
      <c r="R43" s="67">
        <v>7</v>
      </c>
      <c r="S43" s="93" t="s">
        <v>101</v>
      </c>
      <c r="T43" s="93" t="s">
        <v>18</v>
      </c>
      <c r="U43" s="99"/>
      <c r="V43" s="16"/>
      <c r="W43" s="26"/>
      <c r="X43" s="26"/>
      <c r="Y43" s="26"/>
      <c r="Z43" s="85"/>
      <c r="AA43" s="14">
        <v>46326</v>
      </c>
      <c r="AB43" s="20"/>
      <c r="AC43" s="15"/>
      <c r="AD43" s="15"/>
      <c r="AE43" s="99"/>
      <c r="AF43" s="16"/>
      <c r="AG43" s="26"/>
      <c r="AH43" s="26"/>
      <c r="AI43" s="26"/>
      <c r="AJ43" s="108"/>
      <c r="AK43" s="16">
        <v>45961</v>
      </c>
      <c r="AL43" s="26"/>
      <c r="AM43" s="18"/>
      <c r="AN43" s="29"/>
      <c r="AO43" s="16"/>
      <c r="AP43" s="22"/>
      <c r="AQ43" s="25"/>
      <c r="AR43" s="111"/>
      <c r="AS43" s="16"/>
      <c r="AT43" s="22"/>
      <c r="AU43" s="18"/>
      <c r="AV43" s="110"/>
      <c r="AW43" s="14">
        <v>46173</v>
      </c>
      <c r="AX43" s="20"/>
      <c r="AY43" s="19"/>
      <c r="AZ43" s="111"/>
      <c r="BA43" s="16">
        <v>46022</v>
      </c>
      <c r="BB43" s="26"/>
      <c r="BC43" s="30"/>
    </row>
    <row r="44" spans="1:55" ht="27" customHeight="1" x14ac:dyDescent="0.45">
      <c r="A44" s="33"/>
      <c r="B44" s="33"/>
      <c r="C44" s="31" t="s">
        <v>11</v>
      </c>
      <c r="D44" s="32" t="s">
        <v>12</v>
      </c>
      <c r="E44" s="32"/>
      <c r="F44" s="33"/>
      <c r="G44" s="33"/>
      <c r="H44" s="31" t="s">
        <v>11</v>
      </c>
      <c r="I44" s="32" t="s">
        <v>12</v>
      </c>
      <c r="J44" s="32"/>
      <c r="K44" s="33"/>
      <c r="L44" s="33"/>
      <c r="M44" s="31" t="s">
        <v>11</v>
      </c>
      <c r="N44" s="32"/>
      <c r="O44" s="32" t="s">
        <v>12</v>
      </c>
      <c r="P44" s="33"/>
      <c r="Q44" s="33"/>
      <c r="R44" s="31" t="s">
        <v>11</v>
      </c>
      <c r="S44" s="32" t="s">
        <v>12</v>
      </c>
      <c r="T44" s="32"/>
      <c r="U44" s="33"/>
      <c r="V44" s="33"/>
      <c r="W44" s="31" t="s">
        <v>11</v>
      </c>
      <c r="X44" s="32"/>
      <c r="Y44" s="32" t="s">
        <v>12</v>
      </c>
      <c r="Z44" s="33"/>
      <c r="AA44" s="33"/>
      <c r="AB44" s="31" t="s">
        <v>11</v>
      </c>
      <c r="AC44" s="32" t="s">
        <v>12</v>
      </c>
      <c r="AD44" s="32"/>
      <c r="AE44" s="33"/>
      <c r="AF44" s="33"/>
      <c r="AG44" s="31" t="s">
        <v>11</v>
      </c>
      <c r="AH44" s="32"/>
      <c r="AI44" s="32" t="s">
        <v>12</v>
      </c>
      <c r="AJ44" s="33"/>
      <c r="AK44" s="33"/>
      <c r="AL44" s="31" t="s">
        <v>11</v>
      </c>
      <c r="AM44" s="32" t="s">
        <v>12</v>
      </c>
      <c r="AN44" s="33"/>
      <c r="AO44" s="33"/>
      <c r="AP44" s="31" t="s">
        <v>11</v>
      </c>
      <c r="AQ44" s="32" t="s">
        <v>12</v>
      </c>
      <c r="AR44" s="33"/>
      <c r="AS44" s="33"/>
      <c r="AT44" s="31" t="s">
        <v>11</v>
      </c>
      <c r="AU44" s="32" t="s">
        <v>12</v>
      </c>
      <c r="AV44" s="33"/>
      <c r="AW44" s="33"/>
      <c r="AX44" s="31" t="s">
        <v>11</v>
      </c>
      <c r="AY44" s="32" t="s">
        <v>12</v>
      </c>
      <c r="AZ44" s="33"/>
      <c r="BA44" s="33"/>
      <c r="BB44" s="31" t="s">
        <v>11</v>
      </c>
      <c r="BC44" s="32" t="s">
        <v>12</v>
      </c>
    </row>
    <row r="45" spans="1:55" x14ac:dyDescent="0.45">
      <c r="A45" s="37"/>
      <c r="B45" s="38"/>
      <c r="C45" s="34">
        <f>SUM(C13:C43)</f>
        <v>63</v>
      </c>
      <c r="D45" s="70">
        <f>SUM(D13:D43)</f>
        <v>0</v>
      </c>
      <c r="E45" s="35"/>
      <c r="F45" s="37"/>
      <c r="G45" s="38"/>
      <c r="H45" s="34">
        <f>SUM(H13:H43)</f>
        <v>154</v>
      </c>
      <c r="I45" s="70">
        <f>SUM(I13:I43)</f>
        <v>0</v>
      </c>
      <c r="J45" s="35"/>
      <c r="K45" s="37"/>
      <c r="L45" s="38"/>
      <c r="M45" s="34">
        <f>SUM(M13:M43)</f>
        <v>56</v>
      </c>
      <c r="N45" s="34"/>
      <c r="O45" s="34">
        <f>SUM(O13:O43)</f>
        <v>91</v>
      </c>
      <c r="P45" s="37"/>
      <c r="Q45" s="38"/>
      <c r="R45" s="34">
        <f>SUM(R13:R43)</f>
        <v>77</v>
      </c>
      <c r="S45" s="70">
        <f>SUM(S13:S43)</f>
        <v>0</v>
      </c>
      <c r="T45" s="35"/>
      <c r="U45" s="37"/>
      <c r="V45" s="38"/>
      <c r="W45" s="34">
        <f>SUM(W13:W43)</f>
        <v>84</v>
      </c>
      <c r="X45" s="34"/>
      <c r="Y45" s="34">
        <f>SUM(Y13:Y43)</f>
        <v>70</v>
      </c>
      <c r="Z45" s="37"/>
      <c r="AA45" s="38"/>
      <c r="AB45" s="34">
        <f>SUM(AB13:AB43)</f>
        <v>84</v>
      </c>
      <c r="AC45" s="70">
        <f>SUM(AC13:AC43)</f>
        <v>70</v>
      </c>
      <c r="AD45" s="35"/>
      <c r="AE45" s="37"/>
      <c r="AF45" s="38"/>
      <c r="AG45" s="34">
        <f>SUM(AG13:AG43)</f>
        <v>98</v>
      </c>
      <c r="AH45" s="34"/>
      <c r="AI45" s="34">
        <f>SUM(AI13:AI43)</f>
        <v>0</v>
      </c>
      <c r="AJ45" s="37"/>
      <c r="AK45" s="38"/>
      <c r="AL45" s="34">
        <f>SUM(AL13:AL43)</f>
        <v>0</v>
      </c>
      <c r="AM45" s="34">
        <f>SUM(AM13:AM43)</f>
        <v>0</v>
      </c>
      <c r="AN45" s="37"/>
      <c r="AO45" s="38"/>
      <c r="AP45" s="34">
        <f>SUM(AP13:AP43)</f>
        <v>0</v>
      </c>
      <c r="AQ45" s="34">
        <f>SUM(AQ13:AQ43)</f>
        <v>0</v>
      </c>
      <c r="AR45" s="37"/>
      <c r="AS45" s="38"/>
      <c r="AT45" s="34">
        <f>SUM(AT13:AT43)</f>
        <v>0</v>
      </c>
      <c r="AU45" s="34">
        <f>SUM(AU13:AU43)</f>
        <v>0</v>
      </c>
      <c r="AV45" s="37"/>
      <c r="AW45" s="38"/>
      <c r="AX45" s="34">
        <f>SUM(AX13:AX43)</f>
        <v>0</v>
      </c>
      <c r="AY45" s="58"/>
      <c r="AZ45" s="37"/>
      <c r="BA45" s="38"/>
      <c r="BB45" s="34">
        <f>SUM(BB13:BB43)</f>
        <v>0</v>
      </c>
      <c r="BC45" s="34">
        <f>SUM(BC13:BC43)</f>
        <v>0</v>
      </c>
    </row>
    <row r="46" spans="1:55" x14ac:dyDescent="0.45">
      <c r="B46" s="11"/>
    </row>
    <row r="47" spans="1:55" x14ac:dyDescent="0.45">
      <c r="A47" s="126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40"/>
      <c r="AW47" s="40"/>
      <c r="AX47" s="40"/>
      <c r="AY47" s="40"/>
      <c r="AZ47" s="40"/>
      <c r="BA47" s="40"/>
      <c r="BB47" s="40"/>
      <c r="BC47" s="40"/>
    </row>
    <row r="48" spans="1:55" x14ac:dyDescent="0.45">
      <c r="A48" s="126"/>
      <c r="B48" s="41" t="s">
        <v>36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55" ht="21" customHeight="1" thickBot="1" x14ac:dyDescent="0.7">
      <c r="A49" s="126"/>
      <c r="B49" s="41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51"/>
      <c r="Q49" s="51"/>
      <c r="R49" s="51"/>
      <c r="S49" s="51"/>
      <c r="T49" s="51"/>
      <c r="U49" s="51"/>
      <c r="V49" s="51"/>
      <c r="W49" s="51"/>
      <c r="X49" s="53" t="s">
        <v>90</v>
      </c>
      <c r="Y49" s="53"/>
      <c r="Z49" s="40"/>
      <c r="AA49" s="51"/>
      <c r="AB49" s="51"/>
      <c r="AC49" s="57" t="s">
        <v>91</v>
      </c>
      <c r="AD49" s="57"/>
      <c r="AE49" s="40"/>
      <c r="AF49" s="40"/>
      <c r="AG49" s="40"/>
      <c r="AH49" s="40"/>
      <c r="AI49" s="40"/>
      <c r="AJ49" s="40"/>
      <c r="AK49" s="62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55" ht="21.4" thickBot="1" x14ac:dyDescent="0.7">
      <c r="A50" s="126"/>
      <c r="B50" s="42"/>
      <c r="C50" s="40" t="s">
        <v>37</v>
      </c>
      <c r="D50" s="40"/>
      <c r="E50" s="40"/>
      <c r="F50" s="40"/>
      <c r="G50" s="40"/>
      <c r="H50" s="40"/>
      <c r="I50" s="40"/>
      <c r="J50" s="40"/>
      <c r="K50" s="40"/>
      <c r="L50" s="129" t="s">
        <v>38</v>
      </c>
      <c r="M50" s="130"/>
      <c r="N50" s="130"/>
      <c r="O50" s="130"/>
      <c r="P50" s="130"/>
      <c r="Q50" s="130"/>
      <c r="R50" s="130"/>
      <c r="S50" s="130"/>
      <c r="T50" s="130"/>
      <c r="U50" s="130"/>
      <c r="V50" s="131"/>
      <c r="W50" s="60"/>
      <c r="X50" s="54" t="s">
        <v>74</v>
      </c>
      <c r="Y50" s="54"/>
      <c r="Z50" s="40"/>
      <c r="AA50" s="60"/>
      <c r="AB50" s="60"/>
      <c r="AC50" s="68" t="s">
        <v>84</v>
      </c>
      <c r="AD50" s="68"/>
      <c r="AE50" s="40"/>
      <c r="AF50" s="40"/>
      <c r="AG50" s="40"/>
      <c r="AH50" s="40"/>
      <c r="AI50" s="40"/>
      <c r="AJ50" s="40"/>
      <c r="AK50" s="62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55" ht="21" customHeight="1" x14ac:dyDescent="0.45">
      <c r="A51" s="126"/>
      <c r="B51" s="43"/>
      <c r="C51" s="40" t="s">
        <v>39</v>
      </c>
      <c r="D51" s="40"/>
      <c r="E51" s="40"/>
      <c r="F51" s="40"/>
      <c r="G51" s="40"/>
      <c r="H51" s="40"/>
      <c r="I51" s="40"/>
      <c r="J51" s="40"/>
      <c r="K51" s="40"/>
      <c r="L51" s="132" t="s">
        <v>43</v>
      </c>
      <c r="M51" s="133"/>
      <c r="N51" s="133"/>
      <c r="O51" s="133"/>
      <c r="P51" s="133"/>
      <c r="Q51" s="133"/>
      <c r="R51" s="133"/>
      <c r="S51" s="133"/>
      <c r="T51" s="133"/>
      <c r="U51" s="133"/>
      <c r="V51" s="134"/>
      <c r="W51" s="40"/>
      <c r="X51" s="80"/>
      <c r="Y51" s="80"/>
      <c r="Z51" s="40"/>
      <c r="AA51" s="40"/>
      <c r="AB51" s="40"/>
      <c r="AC51" s="81" t="s">
        <v>85</v>
      </c>
      <c r="AD51" s="81"/>
      <c r="AE51" s="40"/>
      <c r="AF51" s="40"/>
      <c r="AG51" s="40"/>
      <c r="AH51" s="40"/>
      <c r="AI51" s="40"/>
      <c r="AJ51" s="40"/>
      <c r="AK51" s="62"/>
      <c r="AL51" s="40"/>
      <c r="AM51" s="40"/>
      <c r="AN51" s="40"/>
      <c r="AO51" s="5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55" ht="21" customHeight="1" thickBot="1" x14ac:dyDescent="0.7">
      <c r="A52" s="126"/>
      <c r="B52" s="44"/>
      <c r="C52" s="127" t="s">
        <v>40</v>
      </c>
      <c r="D52" s="128"/>
      <c r="E52" s="128"/>
      <c r="F52" s="128"/>
      <c r="G52" s="128"/>
      <c r="H52" s="128"/>
      <c r="I52" s="128"/>
      <c r="J52" s="128"/>
      <c r="K52" s="128"/>
      <c r="L52" s="135" t="s">
        <v>44</v>
      </c>
      <c r="M52" s="136"/>
      <c r="N52" s="136"/>
      <c r="O52" s="136"/>
      <c r="P52" s="136"/>
      <c r="Q52" s="136"/>
      <c r="R52" s="136"/>
      <c r="S52" s="136"/>
      <c r="T52" s="136"/>
      <c r="U52" s="136"/>
      <c r="V52" s="137"/>
      <c r="W52" s="61"/>
      <c r="X52" s="79" t="s">
        <v>96</v>
      </c>
      <c r="Y52" s="79"/>
      <c r="Z52" s="40" t="s">
        <v>98</v>
      </c>
      <c r="AA52" s="61"/>
      <c r="AB52" s="82"/>
      <c r="AC52" s="83" t="s">
        <v>86</v>
      </c>
      <c r="AD52" s="83"/>
      <c r="AE52" s="40"/>
      <c r="AF52" s="40"/>
      <c r="AG52" s="40"/>
      <c r="AH52" s="40"/>
      <c r="AI52" s="40"/>
      <c r="AJ52" s="40"/>
      <c r="AK52" s="62"/>
      <c r="AL52" s="40"/>
      <c r="AM52" s="40"/>
      <c r="AN52" s="40"/>
      <c r="AO52" s="5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55" ht="21" x14ac:dyDescent="0.65">
      <c r="A53" s="126"/>
      <c r="B53" s="45"/>
      <c r="C53" s="127" t="s">
        <v>41</v>
      </c>
      <c r="D53" s="128"/>
      <c r="E53" s="128"/>
      <c r="F53" s="128"/>
      <c r="G53" s="128"/>
      <c r="H53" s="128"/>
      <c r="I53" s="128"/>
      <c r="J53" s="128"/>
      <c r="K53" s="12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61"/>
      <c r="X53" s="56" t="s">
        <v>88</v>
      </c>
      <c r="Y53" s="56"/>
      <c r="Z53" s="40"/>
      <c r="AA53" s="61"/>
      <c r="AB53" s="61"/>
      <c r="AC53" s="84" t="s">
        <v>87</v>
      </c>
      <c r="AD53" s="84"/>
      <c r="AE53" s="40"/>
      <c r="AF53" s="40"/>
      <c r="AG53" s="40"/>
      <c r="AH53" s="40"/>
      <c r="AI53" s="40"/>
      <c r="AJ53" s="40"/>
      <c r="AK53" s="62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55" ht="15" customHeight="1" x14ac:dyDescent="0.45">
      <c r="A54" s="126"/>
      <c r="B54" s="46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55" t="s">
        <v>89</v>
      </c>
      <c r="Y54" s="55"/>
      <c r="Z54" s="40"/>
      <c r="AA54" s="40"/>
      <c r="AB54" s="40"/>
      <c r="AC54" s="69" t="s">
        <v>92</v>
      </c>
      <c r="AD54" s="69"/>
      <c r="AE54" s="40"/>
      <c r="AF54" s="40"/>
      <c r="AG54" s="40"/>
      <c r="AH54" s="40"/>
      <c r="AI54" s="40"/>
      <c r="AJ54" s="40"/>
      <c r="AK54" s="62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55" ht="15" customHeight="1" x14ac:dyDescent="0.45">
      <c r="A55" s="126"/>
      <c r="B55" s="46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55" ht="15" customHeight="1" x14ac:dyDescent="0.45">
      <c r="B56" s="11"/>
    </row>
    <row r="57" spans="1:55" ht="15" customHeight="1" x14ac:dyDescent="0.45">
      <c r="B57" s="11"/>
      <c r="R57" s="36"/>
    </row>
    <row r="58" spans="1:55" ht="15" customHeight="1" x14ac:dyDescent="0.45">
      <c r="R58" s="36"/>
    </row>
    <row r="59" spans="1:55" ht="15" customHeight="1" x14ac:dyDescent="0.45">
      <c r="R59" s="36"/>
    </row>
  </sheetData>
  <mergeCells count="109">
    <mergeCell ref="AH13:AI13"/>
    <mergeCell ref="AH20:AI20"/>
    <mergeCell ref="AH19:AI19"/>
    <mergeCell ref="AC36:AD36"/>
    <mergeCell ref="AC37:AD37"/>
    <mergeCell ref="AE13:AE18"/>
    <mergeCell ref="AE19:AE25"/>
    <mergeCell ref="AE26:AE32"/>
    <mergeCell ref="AE33:AE39"/>
    <mergeCell ref="A47:A55"/>
    <mergeCell ref="C52:K52"/>
    <mergeCell ref="C53:K53"/>
    <mergeCell ref="L50:V50"/>
    <mergeCell ref="L51:V51"/>
    <mergeCell ref="L52:V52"/>
    <mergeCell ref="L53:V53"/>
    <mergeCell ref="P34:P40"/>
    <mergeCell ref="P41:P43"/>
    <mergeCell ref="K30:K36"/>
    <mergeCell ref="K37:K43"/>
    <mergeCell ref="AZ12:BA12"/>
    <mergeCell ref="A11:D11"/>
    <mergeCell ref="F11:I11"/>
    <mergeCell ref="P11:S11"/>
    <mergeCell ref="AZ11:BC11"/>
    <mergeCell ref="A12:B12"/>
    <mergeCell ref="F12:G12"/>
    <mergeCell ref="K12:L12"/>
    <mergeCell ref="P12:Q12"/>
    <mergeCell ref="U12:V12"/>
    <mergeCell ref="Z12:AA12"/>
    <mergeCell ref="AE12:AF12"/>
    <mergeCell ref="AJ12:AK12"/>
    <mergeCell ref="AV11:AY11"/>
    <mergeCell ref="B1:AU1"/>
    <mergeCell ref="I2:L3"/>
    <mergeCell ref="W3:AL3"/>
    <mergeCell ref="B7:L7"/>
    <mergeCell ref="B8:L8"/>
    <mergeCell ref="S8:W8"/>
    <mergeCell ref="AB8:AF8"/>
    <mergeCell ref="AV12:AW12"/>
    <mergeCell ref="AN12:AO12"/>
    <mergeCell ref="B9:L9"/>
    <mergeCell ref="AR11:AU11"/>
    <mergeCell ref="Z11:AC11"/>
    <mergeCell ref="AE11:AI11"/>
    <mergeCell ref="AJ11:AM11"/>
    <mergeCell ref="AN11:AQ11"/>
    <mergeCell ref="AR12:AS12"/>
    <mergeCell ref="U11:Y11"/>
    <mergeCell ref="K11:O11"/>
    <mergeCell ref="AN41:AN42"/>
    <mergeCell ref="AJ13:AJ15"/>
    <mergeCell ref="AJ16:AJ22"/>
    <mergeCell ref="AJ23:AJ29"/>
    <mergeCell ref="AJ30:AJ36"/>
    <mergeCell ref="AJ37:AJ43"/>
    <mergeCell ref="AN20:AN26"/>
    <mergeCell ref="AN27:AN33"/>
    <mergeCell ref="AN13:AN19"/>
    <mergeCell ref="U24:U30"/>
    <mergeCell ref="U31:U37"/>
    <mergeCell ref="U38:U43"/>
    <mergeCell ref="Z13:Z14"/>
    <mergeCell ref="Z15:Z21"/>
    <mergeCell ref="Z22:Z28"/>
    <mergeCell ref="Z29:Z35"/>
    <mergeCell ref="Z36:Z42"/>
    <mergeCell ref="AZ34:AZ40"/>
    <mergeCell ref="AZ41:AZ43"/>
    <mergeCell ref="AR13:AR17"/>
    <mergeCell ref="AR18:AR24"/>
    <mergeCell ref="AR25:AR31"/>
    <mergeCell ref="AR32:AR38"/>
    <mergeCell ref="AR39:AR43"/>
    <mergeCell ref="AV13:AV15"/>
    <mergeCell ref="AV16:AV22"/>
    <mergeCell ref="AV23:AV29"/>
    <mergeCell ref="AV30:AV36"/>
    <mergeCell ref="AV37:AV43"/>
    <mergeCell ref="AZ13:AZ19"/>
    <mergeCell ref="AZ20:AZ26"/>
    <mergeCell ref="AZ27:AZ33"/>
    <mergeCell ref="AN34:AN40"/>
    <mergeCell ref="AE40:AE43"/>
    <mergeCell ref="A13:A15"/>
    <mergeCell ref="A16:A22"/>
    <mergeCell ref="A23:A29"/>
    <mergeCell ref="A30:A36"/>
    <mergeCell ref="A37:A43"/>
    <mergeCell ref="F13:F19"/>
    <mergeCell ref="F20:F26"/>
    <mergeCell ref="F27:F33"/>
    <mergeCell ref="F34:F40"/>
    <mergeCell ref="F41:F43"/>
    <mergeCell ref="S34:T34"/>
    <mergeCell ref="S35:T35"/>
    <mergeCell ref="S41:T41"/>
    <mergeCell ref="S42:T42"/>
    <mergeCell ref="U13:U16"/>
    <mergeCell ref="U17:U23"/>
    <mergeCell ref="X18:Y18"/>
    <mergeCell ref="K13:K15"/>
    <mergeCell ref="K16:K22"/>
    <mergeCell ref="K23:K29"/>
    <mergeCell ref="P13:P19"/>
    <mergeCell ref="P20:P26"/>
    <mergeCell ref="P27:P33"/>
  </mergeCells>
  <phoneticPr fontId="16" type="noConversion"/>
  <printOptions horizontalCentered="1" verticalCentered="1"/>
  <pageMargins left="0" right="0" top="0" bottom="0" header="0" footer="0"/>
  <pageSetup paperSize="8" scale="6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694ECED4E1948B5E8D6F6BADC8D0D" ma:contentTypeVersion="4" ma:contentTypeDescription="Crée un document." ma:contentTypeScope="" ma:versionID="504949a71aab2cb719442a6beb0a4eda">
  <xsd:schema xmlns:xsd="http://www.w3.org/2001/XMLSchema" xmlns:xs="http://www.w3.org/2001/XMLSchema" xmlns:p="http://schemas.microsoft.com/office/2006/metadata/properties" xmlns:ns2="102bceca-7b01-449b-a089-7caeaaf28d79" targetNamespace="http://schemas.microsoft.com/office/2006/metadata/properties" ma:root="true" ma:fieldsID="029f89eff23996dad8873f8cabf28cb6" ns2:_="">
    <xsd:import namespace="102bceca-7b01-449b-a089-7caeaaf28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bceca-7b01-449b-a089-7caeaaf28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1D94A-FAA5-446A-9E63-96728E017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bceca-7b01-449b-a089-7caeaaf28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55206-B539-47B6-8443-C51626AAA3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A92264-ACEF-4D40-97BD-271C523DAB22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102bceca-7b01-449b-a089-7caeaaf28d79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PIGOIS</dc:creator>
  <cp:keywords/>
  <dc:description/>
  <cp:lastModifiedBy>Sébastien HUBERT</cp:lastModifiedBy>
  <cp:revision/>
  <cp:lastPrinted>2026-01-08T09:53:05Z</cp:lastPrinted>
  <dcterms:created xsi:type="dcterms:W3CDTF">2023-10-10T11:58:02Z</dcterms:created>
  <dcterms:modified xsi:type="dcterms:W3CDTF">2026-01-08T13:06:39Z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0x010100862694ECED4E1948B5E8D6F6BADC8D0D</vt:lpwstr>
  </property>
</Properties>
</file>