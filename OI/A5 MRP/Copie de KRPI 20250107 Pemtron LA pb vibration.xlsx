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.antoine\Desktop\8D\MSL circuit A3\"/>
    </mc:Choice>
  </mc:AlternateContent>
  <xr:revisionPtr revIDLastSave="0" documentId="8_{DAB619E7-6130-400C-ACC3-EE21CFBA8EFF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Feuille du KRPI" sheetId="1" r:id="rId1"/>
    <sheet name="Priorité" sheetId="3" r:id="rId2"/>
    <sheet name="Principe de fonctionnement" sheetId="2" r:id="rId3"/>
    <sheet name="liste des champ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A9" i="3" l="1"/>
  <c r="G9" i="3"/>
  <c r="K44" i="1" s="1"/>
  <c r="A31" i="3"/>
  <c r="A30" i="3"/>
  <c r="A29" i="3"/>
  <c r="G29" i="3"/>
  <c r="F87" i="1" s="1"/>
  <c r="G30" i="3"/>
  <c r="F89" i="1" s="1"/>
  <c r="G31" i="3"/>
  <c r="F91" i="1" s="1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8" i="3" l="1"/>
  <c r="A7" i="3"/>
  <c r="A6" i="3"/>
  <c r="A5" i="3"/>
  <c r="A4" i="3"/>
  <c r="A3" i="3"/>
  <c r="G19" i="3" l="1"/>
  <c r="F67" i="1" s="1"/>
  <c r="G3" i="3" l="1"/>
  <c r="K32" i="1" s="1"/>
  <c r="G4" i="3"/>
  <c r="K34" i="1" s="1"/>
  <c r="G5" i="3"/>
  <c r="K36" i="1" s="1"/>
  <c r="G6" i="3"/>
  <c r="K38" i="1" s="1"/>
  <c r="G7" i="3"/>
  <c r="K40" i="1" s="1"/>
  <c r="G8" i="3"/>
  <c r="K42" i="1" s="1"/>
  <c r="G10" i="3"/>
  <c r="F49" i="1" s="1"/>
  <c r="G11" i="3"/>
  <c r="F51" i="1" s="1"/>
  <c r="G12" i="3"/>
  <c r="F53" i="1" s="1"/>
  <c r="G13" i="3"/>
  <c r="F55" i="1" s="1"/>
  <c r="G14" i="3"/>
  <c r="F57" i="1" s="1"/>
  <c r="G15" i="3"/>
  <c r="F59" i="1" s="1"/>
  <c r="G16" i="3"/>
  <c r="F61" i="1" s="1"/>
  <c r="G17" i="3"/>
  <c r="F63" i="1" s="1"/>
  <c r="G18" i="3"/>
  <c r="F65" i="1" s="1"/>
  <c r="G20" i="3"/>
  <c r="F69" i="1" s="1"/>
  <c r="G21" i="3"/>
  <c r="F71" i="1" s="1"/>
  <c r="G22" i="3"/>
  <c r="F73" i="1" s="1"/>
  <c r="G23" i="3"/>
  <c r="F75" i="1" s="1"/>
  <c r="G24" i="3"/>
  <c r="F77" i="1" s="1"/>
  <c r="G25" i="3"/>
  <c r="F79" i="1" s="1"/>
  <c r="G26" i="3"/>
  <c r="F81" i="1" s="1"/>
  <c r="G27" i="3"/>
  <c r="F83" i="1" s="1"/>
  <c r="G28" i="3"/>
  <c r="F85" i="1" s="1"/>
</calcChain>
</file>

<file path=xl/sharedStrings.xml><?xml version="1.0" encoding="utf-8"?>
<sst xmlns="http://schemas.openxmlformats.org/spreadsheetml/2006/main" count="167" uniqueCount="133">
  <si>
    <t>Contact Fournisseurs</t>
  </si>
  <si>
    <t>-Technicien(s)</t>
  </si>
  <si>
    <t>-Mails /Tel</t>
  </si>
  <si>
    <t>Ligne:</t>
  </si>
  <si>
    <t>Machine:</t>
  </si>
  <si>
    <t>N°Corim:</t>
  </si>
  <si>
    <t>N'EST PAS</t>
  </si>
  <si>
    <t>Action</t>
  </si>
  <si>
    <t>Resp.</t>
  </si>
  <si>
    <t>ordre 
des OP</t>
  </si>
  <si>
    <r>
      <t xml:space="preserve">Réalisée </t>
    </r>
    <r>
      <rPr>
        <b/>
        <sz val="10"/>
        <color rgb="FFFF0000"/>
        <rFont val="Arial"/>
        <family val="2"/>
      </rPr>
      <t>/ Abandon</t>
    </r>
  </si>
  <si>
    <t xml:space="preserve">Date, heure &amp; Commentaires </t>
  </si>
  <si>
    <t>EST 
POTENTIELLEMENT</t>
  </si>
  <si>
    <t>Méthodes</t>
  </si>
  <si>
    <t>Milieu</t>
  </si>
  <si>
    <t>Main d'œuvre</t>
  </si>
  <si>
    <t>Matériel</t>
  </si>
  <si>
    <t>Matière</t>
  </si>
  <si>
    <t>Pb / effet:</t>
  </si>
  <si>
    <t>2 - Recherche des causes possibles : Diagramme d'Ishikawa</t>
  </si>
  <si>
    <t>1 - Définition du pb: QQOQCP</t>
  </si>
  <si>
    <t>3 - Tri des causes: Est / N'est pas</t>
  </si>
  <si>
    <t>4 - Plan d'actions</t>
  </si>
  <si>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ù </t>
    </r>
  </si>
  <si>
    <r>
      <rPr>
        <sz val="11"/>
        <color rgb="FFFF0000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ourquoi 
</t>
    </r>
    <r>
      <rPr>
        <sz val="8"/>
        <color theme="0" tint="-0.499984740745262"/>
        <rFont val="Calibri"/>
        <family val="2"/>
        <scheme val="minor"/>
      </rPr>
      <t>(qualité/ arret machine / dégradé)</t>
    </r>
  </si>
  <si>
    <t>Infos liées à l'intervention</t>
  </si>
  <si>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omment
</t>
    </r>
    <r>
      <rPr>
        <sz val="8"/>
        <color theme="0" tint="-0.499984740745262"/>
        <rFont val="Calibri"/>
        <family val="2"/>
        <scheme val="minor"/>
      </rPr>
      <t>(en prod / inter humain)</t>
    </r>
  </si>
  <si>
    <r>
      <rPr>
        <sz val="11"/>
        <color rgb="FFFF0000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ui
</t>
    </r>
    <r>
      <rPr>
        <sz val="8"/>
        <color theme="0" tint="-0.499984740745262"/>
        <rFont val="Calibri"/>
        <family val="2"/>
        <scheme val="minor"/>
      </rPr>
      <t>(op/leader/tech)</t>
    </r>
  </si>
  <si>
    <r>
      <rPr>
        <sz val="11"/>
        <color rgb="FFFF0000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uand 
</t>
    </r>
    <r>
      <rPr>
        <sz val="8"/>
        <color theme="0" tint="-0.499984740745262"/>
        <rFont val="Calibri"/>
        <family val="2"/>
        <scheme val="minor"/>
      </rPr>
      <t>(date et heure / fréquence)</t>
    </r>
  </si>
  <si>
    <r>
      <rPr>
        <sz val="11"/>
        <color rgb="FFFF0000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uoi 
</t>
    </r>
    <r>
      <rPr>
        <sz val="8"/>
        <color theme="0" tint="-0.499984740745262"/>
        <rFont val="Calibri"/>
        <family val="2"/>
        <scheme val="minor"/>
      </rPr>
      <t>(Description en 1 phrase)</t>
    </r>
  </si>
  <si>
    <t xml:space="preserve">Info: Si la panne dure plusieurs 8 ou jours, faire un point d'avancement au changement d'équipe </t>
  </si>
  <si>
    <t>Info: Si les techniciens pensent à d'autres actions, ils peuvent les ecrire à la main et le technicien methode le renseignera dans le tableau numérique</t>
  </si>
  <si>
    <t>6) Lorsque le problème est résolu, il faut rattacher le KRPI avec le compte rendu dans CORIM</t>
  </si>
  <si>
    <t>5) Compléter la partie commentaire du plan d'action à la main. Le technicien Méthode le renseignera dans le tableau numérique</t>
  </si>
  <si>
    <t xml:space="preserve">4) Réaliser les actions en suivant l'ordre de priorité </t>
  </si>
  <si>
    <t>3) Imprimer la feuille en A3 et la transmettre aux techniciens support</t>
  </si>
  <si>
    <t>2) Remplir la feuille du KRPI avec les techniciens support</t>
  </si>
  <si>
    <r>
      <t xml:space="preserve">1) Réunir les techniciens support et un technicien méthode maintenance à la zone de com de l'atelier </t>
    </r>
    <r>
      <rPr>
        <b/>
        <sz val="11"/>
        <color rgb="FFFF0000"/>
        <rFont val="Calibri"/>
        <family val="2"/>
        <scheme val="minor"/>
      </rPr>
      <t>(Ne pas le remplir à côté de la machine)</t>
    </r>
  </si>
  <si>
    <t>Principe de fonctionnement</t>
  </si>
  <si>
    <t>Total</t>
  </si>
  <si>
    <t>Effort (1 ou 2)</t>
  </si>
  <si>
    <t>Gain (2 ou 4)</t>
  </si>
  <si>
    <r>
      <t xml:space="preserve">Matrice gain/effort pour définition des priorités
</t>
    </r>
    <r>
      <rPr>
        <sz val="11"/>
        <color theme="0" tint="-0.499984740745262"/>
        <rFont val="Calibri"/>
        <family val="2"/>
        <scheme val="minor"/>
      </rPr>
      <t>Effort : est-ce-qu'on peut le faire de suite ou rapidement + tps intervention
Gain: probabilité que le pb vienne de là</t>
    </r>
    <r>
      <rPr>
        <sz val="14"/>
        <color theme="1"/>
        <rFont val="Calibri"/>
        <family val="2"/>
        <scheme val="minor"/>
      </rPr>
      <t xml:space="preserve">
</t>
    </r>
  </si>
  <si>
    <t>XGO</t>
  </si>
  <si>
    <t>TLL</t>
  </si>
  <si>
    <t>Test</t>
  </si>
  <si>
    <t>TDI</t>
  </si>
  <si>
    <t>TAA</t>
  </si>
  <si>
    <t>RFS</t>
  </si>
  <si>
    <t>Process</t>
  </si>
  <si>
    <t>NST</t>
  </si>
  <si>
    <t>MPT</t>
  </si>
  <si>
    <t>MEE</t>
  </si>
  <si>
    <t>LMS</t>
  </si>
  <si>
    <t>JBS</t>
  </si>
  <si>
    <t>JBM</t>
  </si>
  <si>
    <t>GME</t>
  </si>
  <si>
    <t>CPT</t>
  </si>
  <si>
    <t>Amelioration du pb</t>
  </si>
  <si>
    <t>Abandon</t>
  </si>
  <si>
    <t>CCS</t>
  </si>
  <si>
    <t>Dégradation du pb</t>
  </si>
  <si>
    <t>Réalisée</t>
  </si>
  <si>
    <t>AIL</t>
  </si>
  <si>
    <t>Aucun changement</t>
  </si>
  <si>
    <t>Responsable</t>
  </si>
  <si>
    <t>Amelioration?</t>
  </si>
  <si>
    <t>Raison déclenchement KRPI : panne de + de 2H sans trouver la root cause</t>
  </si>
  <si>
    <t>4- Suite du Plan d'actions</t>
  </si>
  <si>
    <r>
      <t xml:space="preserve">Réalisée </t>
    </r>
    <r>
      <rPr>
        <b/>
        <sz val="12"/>
        <color rgb="FFFF0000"/>
        <rFont val="Calibri"/>
        <family val="2"/>
        <scheme val="minor"/>
      </rPr>
      <t>/ Abandon</t>
    </r>
  </si>
  <si>
    <r>
      <rPr>
        <b/>
        <sz val="11"/>
        <rFont val="Calibri"/>
        <family val="2"/>
        <scheme val="minor"/>
      </rPr>
      <t xml:space="preserve">Gain/Effort </t>
    </r>
    <r>
      <rPr>
        <b/>
        <sz val="11"/>
        <color rgb="FF00B050"/>
        <rFont val="Calibri"/>
        <family val="2"/>
        <scheme val="minor"/>
      </rPr>
      <t>(Vert= prioritaire</t>
    </r>
    <r>
      <rPr>
        <b/>
        <sz val="11"/>
        <color theme="1" tint="0.499984740745262"/>
        <rFont val="Calibri"/>
        <family val="2"/>
        <scheme val="minor"/>
      </rPr>
      <t xml:space="preserve"> </t>
    </r>
    <r>
      <rPr>
        <b/>
        <sz val="11"/>
        <color theme="7" tint="-0.249977111117893"/>
        <rFont val="Calibri"/>
        <family val="2"/>
        <scheme val="minor"/>
      </rPr>
      <t>beige = modérée</t>
    </r>
    <r>
      <rPr>
        <b/>
        <sz val="11"/>
        <color theme="1" tint="0.499984740745262"/>
        <rFont val="Calibri"/>
        <family val="2"/>
        <scheme val="minor"/>
      </rPr>
      <t xml:space="preserve"> ou </t>
    </r>
    <r>
      <rPr>
        <b/>
        <sz val="11"/>
        <color rgb="FFFF0000"/>
        <rFont val="Calibri"/>
        <family val="2"/>
        <scheme val="minor"/>
      </rPr>
      <t>rouge = non prioritaire)</t>
    </r>
  </si>
  <si>
    <r>
      <t xml:space="preserve">Amélioration ?
</t>
    </r>
    <r>
      <rPr>
        <b/>
        <sz val="10"/>
        <color theme="0" tint="-0.499984740745262"/>
        <rFont val="Calibri"/>
        <family val="2"/>
        <scheme val="minor"/>
      </rPr>
      <t xml:space="preserve"> Aucun changement /Dégradation du pb / Amelioration du pb/ "Résolution du Pb")</t>
    </r>
  </si>
  <si>
    <t>Lié à la Cause n°</t>
  </si>
  <si>
    <r>
      <rPr>
        <b/>
        <sz val="12"/>
        <rFont val="Calibri"/>
        <family val="2"/>
        <scheme val="minor"/>
      </rPr>
      <t xml:space="preserve">Gain/Effort </t>
    </r>
    <r>
      <rPr>
        <b/>
        <sz val="12"/>
        <color rgb="FF00B050"/>
        <rFont val="Calibri"/>
        <family val="2"/>
        <scheme val="minor"/>
      </rPr>
      <t>(Vert= prioritaire</t>
    </r>
    <r>
      <rPr>
        <b/>
        <sz val="12"/>
        <color theme="1" tint="0.499984740745262"/>
        <rFont val="Calibri"/>
        <family val="2"/>
        <scheme val="minor"/>
      </rPr>
      <t xml:space="preserve"> </t>
    </r>
    <r>
      <rPr>
        <b/>
        <sz val="12"/>
        <color theme="7" tint="-0.249977111117893"/>
        <rFont val="Calibri"/>
        <family val="2"/>
        <scheme val="minor"/>
      </rPr>
      <t>beige = modérée</t>
    </r>
    <r>
      <rPr>
        <b/>
        <sz val="12"/>
        <color theme="1" tint="0.499984740745262"/>
        <rFont val="Calibri"/>
        <family val="2"/>
        <scheme val="minor"/>
      </rPr>
      <t xml:space="preserve"> ou </t>
    </r>
    <r>
      <rPr>
        <b/>
        <sz val="12"/>
        <color rgb="FFFF0000"/>
        <rFont val="Calibri"/>
        <family val="2"/>
        <scheme val="minor"/>
      </rPr>
      <t>rouge = non prioritaire)</t>
    </r>
  </si>
  <si>
    <r>
      <t xml:space="preserve">Amélioration ?
</t>
    </r>
    <r>
      <rPr>
        <b/>
        <sz val="11"/>
        <color theme="0" tint="-0.499984740745262"/>
        <rFont val="Calibri"/>
        <family val="2"/>
        <scheme val="minor"/>
      </rPr>
      <t xml:space="preserve"> Aucun changement /Dégradation du pb / Amelioration du pb/ "Résolution du Pb")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</si>
  <si>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</si>
  <si>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</si>
  <si>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</si>
  <si>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</si>
  <si>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</si>
  <si>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</si>
  <si>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</si>
  <si>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</si>
  <si>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</si>
  <si>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</si>
  <si>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</si>
  <si>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</si>
  <si>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</si>
  <si>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</si>
  <si>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Résolution du pb</t>
  </si>
  <si>
    <t>A</t>
  </si>
  <si>
    <t>561,02</t>
  </si>
  <si>
    <t>Pemtron</t>
  </si>
  <si>
    <t>En prod</t>
  </si>
  <si>
    <t xml:space="preserve">ANS </t>
  </si>
  <si>
    <t>+49604796003</t>
  </si>
  <si>
    <t xml:space="preserve">Règle incrementale </t>
  </si>
  <si>
    <t>tête de lecture</t>
  </si>
  <si>
    <t>drapeau de home</t>
  </si>
  <si>
    <t>variateur</t>
  </si>
  <si>
    <t>câble dans dragchain</t>
  </si>
  <si>
    <t>moteur / aimant</t>
  </si>
  <si>
    <t>Variateur</t>
  </si>
  <si>
    <t>// tête lecture &lt;-&gt; règle</t>
  </si>
  <si>
    <t>// tête lect. &lt;-&gt; règle</t>
  </si>
  <si>
    <t>Nettoyage tête de lecture</t>
  </si>
  <si>
    <t>Modifier la position de la tête de lecture</t>
  </si>
  <si>
    <t>Vérifier les câbles s'ils ne sont pas pincés</t>
  </si>
  <si>
    <t>07/01/25: Règle propre</t>
  </si>
  <si>
    <t>-</t>
  </si>
  <si>
    <t>07/01/25: Pas de vibration lors init</t>
  </si>
  <si>
    <t xml:space="preserve">Préventif non fait </t>
  </si>
  <si>
    <t>Température de l'atelier</t>
  </si>
  <si>
    <t>Manque de formation</t>
  </si>
  <si>
    <t>Gamme pas adapté</t>
  </si>
  <si>
    <t>graisse pas adpaté</t>
  </si>
  <si>
    <t>Température atelier</t>
  </si>
  <si>
    <t>Maint. Mal executé</t>
  </si>
  <si>
    <t>Maintenance mal executé</t>
  </si>
  <si>
    <t>Preventif non fait</t>
  </si>
  <si>
    <t>Graisse pas adapté</t>
  </si>
  <si>
    <t>Vérifier si la température est hors tolérance</t>
  </si>
  <si>
    <t>Voir si les dernières maintenances préventives ont été bien réalisées</t>
  </si>
  <si>
    <t>Verifier si le technicien qui a fait la maintenance preventive est bien formé</t>
  </si>
  <si>
    <t>5 &amp; 6</t>
  </si>
  <si>
    <t>Vérifier si fréquence de déclanchement de la gamme est bien adapté</t>
  </si>
  <si>
    <t>Vibration portique lors
init axe X</t>
  </si>
  <si>
    <t>07/01/2025 / à chaque initialisation</t>
  </si>
  <si>
    <t>Impossible de lancer en prod</t>
  </si>
  <si>
    <t>Vérifier si graisse appliquée est bien la bonne</t>
  </si>
  <si>
    <r>
      <t xml:space="preserve">Programme:
</t>
    </r>
    <r>
      <rPr>
        <sz val="11"/>
        <color theme="4"/>
        <rFont val="Calibri"/>
        <family val="2"/>
        <scheme val="minor"/>
      </rPr>
      <t>ON SEMI NOGENT</t>
    </r>
  </si>
  <si>
    <r>
      <t xml:space="preserve">N° DI:/Inter.:
</t>
    </r>
    <r>
      <rPr>
        <sz val="11"/>
        <color theme="4"/>
        <rFont val="Calibri"/>
        <family val="2"/>
        <scheme val="minor"/>
      </rPr>
      <t>24609</t>
    </r>
  </si>
  <si>
    <r>
      <t xml:space="preserve">Date:  
</t>
    </r>
    <r>
      <rPr>
        <sz val="11"/>
        <color theme="4"/>
        <rFont val="Calibri"/>
        <family val="2"/>
        <scheme val="minor"/>
      </rPr>
      <t>07/01/2025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</si>
</sst>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0" xfId="0" applyNumberFormat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29" xfId="0" applyNumberFormat="1" applyBorder="1"/>
    <xf numFmtId="49" fontId="0" fillId="0" borderId="38" xfId="0" applyNumberFormat="1" applyBorder="1"/>
    <xf numFmtId="49" fontId="0" fillId="0" borderId="36" xfId="0" applyNumberFormat="1" applyBorder="1"/>
    <xf numFmtId="49" fontId="0" fillId="0" borderId="35" xfId="0" applyNumberFormat="1" applyBorder="1"/>
    <xf numFmtId="49" fontId="0" fillId="3" borderId="5" xfId="0" applyNumberFormat="1" applyFill="1" applyBorder="1"/>
    <xf numFmtId="49" fontId="0" fillId="3" borderId="30" xfId="0" applyNumberFormat="1" applyFill="1" applyBorder="1"/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3" borderId="0" xfId="0" applyFill="1"/>
    <xf numFmtId="0" fontId="0" fillId="3" borderId="9" xfId="0" applyFill="1" applyBorder="1"/>
    <xf numFmtId="0" fontId="0" fillId="3" borderId="7" xfId="0" applyFill="1" applyBorder="1"/>
    <xf numFmtId="0" fontId="0" fillId="3" borderId="6" xfId="0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2" xfId="0" applyFill="1" applyBorder="1"/>
    <xf numFmtId="0" fontId="2" fillId="0" borderId="13" xfId="0" applyFont="1" applyBorder="1" applyAlignment="1">
      <alignment horizontal="center" vertical="center"/>
    </xf>
    <xf numFmtId="0" fontId="13" fillId="0" borderId="0" xfId="0" applyFont="1"/>
    <xf numFmtId="0" fontId="5" fillId="0" borderId="1" xfId="0" applyFont="1" applyBorder="1" applyAlignment="1">
      <alignment vertical="center" wrapText="1"/>
    </xf>
    <xf numFmtId="49" fontId="0" fillId="0" borderId="38" xfId="0" applyNumberFormat="1" applyBorder="1" applyAlignment="1">
      <alignment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center" wrapText="1"/>
    </xf>
    <xf numFmtId="49" fontId="0" fillId="0" borderId="43" xfId="0" applyNumberFormat="1" applyBorder="1" applyAlignment="1">
      <alignment horizontal="center" wrapText="1"/>
    </xf>
    <xf numFmtId="49" fontId="24" fillId="3" borderId="6" xfId="0" applyNumberFormat="1" applyFont="1" applyFill="1" applyBorder="1" applyAlignment="1" applyProtection="1">
      <alignment vertical="center"/>
      <protection locked="0"/>
    </xf>
    <xf numFmtId="49" fontId="24" fillId="3" borderId="31" xfId="0" applyNumberFormat="1" applyFont="1" applyFill="1" applyBorder="1" applyAlignment="1" applyProtection="1">
      <alignment vertical="center"/>
      <protection locked="0"/>
    </xf>
    <xf numFmtId="49" fontId="0" fillId="0" borderId="41" xfId="0" applyNumberFormat="1" applyBorder="1" applyAlignment="1" applyProtection="1">
      <alignment vertical="center" wrapText="1"/>
      <protection locked="0"/>
    </xf>
    <xf numFmtId="49" fontId="0" fillId="0" borderId="47" xfId="0" applyNumberFormat="1" applyBorder="1" applyAlignment="1" applyProtection="1">
      <alignment vertical="center" wrapText="1"/>
      <protection locked="0"/>
    </xf>
    <xf numFmtId="49" fontId="0" fillId="0" borderId="44" xfId="0" applyNumberFormat="1" applyBorder="1" applyAlignment="1" applyProtection="1">
      <alignment vertical="center" wrapText="1"/>
      <protection locked="0"/>
    </xf>
    <xf numFmtId="49" fontId="0" fillId="0" borderId="11" xfId="0" applyNumberFormat="1" applyBorder="1" applyAlignment="1" applyProtection="1">
      <alignment vertical="center" wrapText="1"/>
      <protection locked="0"/>
    </xf>
    <xf numFmtId="49" fontId="0" fillId="7" borderId="53" xfId="0" applyNumberFormat="1" applyFill="1" applyBorder="1" applyAlignment="1" applyProtection="1">
      <alignment horizontal="center"/>
      <protection locked="0"/>
    </xf>
    <xf numFmtId="49" fontId="0" fillId="7" borderId="18" xfId="0" applyNumberFormat="1" applyFill="1" applyBorder="1" applyAlignment="1" applyProtection="1">
      <alignment horizontal="center"/>
      <protection locked="0"/>
    </xf>
    <xf numFmtId="49" fontId="24" fillId="0" borderId="38" xfId="0" applyNumberFormat="1" applyFont="1" applyBorder="1" applyAlignment="1" applyProtection="1">
      <alignment horizontal="center" vertical="center"/>
      <protection locked="0"/>
    </xf>
    <xf numFmtId="49" fontId="24" fillId="0" borderId="32" xfId="0" applyNumberFormat="1" applyFont="1" applyBorder="1" applyAlignment="1" applyProtection="1">
      <alignment horizontal="center" vertical="center"/>
      <protection locked="0"/>
    </xf>
    <xf numFmtId="49" fontId="0" fillId="6" borderId="15" xfId="0" applyNumberFormat="1" applyFill="1" applyBorder="1" applyAlignment="1" applyProtection="1">
      <alignment horizontal="center"/>
      <protection locked="0"/>
    </xf>
    <xf numFmtId="49" fontId="0" fillId="6" borderId="16" xfId="0" applyNumberFormat="1" applyFill="1" applyBorder="1" applyAlignment="1" applyProtection="1">
      <alignment horizontal="center"/>
      <protection locked="0"/>
    </xf>
    <xf numFmtId="49" fontId="0" fillId="7" borderId="10" xfId="0" applyNumberFormat="1" applyFill="1" applyBorder="1" applyAlignment="1">
      <alignment horizontal="center"/>
    </xf>
    <xf numFmtId="49" fontId="0" fillId="7" borderId="14" xfId="0" applyNumberFormat="1" applyFill="1" applyBorder="1" applyAlignment="1">
      <alignment horizontal="center"/>
    </xf>
    <xf numFmtId="49" fontId="0" fillId="7" borderId="11" xfId="0" applyNumberFormat="1" applyFill="1" applyBorder="1" applyAlignment="1">
      <alignment horizontal="center"/>
    </xf>
    <xf numFmtId="49" fontId="0" fillId="6" borderId="10" xfId="0" applyNumberFormat="1" applyFill="1" applyBorder="1" applyAlignment="1">
      <alignment horizontal="center"/>
    </xf>
    <xf numFmtId="49" fontId="0" fillId="6" borderId="14" xfId="0" applyNumberFormat="1" applyFill="1" applyBorder="1" applyAlignment="1">
      <alignment horizontal="center"/>
    </xf>
    <xf numFmtId="49" fontId="0" fillId="6" borderId="11" xfId="0" applyNumberForma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49" fontId="0" fillId="0" borderId="42" xfId="0" applyNumberFormat="1" applyBorder="1" applyAlignment="1" applyProtection="1">
      <alignment horizontal="center" vertical="center" wrapText="1"/>
      <protection locked="0"/>
    </xf>
    <xf numFmtId="49" fontId="0" fillId="0" borderId="43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46" xfId="0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46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3" borderId="46" xfId="0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 wrapText="1"/>
      <protection locked="0"/>
    </xf>
    <xf numFmtId="0" fontId="0" fillId="3" borderId="3" xfId="0" applyFill="1" applyBorder="1" applyAlignment="1" applyProtection="1">
      <alignment horizontal="center" vertical="center" wrapText="1"/>
      <protection locked="0"/>
    </xf>
    <xf numFmtId="0" fontId="0" fillId="3" borderId="28" xfId="0" applyFill="1" applyBorder="1" applyAlignment="1" applyProtection="1">
      <alignment horizontal="center" vertical="center" wrapText="1"/>
      <protection locked="0"/>
    </xf>
    <xf numFmtId="0" fontId="0" fillId="3" borderId="30" xfId="0" applyFill="1" applyBorder="1" applyAlignment="1" applyProtection="1">
      <alignment horizontal="center" vertical="center" wrapText="1"/>
      <protection locked="0"/>
    </xf>
    <xf numFmtId="0" fontId="0" fillId="3" borderId="38" xfId="0" applyFill="1" applyBorder="1" applyAlignment="1" applyProtection="1">
      <alignment horizontal="center" vertical="center" wrapText="1"/>
      <protection locked="0"/>
    </xf>
    <xf numFmtId="0" fontId="0" fillId="3" borderId="32" xfId="0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41" xfId="0" applyFont="1" applyBorder="1" applyAlignment="1" applyProtection="1">
      <alignment horizontal="center" vertical="center" wrapText="1"/>
      <protection locked="0"/>
    </xf>
    <xf numFmtId="49" fontId="0" fillId="0" borderId="44" xfId="0" applyNumberFormat="1" applyBorder="1" applyAlignment="1" applyProtection="1">
      <alignment horizontal="center" vertical="center" wrapText="1"/>
      <protection locked="0"/>
    </xf>
    <xf numFmtId="49" fontId="0" fillId="0" borderId="27" xfId="0" applyNumberFormat="1" applyBorder="1" applyAlignment="1" applyProtection="1">
      <alignment horizontal="center" vertical="center" wrapText="1"/>
      <protection locked="0"/>
    </xf>
    <xf numFmtId="49" fontId="0" fillId="0" borderId="54" xfId="0" applyNumberFormat="1" applyBorder="1" applyAlignment="1" applyProtection="1">
      <alignment horizontal="center" vertical="center" wrapText="1"/>
      <protection locked="0"/>
    </xf>
    <xf numFmtId="49" fontId="0" fillId="0" borderId="45" xfId="0" applyNumberForma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0" fillId="3" borderId="46" xfId="0" applyFill="1" applyBorder="1" applyAlignment="1">
      <alignment horizontal="center" vertical="center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5" fillId="0" borderId="46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 applyProtection="1">
      <alignment horizontal="center" vertical="center" wrapText="1"/>
      <protection locked="0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 wrapText="1"/>
      <protection locked="0"/>
    </xf>
    <xf numFmtId="0" fontId="0" fillId="3" borderId="8" xfId="0" applyFill="1" applyBorder="1" applyAlignment="1" applyProtection="1">
      <alignment horizontal="center" vertical="center" wrapText="1"/>
      <protection locked="0"/>
    </xf>
    <xf numFmtId="0" fontId="0" fillId="3" borderId="25" xfId="0" applyFill="1" applyBorder="1" applyAlignment="1" applyProtection="1">
      <alignment horizontal="center" vertical="center" wrapText="1"/>
      <protection locked="0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 vertical="top"/>
    </xf>
    <xf numFmtId="49" fontId="0" fillId="0" borderId="4" xfId="0" applyNumberFormat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 wrapText="1"/>
    </xf>
    <xf numFmtId="49" fontId="0" fillId="0" borderId="28" xfId="0" applyNumberFormat="1" applyBorder="1" applyAlignment="1">
      <alignment horizontal="center" vertical="top" wrapText="1"/>
    </xf>
    <xf numFmtId="49" fontId="0" fillId="0" borderId="35" xfId="0" applyNumberFormat="1" applyBorder="1" applyAlignment="1">
      <alignment horizontal="center" vertical="top" wrapText="1"/>
    </xf>
    <xf numFmtId="49" fontId="24" fillId="0" borderId="5" xfId="0" applyNumberFormat="1" applyFont="1" applyBorder="1" applyAlignment="1" applyProtection="1">
      <alignment horizontal="center" vertical="center"/>
      <protection locked="0"/>
    </xf>
    <xf numFmtId="49" fontId="24" fillId="0" borderId="6" xfId="0" applyNumberFormat="1" applyFont="1" applyBorder="1" applyAlignment="1" applyProtection="1">
      <alignment horizontal="center" vertical="center"/>
      <protection locked="0"/>
    </xf>
    <xf numFmtId="49" fontId="24" fillId="0" borderId="30" xfId="0" applyNumberFormat="1" applyFont="1" applyBorder="1" applyAlignment="1" applyProtection="1">
      <alignment horizontal="center" vertical="center"/>
      <protection locked="0"/>
    </xf>
    <xf numFmtId="49" fontId="24" fillId="0" borderId="31" xfId="0" applyNumberFormat="1" applyFont="1" applyBorder="1" applyAlignment="1" applyProtection="1">
      <alignment horizontal="center" vertical="center"/>
      <protection locked="0"/>
    </xf>
    <xf numFmtId="49" fontId="24" fillId="0" borderId="5" xfId="0" applyNumberFormat="1" applyFont="1" applyBorder="1" applyAlignment="1" applyProtection="1">
      <alignment horizontal="center" vertical="center" wrapText="1"/>
      <protection locked="0"/>
    </xf>
    <xf numFmtId="49" fontId="24" fillId="0" borderId="29" xfId="0" applyNumberFormat="1" applyFont="1" applyBorder="1" applyAlignment="1" applyProtection="1">
      <alignment horizontal="center" vertical="center" wrapText="1"/>
      <protection locked="0"/>
    </xf>
    <xf numFmtId="49" fontId="24" fillId="0" borderId="30" xfId="0" applyNumberFormat="1" applyFont="1" applyBorder="1" applyAlignment="1" applyProtection="1">
      <alignment horizontal="center" vertical="center" wrapText="1"/>
      <protection locked="0"/>
    </xf>
    <xf numFmtId="49" fontId="24" fillId="0" borderId="32" xfId="0" applyNumberFormat="1" applyFont="1" applyBorder="1" applyAlignment="1" applyProtection="1">
      <alignment horizontal="center" vertical="center" wrapText="1"/>
      <protection locked="0"/>
    </xf>
    <xf numFmtId="49" fontId="0" fillId="0" borderId="10" xfId="0" applyNumberFormat="1" applyBorder="1" applyAlignment="1" applyProtection="1">
      <alignment horizontal="left" vertical="center" wrapText="1"/>
      <protection locked="0"/>
    </xf>
    <xf numFmtId="49" fontId="0" fillId="0" borderId="27" xfId="0" applyNumberFormat="1" applyBorder="1" applyAlignment="1" applyProtection="1">
      <alignment horizontal="left" vertical="center"/>
      <protection locked="0"/>
    </xf>
    <xf numFmtId="49" fontId="24" fillId="0" borderId="3" xfId="0" applyNumberFormat="1" applyFont="1" applyBorder="1" applyAlignment="1" applyProtection="1">
      <alignment horizontal="center" vertical="center"/>
      <protection locked="0"/>
    </xf>
    <xf numFmtId="49" fontId="24" fillId="0" borderId="28" xfId="0" applyNumberFormat="1" applyFont="1" applyBorder="1" applyAlignment="1" applyProtection="1">
      <alignment horizontal="center" vertical="center"/>
      <protection locked="0"/>
    </xf>
    <xf numFmtId="49" fontId="24" fillId="0" borderId="0" xfId="0" applyNumberFormat="1" applyFont="1" applyAlignment="1" applyProtection="1">
      <alignment horizontal="center" vertical="center"/>
      <protection locked="0"/>
    </xf>
    <xf numFmtId="49" fontId="24" fillId="0" borderId="29" xfId="0" applyNumberFormat="1" applyFont="1" applyBorder="1" applyAlignment="1" applyProtection="1">
      <alignment horizontal="center" vertical="center"/>
      <protection locked="0"/>
    </xf>
    <xf numFmtId="49" fontId="29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29" fillId="4" borderId="4" xfId="0" applyFont="1" applyFill="1" applyBorder="1" applyAlignment="1" applyProtection="1">
      <alignment horizontal="center" vertical="center" wrapText="1"/>
      <protection locked="0"/>
    </xf>
    <xf numFmtId="0" fontId="29" fillId="4" borderId="5" xfId="0" applyFont="1" applyFill="1" applyBorder="1" applyAlignment="1" applyProtection="1">
      <alignment horizontal="center" vertical="center" wrapText="1"/>
      <protection locked="0"/>
    </xf>
    <xf numFmtId="0" fontId="29" fillId="4" borderId="6" xfId="0" applyFont="1" applyFill="1" applyBorder="1" applyAlignment="1" applyProtection="1">
      <alignment horizontal="center" vertical="center" wrapText="1"/>
      <protection locked="0"/>
    </xf>
    <xf numFmtId="0" fontId="29" fillId="4" borderId="7" xfId="0" applyFont="1" applyFill="1" applyBorder="1" applyAlignment="1" applyProtection="1">
      <alignment horizontal="center" vertical="center" wrapText="1"/>
      <protection locked="0"/>
    </xf>
    <xf numFmtId="0" fontId="29" fillId="4" borderId="9" xfId="0" applyFont="1" applyFill="1" applyBorder="1" applyAlignment="1" applyProtection="1">
      <alignment horizontal="center" vertical="center" wrapText="1"/>
      <protection locked="0"/>
    </xf>
    <xf numFmtId="49" fontId="24" fillId="0" borderId="36" xfId="0" applyNumberFormat="1" applyFont="1" applyBorder="1" applyAlignment="1" applyProtection="1">
      <alignment horizontal="center" vertical="center" wrapText="1"/>
      <protection locked="0"/>
    </xf>
    <xf numFmtId="49" fontId="24" fillId="0" borderId="36" xfId="0" applyNumberFormat="1" applyFont="1" applyBorder="1" applyAlignment="1" applyProtection="1">
      <alignment horizontal="center" vertical="center"/>
      <protection locked="0"/>
    </xf>
    <xf numFmtId="49" fontId="24" fillId="0" borderId="37" xfId="0" applyNumberFormat="1" applyFont="1" applyBorder="1" applyAlignment="1" applyProtection="1">
      <alignment horizontal="center" vertical="center"/>
      <protection locked="0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49" fontId="0" fillId="9" borderId="18" xfId="0" applyNumberFormat="1" applyFill="1" applyBorder="1" applyAlignment="1" applyProtection="1">
      <alignment horizontal="center"/>
      <protection locked="0"/>
    </xf>
    <xf numFmtId="49" fontId="0" fillId="9" borderId="19" xfId="0" applyNumberFormat="1" applyFill="1" applyBorder="1" applyAlignment="1" applyProtection="1">
      <alignment horizontal="center"/>
      <protection locked="0"/>
    </xf>
    <xf numFmtId="49" fontId="0" fillId="9" borderId="0" xfId="0" applyNumberFormat="1" applyFill="1" applyAlignment="1" applyProtection="1">
      <alignment horizontal="center"/>
      <protection locked="0"/>
    </xf>
    <xf numFmtId="49" fontId="0" fillId="9" borderId="6" xfId="0" applyNumberFormat="1" applyFill="1" applyBorder="1" applyAlignment="1" applyProtection="1">
      <alignment horizontal="center"/>
      <protection locked="0"/>
    </xf>
    <xf numFmtId="49" fontId="0" fillId="10" borderId="18" xfId="0" applyNumberFormat="1" applyFill="1" applyBorder="1" applyAlignment="1" applyProtection="1">
      <alignment horizontal="center"/>
      <protection locked="0"/>
    </xf>
    <xf numFmtId="49" fontId="0" fillId="10" borderId="19" xfId="0" applyNumberFormat="1" applyFill="1" applyBorder="1" applyAlignment="1" applyProtection="1">
      <alignment horizontal="center"/>
      <protection locked="0"/>
    </xf>
    <xf numFmtId="49" fontId="0" fillId="10" borderId="0" xfId="0" applyNumberFormat="1" applyFill="1" applyAlignment="1" applyProtection="1">
      <alignment horizontal="center"/>
      <protection locked="0"/>
    </xf>
    <xf numFmtId="49" fontId="0" fillId="10" borderId="6" xfId="0" applyNumberFormat="1" applyFill="1" applyBorder="1" applyAlignment="1" applyProtection="1">
      <alignment horizontal="center"/>
      <protection locked="0"/>
    </xf>
    <xf numFmtId="49" fontId="0" fillId="10" borderId="10" xfId="0" applyNumberFormat="1" applyFill="1" applyBorder="1" applyAlignment="1">
      <alignment horizontal="center"/>
    </xf>
    <xf numFmtId="49" fontId="0" fillId="10" borderId="14" xfId="0" applyNumberFormat="1" applyFill="1" applyBorder="1" applyAlignment="1">
      <alignment horizontal="center"/>
    </xf>
    <xf numFmtId="49" fontId="0" fillId="10" borderId="11" xfId="0" applyNumberFormat="1" applyFill="1" applyBorder="1" applyAlignment="1">
      <alignment horizontal="center"/>
    </xf>
    <xf numFmtId="49" fontId="0" fillId="9" borderId="10" xfId="0" applyNumberFormat="1" applyFill="1" applyBorder="1" applyAlignment="1">
      <alignment horizontal="center"/>
    </xf>
    <xf numFmtId="49" fontId="0" fillId="9" borderId="14" xfId="0" applyNumberFormat="1" applyFill="1" applyBorder="1" applyAlignment="1">
      <alignment horizontal="center"/>
    </xf>
    <xf numFmtId="49" fontId="0" fillId="9" borderId="11" xfId="0" applyNumberFormat="1" applyFill="1" applyBorder="1" applyAlignment="1">
      <alignment horizontal="center"/>
    </xf>
    <xf numFmtId="49" fontId="0" fillId="8" borderId="44" xfId="0" applyNumberFormat="1" applyFill="1" applyBorder="1" applyAlignment="1">
      <alignment horizontal="center"/>
    </xf>
    <xf numFmtId="49" fontId="0" fillId="8" borderId="11" xfId="0" applyNumberFormat="1" applyFill="1" applyBorder="1" applyAlignment="1">
      <alignment horizontal="center"/>
    </xf>
    <xf numFmtId="49" fontId="0" fillId="8" borderId="40" xfId="0" applyNumberFormat="1" applyFill="1" applyBorder="1" applyAlignment="1" applyProtection="1">
      <alignment horizontal="center"/>
      <protection locked="0"/>
    </xf>
    <xf numFmtId="49" fontId="0" fillId="8" borderId="19" xfId="0" applyNumberFormat="1" applyFill="1" applyBorder="1" applyAlignment="1" applyProtection="1">
      <alignment horizontal="center"/>
      <protection locked="0"/>
    </xf>
    <xf numFmtId="49" fontId="0" fillId="8" borderId="39" xfId="0" applyNumberFormat="1" applyFill="1" applyBorder="1" applyAlignment="1" applyProtection="1">
      <alignment horizontal="center" wrapText="1"/>
      <protection locked="0"/>
    </xf>
    <xf numFmtId="49" fontId="0" fillId="8" borderId="17" xfId="0" applyNumberFormat="1" applyFill="1" applyBorder="1" applyAlignment="1" applyProtection="1">
      <alignment horizontal="center"/>
      <protection locked="0"/>
    </xf>
    <xf numFmtId="49" fontId="0" fillId="8" borderId="36" xfId="0" applyNumberFormat="1" applyFill="1" applyBorder="1" applyAlignment="1" applyProtection="1">
      <alignment horizontal="center"/>
      <protection locked="0"/>
    </xf>
    <xf numFmtId="49" fontId="0" fillId="8" borderId="6" xfId="0" applyNumberFormat="1" applyFill="1" applyBorder="1" applyAlignment="1" applyProtection="1">
      <alignment horizontal="center"/>
      <protection locked="0"/>
    </xf>
    <xf numFmtId="49" fontId="0" fillId="7" borderId="48" xfId="0" applyNumberFormat="1" applyFill="1" applyBorder="1" applyAlignment="1" applyProtection="1">
      <alignment horizontal="center"/>
      <protection locked="0"/>
    </xf>
    <xf numFmtId="49" fontId="0" fillId="7" borderId="49" xfId="0" applyNumberFormat="1" applyFill="1" applyBorder="1" applyAlignment="1" applyProtection="1">
      <alignment horizontal="center"/>
      <protection locked="0"/>
    </xf>
    <xf numFmtId="49" fontId="0" fillId="7" borderId="50" xfId="0" applyNumberFormat="1" applyFill="1" applyBorder="1" applyAlignment="1" applyProtection="1">
      <alignment horizontal="center"/>
      <protection locked="0"/>
    </xf>
    <xf numFmtId="49" fontId="0" fillId="7" borderId="20" xfId="0" applyNumberFormat="1" applyFill="1" applyBorder="1" applyAlignment="1" applyProtection="1">
      <alignment horizontal="center"/>
      <protection locked="0"/>
    </xf>
    <xf numFmtId="49" fontId="0" fillId="7" borderId="51" xfId="0" applyNumberFormat="1" applyFill="1" applyBorder="1" applyAlignment="1" applyProtection="1">
      <alignment horizontal="center"/>
      <protection locked="0"/>
    </xf>
    <xf numFmtId="49" fontId="0" fillId="10" borderId="16" xfId="0" applyNumberFormat="1" applyFill="1" applyBorder="1" applyAlignment="1" applyProtection="1">
      <alignment horizontal="center"/>
      <protection locked="0"/>
    </xf>
    <xf numFmtId="49" fontId="0" fillId="10" borderId="17" xfId="0" applyNumberFormat="1" applyFill="1" applyBorder="1" applyAlignment="1" applyProtection="1">
      <alignment horizontal="center"/>
      <protection locked="0"/>
    </xf>
    <xf numFmtId="49" fontId="0" fillId="9" borderId="16" xfId="0" applyNumberFormat="1" applyFill="1" applyBorder="1" applyAlignment="1" applyProtection="1">
      <alignment horizontal="center"/>
      <protection locked="0"/>
    </xf>
    <xf numFmtId="49" fontId="0" fillId="9" borderId="17" xfId="0" applyNumberFormat="1" applyFill="1" applyBorder="1" applyAlignment="1" applyProtection="1">
      <alignment horizontal="center"/>
      <protection locked="0"/>
    </xf>
    <xf numFmtId="49" fontId="0" fillId="7" borderId="52" xfId="0" applyNumberForma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56"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f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114299</xdr:colOff>
      <xdr:row>1</xdr:row>
      <xdr:rowOff>132845</xdr:rowOff>
    </xdr:from>
    <xdr:to>
      <xdr:col>8</xdr:col>
      <xdr:colOff>2200576</xdr:colOff>
      <xdr:row>11</xdr:row>
      <xdr:rowOff>304801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6667499" y="818645"/>
          <a:ext cx="2848277" cy="3772406"/>
          <a:chOff x="11458446" y="4763792"/>
          <a:chExt cx="2438509" cy="2776591"/>
        </a:xfrm>
        <a:noFill/>
      </xdr:grpSpPr>
      <xdr:pic>
        <xdr:nvPicPr>
          <xdr:cNvPr id="3" name="Imag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1" r="7249"/>
          <a:stretch/>
        </xdr:blipFill>
        <xdr:spPr>
          <a:xfrm>
            <a:off x="11458446" y="4763792"/>
            <a:ext cx="2438509" cy="2717596"/>
          </a:xfrm>
          <a:prstGeom prst="rect">
            <a:avLst/>
          </a:prstGeom>
          <a:grpFill/>
        </xdr:spPr>
      </xdr:pic>
      <xdr:grpSp>
        <xdr:nvGrpSpPr>
          <xdr:cNvPr id="4" name="Groupe 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11475018" y="5570384"/>
            <a:ext cx="1880056" cy="1969999"/>
            <a:chOff x="11475018" y="5570384"/>
            <a:chExt cx="1880056" cy="1969999"/>
          </a:xfrm>
          <a:grpFill/>
        </xdr:grpSpPr>
        <xdr:sp macro="" textlink="">
          <xdr:nvSpPr>
            <xdr:cNvPr id="5" name="Rectangle 26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13212198" y="7292570"/>
              <a:ext cx="142876" cy="240550"/>
            </a:xfrm>
            <a:prstGeom prst="rect">
              <a:avLst/>
            </a:prstGeom>
            <a:grp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6" name="Rectangle 26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11506882" y="7262364"/>
              <a:ext cx="142876" cy="240550"/>
            </a:xfrm>
            <a:prstGeom prst="rect">
              <a:avLst/>
            </a:prstGeom>
            <a:grp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0</a:t>
              </a:r>
            </a:p>
          </xdr:txBody>
        </xdr:sp>
        <xdr:sp macro="" textlink="">
          <xdr:nvSpPr>
            <xdr:cNvPr id="7" name="Rectangle 26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11475018" y="6628349"/>
              <a:ext cx="142876" cy="240550"/>
            </a:xfrm>
            <a:prstGeom prst="rect">
              <a:avLst/>
            </a:prstGeom>
            <a:grp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8" name="Rectangle 26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12120175" y="7299833"/>
              <a:ext cx="142876" cy="240550"/>
            </a:xfrm>
            <a:prstGeom prst="rect">
              <a:avLst/>
            </a:prstGeom>
            <a:grp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9" name="Rectangle 26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11475019" y="5570384"/>
              <a:ext cx="142876" cy="240550"/>
            </a:xfrm>
            <a:prstGeom prst="rect">
              <a:avLst/>
            </a:prstGeom>
            <a:grp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  <xdr:cxnSp macro="">
          <xdr:nvCxnSpPr>
            <xdr:cNvPr id="10" name="Connecteur droit 9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CxnSpPr/>
          </xdr:nvCxnSpPr>
          <xdr:spPr>
            <a:xfrm flipV="1">
              <a:off x="11592936" y="5648825"/>
              <a:ext cx="84044" cy="560"/>
            </a:xfrm>
            <a:prstGeom prst="line">
              <a:avLst/>
            </a:prstGeom>
            <a:grpFill/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Connecteur droit 10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CxnSpPr/>
          </xdr:nvCxnSpPr>
          <xdr:spPr>
            <a:xfrm flipV="1">
              <a:off x="11592936" y="6710582"/>
              <a:ext cx="84044" cy="560"/>
            </a:xfrm>
            <a:prstGeom prst="line">
              <a:avLst/>
            </a:prstGeom>
            <a:grpFill/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Connecteur droit 11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CxnSpPr/>
          </xdr:nvCxnSpPr>
          <xdr:spPr>
            <a:xfrm flipH="1" flipV="1">
              <a:off x="12193773" y="7235831"/>
              <a:ext cx="445" cy="60736"/>
            </a:xfrm>
            <a:prstGeom prst="line">
              <a:avLst/>
            </a:prstGeom>
            <a:grpFill/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Connecteur droit 12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CxnSpPr/>
          </xdr:nvCxnSpPr>
          <xdr:spPr>
            <a:xfrm flipH="1" flipV="1">
              <a:off x="13277128" y="7235831"/>
              <a:ext cx="445" cy="60736"/>
            </a:xfrm>
            <a:prstGeom prst="line">
              <a:avLst/>
            </a:prstGeom>
            <a:grpFill/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1"/>
  <sheetViews>
    <sheetView tabSelected="1" view="pageLayout" topLeftCell="A7" zoomScale="70" zoomScaleNormal="70" zoomScalePageLayoutView="70" workbookViewId="0">
      <selection activeCell="B41" sqref="B41"/>
    </sheetView>
  </sheetViews>
  <sheetFormatPr baseColWidth="10" defaultColWidth="11.3984375" defaultRowHeight="14.25" x14ac:dyDescent="0.45"/>
  <cols>
    <col min="1" max="1" width="8.3984375" style="4" customWidth="1"/>
    <col min="2" max="2" width="22.86328125" style="4" customWidth="1"/>
    <col min="3" max="3" width="11.3984375" style="4"/>
    <col min="4" max="4" width="12.86328125" style="4" customWidth="1"/>
    <col min="5" max="5" width="9.265625" style="4" customWidth="1"/>
    <col min="6" max="6" width="10.86328125" style="4" customWidth="1"/>
    <col min="7" max="7" width="11.3984375" style="4"/>
    <col min="8" max="8" width="5.59765625" style="4" customWidth="1"/>
    <col min="9" max="9" width="13.1328125" style="4" customWidth="1"/>
    <col min="10" max="10" width="12.73046875" style="4" customWidth="1"/>
    <col min="11" max="11" width="18.59765625" style="4" customWidth="1"/>
    <col min="12" max="12" width="7.1328125" style="4" customWidth="1"/>
    <col min="13" max="13" width="12.59765625" style="4" customWidth="1"/>
    <col min="14" max="14" width="19.73046875" style="4" customWidth="1"/>
    <col min="15" max="15" width="25.59765625" style="4" customWidth="1"/>
    <col min="16" max="16" width="2.265625" style="4" customWidth="1"/>
    <col min="17" max="16384" width="11.3984375" style="4"/>
  </cols>
  <sheetData>
    <row r="1" spans="1:16" ht="21" x14ac:dyDescent="0.65">
      <c r="A1" s="127" t="s">
        <v>20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9"/>
      <c r="M1" s="130" t="s">
        <v>25</v>
      </c>
      <c r="N1" s="130"/>
      <c r="O1" s="130"/>
      <c r="P1" s="131"/>
    </row>
    <row r="2" spans="1:16" ht="32.25" customHeight="1" x14ac:dyDescent="0.45">
      <c r="A2" s="136" t="s">
        <v>29</v>
      </c>
      <c r="B2" s="133"/>
      <c r="C2" s="134" t="s">
        <v>28</v>
      </c>
      <c r="D2" s="133"/>
      <c r="E2" s="132" t="s">
        <v>23</v>
      </c>
      <c r="F2" s="133"/>
      <c r="G2" s="134" t="s">
        <v>27</v>
      </c>
      <c r="H2" s="133"/>
      <c r="I2" s="134" t="s">
        <v>26</v>
      </c>
      <c r="J2" s="133"/>
      <c r="K2" s="134" t="s">
        <v>24</v>
      </c>
      <c r="L2" s="135"/>
      <c r="M2" s="44" t="s">
        <v>131</v>
      </c>
      <c r="N2" s="45" t="s">
        <v>130</v>
      </c>
      <c r="O2" s="145" t="s">
        <v>132</v>
      </c>
      <c r="P2" s="146"/>
    </row>
    <row r="3" spans="1:16" x14ac:dyDescent="0.45">
      <c r="A3" s="157" t="s">
        <v>126</v>
      </c>
      <c r="B3" s="138"/>
      <c r="C3" s="141" t="s">
        <v>127</v>
      </c>
      <c r="D3" s="138"/>
      <c r="E3" s="12" t="s">
        <v>3</v>
      </c>
      <c r="F3" s="40" t="s">
        <v>90</v>
      </c>
      <c r="G3" s="137" t="s">
        <v>44</v>
      </c>
      <c r="H3" s="138"/>
      <c r="I3" s="137" t="s">
        <v>93</v>
      </c>
      <c r="J3" s="138"/>
      <c r="K3" s="141" t="s">
        <v>128</v>
      </c>
      <c r="L3" s="142"/>
      <c r="M3" s="4" t="s">
        <v>0</v>
      </c>
      <c r="O3" s="147" t="s">
        <v>94</v>
      </c>
      <c r="P3" s="148"/>
    </row>
    <row r="4" spans="1:16" x14ac:dyDescent="0.45">
      <c r="A4" s="158"/>
      <c r="B4" s="138"/>
      <c r="C4" s="137"/>
      <c r="D4" s="138"/>
      <c r="E4" s="12" t="s">
        <v>4</v>
      </c>
      <c r="F4" s="40" t="s">
        <v>92</v>
      </c>
      <c r="G4" s="137"/>
      <c r="H4" s="138"/>
      <c r="I4" s="137"/>
      <c r="J4" s="138"/>
      <c r="K4" s="141"/>
      <c r="L4" s="142"/>
      <c r="M4" s="4" t="s">
        <v>1</v>
      </c>
      <c r="O4" s="149"/>
      <c r="P4" s="150"/>
    </row>
    <row r="5" spans="1:16" ht="14.65" thickBot="1" x14ac:dyDescent="0.5">
      <c r="A5" s="159"/>
      <c r="B5" s="140"/>
      <c r="C5" s="139"/>
      <c r="D5" s="140"/>
      <c r="E5" s="13" t="s">
        <v>5</v>
      </c>
      <c r="F5" s="41" t="s">
        <v>91</v>
      </c>
      <c r="G5" s="139"/>
      <c r="H5" s="140"/>
      <c r="I5" s="139"/>
      <c r="J5" s="140"/>
      <c r="K5" s="143"/>
      <c r="L5" s="144"/>
      <c r="M5" s="9" t="s">
        <v>2</v>
      </c>
      <c r="N5" s="29"/>
      <c r="O5" s="48" t="s">
        <v>95</v>
      </c>
      <c r="P5" s="49"/>
    </row>
    <row r="6" spans="1:16" ht="20.25" customHeight="1" x14ac:dyDescent="0.65">
      <c r="A6" s="58" t="s">
        <v>19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</row>
    <row r="7" spans="1:16" x14ac:dyDescent="0.45">
      <c r="A7" s="10"/>
      <c r="P7" s="8"/>
    </row>
    <row r="8" spans="1:16" x14ac:dyDescent="0.45">
      <c r="A8" s="10"/>
      <c r="B8" s="52" t="s">
        <v>16</v>
      </c>
      <c r="C8" s="53"/>
      <c r="D8" s="53"/>
      <c r="E8" s="53"/>
      <c r="F8" s="53"/>
      <c r="G8" s="53"/>
      <c r="H8" s="54"/>
      <c r="K8" s="55" t="s">
        <v>17</v>
      </c>
      <c r="L8" s="56"/>
      <c r="M8" s="57"/>
      <c r="P8" s="8"/>
    </row>
    <row r="9" spans="1:16" x14ac:dyDescent="0.45">
      <c r="A9" s="10"/>
      <c r="B9" s="187" t="s">
        <v>96</v>
      </c>
      <c r="C9" s="188"/>
      <c r="D9" s="189"/>
      <c r="E9" s="196"/>
      <c r="F9" s="188"/>
      <c r="G9" s="188"/>
      <c r="H9" s="188"/>
      <c r="K9" s="50" t="s">
        <v>115</v>
      </c>
      <c r="L9" s="51"/>
      <c r="M9" s="51"/>
      <c r="P9" s="8"/>
    </row>
    <row r="10" spans="1:16" x14ac:dyDescent="0.45">
      <c r="A10" s="10"/>
      <c r="B10" s="190" t="s">
        <v>97</v>
      </c>
      <c r="C10" s="47"/>
      <c r="D10" s="191"/>
      <c r="E10" s="46"/>
      <c r="F10" s="47"/>
      <c r="G10" s="47"/>
      <c r="H10" s="47"/>
      <c r="K10" s="50"/>
      <c r="L10" s="51"/>
      <c r="M10" s="51"/>
      <c r="P10" s="8"/>
    </row>
    <row r="11" spans="1:16" x14ac:dyDescent="0.45">
      <c r="A11" s="10"/>
      <c r="B11" s="190" t="s">
        <v>98</v>
      </c>
      <c r="C11" s="47"/>
      <c r="D11" s="191"/>
      <c r="E11" s="46"/>
      <c r="F11" s="47"/>
      <c r="G11" s="47"/>
      <c r="H11" s="47"/>
      <c r="K11" s="50"/>
      <c r="L11" s="51"/>
      <c r="M11" s="51"/>
      <c r="P11" s="8"/>
    </row>
    <row r="12" spans="1:16" x14ac:dyDescent="0.45">
      <c r="A12" s="10"/>
      <c r="B12" s="190" t="s">
        <v>99</v>
      </c>
      <c r="C12" s="47"/>
      <c r="D12" s="191"/>
      <c r="E12" s="46"/>
      <c r="F12" s="47"/>
      <c r="G12" s="47"/>
      <c r="H12" s="47"/>
      <c r="K12" s="50"/>
      <c r="L12" s="51"/>
      <c r="M12" s="51"/>
      <c r="P12" s="8"/>
    </row>
    <row r="13" spans="1:16" x14ac:dyDescent="0.45">
      <c r="A13" s="10"/>
      <c r="B13" s="190" t="s">
        <v>103</v>
      </c>
      <c r="C13" s="47"/>
      <c r="D13" s="191"/>
      <c r="E13" s="46"/>
      <c r="F13" s="47"/>
      <c r="G13" s="47"/>
      <c r="H13" s="47"/>
      <c r="K13" s="50"/>
      <c r="L13" s="51"/>
      <c r="M13" s="51"/>
      <c r="P13" s="8"/>
    </row>
    <row r="14" spans="1:16" x14ac:dyDescent="0.45">
      <c r="A14" s="10"/>
      <c r="B14" s="190" t="s">
        <v>101</v>
      </c>
      <c r="C14" s="47"/>
      <c r="D14" s="191"/>
      <c r="E14" s="46"/>
      <c r="F14" s="47"/>
      <c r="G14" s="47"/>
      <c r="H14" s="47"/>
      <c r="K14" s="50"/>
      <c r="L14" s="51"/>
      <c r="M14" s="51"/>
      <c r="P14" s="8"/>
    </row>
    <row r="15" spans="1:16" x14ac:dyDescent="0.45">
      <c r="A15" s="10"/>
      <c r="B15" s="190" t="s">
        <v>100</v>
      </c>
      <c r="C15" s="47"/>
      <c r="D15" s="191"/>
      <c r="E15" s="46"/>
      <c r="F15" s="47"/>
      <c r="G15" s="47"/>
      <c r="H15" s="47"/>
      <c r="K15" s="50"/>
      <c r="L15" s="51"/>
      <c r="M15" s="51"/>
      <c r="N15" s="160" t="s">
        <v>18</v>
      </c>
      <c r="O15" s="161"/>
      <c r="P15" s="8"/>
    </row>
    <row r="16" spans="1:16" x14ac:dyDescent="0.45">
      <c r="A16" s="10"/>
      <c r="B16" s="7"/>
      <c r="K16" s="7"/>
      <c r="N16" s="151" t="str">
        <f>A3</f>
        <v>Vibration portique lors
init axe X</v>
      </c>
      <c r="O16" s="152"/>
      <c r="P16" s="8"/>
    </row>
    <row r="17" spans="1:16" x14ac:dyDescent="0.45">
      <c r="A17" s="11"/>
      <c r="B17" s="6"/>
      <c r="C17" s="2"/>
      <c r="D17" s="2"/>
      <c r="E17" s="2"/>
      <c r="F17" s="2"/>
      <c r="G17" s="2"/>
      <c r="H17" s="2"/>
      <c r="I17" s="1"/>
      <c r="J17" s="2"/>
      <c r="K17" s="2"/>
      <c r="L17" s="3"/>
      <c r="M17" s="2"/>
      <c r="N17" s="153"/>
      <c r="O17" s="154"/>
      <c r="P17" s="8"/>
    </row>
    <row r="18" spans="1:16" x14ac:dyDescent="0.45">
      <c r="A18" s="183" t="s">
        <v>111</v>
      </c>
      <c r="B18" s="184"/>
      <c r="D18" s="194" t="s">
        <v>112</v>
      </c>
      <c r="E18" s="194"/>
      <c r="F18" s="194"/>
      <c r="G18" s="194"/>
      <c r="H18" s="195"/>
      <c r="I18" s="5"/>
      <c r="J18" s="192" t="s">
        <v>118</v>
      </c>
      <c r="K18" s="192"/>
      <c r="L18" s="193"/>
      <c r="N18" s="155"/>
      <c r="O18" s="156"/>
      <c r="P18" s="8"/>
    </row>
    <row r="19" spans="1:16" x14ac:dyDescent="0.45">
      <c r="A19" s="181" t="s">
        <v>114</v>
      </c>
      <c r="B19" s="182"/>
      <c r="D19" s="165"/>
      <c r="E19" s="165"/>
      <c r="F19" s="165"/>
      <c r="G19" s="165"/>
      <c r="H19" s="166"/>
      <c r="I19" s="5"/>
      <c r="J19" s="169" t="s">
        <v>113</v>
      </c>
      <c r="K19" s="169"/>
      <c r="L19" s="170"/>
      <c r="P19" s="8"/>
    </row>
    <row r="20" spans="1:16" x14ac:dyDescent="0.45">
      <c r="A20" s="181"/>
      <c r="B20" s="182"/>
      <c r="D20" s="165"/>
      <c r="E20" s="165"/>
      <c r="F20" s="165"/>
      <c r="G20" s="165"/>
      <c r="H20" s="166"/>
      <c r="I20" s="5"/>
      <c r="J20" s="169"/>
      <c r="K20" s="169"/>
      <c r="L20" s="170"/>
      <c r="P20" s="8"/>
    </row>
    <row r="21" spans="1:16" x14ac:dyDescent="0.45">
      <c r="A21" s="181"/>
      <c r="B21" s="182"/>
      <c r="D21" s="165"/>
      <c r="E21" s="165"/>
      <c r="F21" s="165"/>
      <c r="G21" s="165"/>
      <c r="H21" s="166"/>
      <c r="I21" s="5"/>
      <c r="J21" s="169"/>
      <c r="K21" s="169"/>
      <c r="L21" s="170"/>
      <c r="P21" s="8"/>
    </row>
    <row r="22" spans="1:16" x14ac:dyDescent="0.45">
      <c r="A22" s="181"/>
      <c r="B22" s="182"/>
      <c r="D22" s="165"/>
      <c r="E22" s="165"/>
      <c r="F22" s="165"/>
      <c r="G22" s="165"/>
      <c r="H22" s="166"/>
      <c r="I22" s="5"/>
      <c r="J22" s="169"/>
      <c r="K22" s="169"/>
      <c r="L22" s="170"/>
      <c r="P22" s="8"/>
    </row>
    <row r="23" spans="1:16" x14ac:dyDescent="0.45">
      <c r="A23" s="181"/>
      <c r="B23" s="182"/>
      <c r="D23" s="165"/>
      <c r="E23" s="165"/>
      <c r="F23" s="165"/>
      <c r="G23" s="165"/>
      <c r="H23" s="166"/>
      <c r="I23" s="5"/>
      <c r="J23" s="169"/>
      <c r="K23" s="169"/>
      <c r="L23" s="170"/>
      <c r="P23" s="8"/>
    </row>
    <row r="24" spans="1:16" x14ac:dyDescent="0.45">
      <c r="A24" s="181"/>
      <c r="B24" s="182"/>
      <c r="D24" s="165"/>
      <c r="E24" s="165"/>
      <c r="F24" s="165"/>
      <c r="G24" s="165"/>
      <c r="H24" s="166"/>
      <c r="I24" s="5"/>
      <c r="J24" s="169"/>
      <c r="K24" s="169"/>
      <c r="L24" s="170"/>
      <c r="P24" s="8"/>
    </row>
    <row r="25" spans="1:16" x14ac:dyDescent="0.45">
      <c r="A25" s="181"/>
      <c r="B25" s="182"/>
      <c r="D25" s="165"/>
      <c r="E25" s="165"/>
      <c r="F25" s="165"/>
      <c r="G25" s="165"/>
      <c r="H25" s="166"/>
      <c r="I25" s="5"/>
      <c r="J25" s="169"/>
      <c r="K25" s="169"/>
      <c r="L25" s="170"/>
      <c r="P25" s="8"/>
    </row>
    <row r="26" spans="1:16" x14ac:dyDescent="0.45">
      <c r="A26" s="185"/>
      <c r="B26" s="186"/>
      <c r="D26" s="167"/>
      <c r="E26" s="167"/>
      <c r="F26" s="167"/>
      <c r="G26" s="167"/>
      <c r="H26" s="168"/>
      <c r="I26" s="5"/>
      <c r="J26" s="171"/>
      <c r="K26" s="171"/>
      <c r="L26" s="172"/>
      <c r="P26" s="8"/>
    </row>
    <row r="27" spans="1:16" x14ac:dyDescent="0.45">
      <c r="A27" s="179" t="s">
        <v>13</v>
      </c>
      <c r="B27" s="180"/>
      <c r="D27" s="176" t="s">
        <v>14</v>
      </c>
      <c r="E27" s="177"/>
      <c r="F27" s="177"/>
      <c r="G27" s="177"/>
      <c r="H27" s="178"/>
      <c r="J27" s="173" t="s">
        <v>15</v>
      </c>
      <c r="K27" s="174"/>
      <c r="L27" s="175"/>
      <c r="P27" s="8"/>
    </row>
    <row r="28" spans="1:16" ht="14.65" thickBot="1" x14ac:dyDescent="0.5">
      <c r="A28" s="10"/>
      <c r="P28" s="8"/>
    </row>
    <row r="29" spans="1:16" ht="12" customHeight="1" x14ac:dyDescent="0.45">
      <c r="A29" s="110" t="s">
        <v>21</v>
      </c>
      <c r="B29" s="111"/>
      <c r="C29" s="111"/>
      <c r="D29" s="112"/>
      <c r="E29" s="110" t="s">
        <v>22</v>
      </c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2"/>
    </row>
    <row r="30" spans="1:16" ht="10.5" customHeight="1" thickBot="1" x14ac:dyDescent="0.5">
      <c r="A30" s="113"/>
      <c r="B30" s="114"/>
      <c r="C30" s="114"/>
      <c r="D30" s="115"/>
      <c r="E30" s="162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4"/>
    </row>
    <row r="31" spans="1:16" ht="69" customHeight="1" x14ac:dyDescent="0.45">
      <c r="A31" s="96" t="s">
        <v>12</v>
      </c>
      <c r="B31" s="97"/>
      <c r="C31" s="103" t="s">
        <v>6</v>
      </c>
      <c r="D31" s="104"/>
      <c r="E31" s="35" t="s">
        <v>72</v>
      </c>
      <c r="F31" s="98" t="s">
        <v>7</v>
      </c>
      <c r="G31" s="99"/>
      <c r="H31" s="99"/>
      <c r="I31" s="100"/>
      <c r="J31" s="30" t="s">
        <v>8</v>
      </c>
      <c r="K31" s="34" t="s">
        <v>70</v>
      </c>
      <c r="L31" s="31" t="s">
        <v>9</v>
      </c>
      <c r="M31" s="32" t="s">
        <v>69</v>
      </c>
      <c r="N31" s="33" t="s">
        <v>71</v>
      </c>
      <c r="O31" s="101" t="s">
        <v>11</v>
      </c>
      <c r="P31" s="102"/>
    </row>
    <row r="32" spans="1:16" x14ac:dyDescent="0.45">
      <c r="A32" s="38" t="s">
        <v>75</v>
      </c>
      <c r="B32" s="42" t="s">
        <v>97</v>
      </c>
      <c r="C32" s="84" t="s">
        <v>101</v>
      </c>
      <c r="D32" s="85"/>
      <c r="E32" s="91">
        <v>1</v>
      </c>
      <c r="F32" s="92" t="s">
        <v>105</v>
      </c>
      <c r="G32" s="92"/>
      <c r="H32" s="92"/>
      <c r="I32" s="92"/>
      <c r="J32" s="65" t="s">
        <v>53</v>
      </c>
      <c r="K32" s="67">
        <f>Priorité!G3</f>
        <v>5</v>
      </c>
      <c r="L32" s="65">
        <v>1</v>
      </c>
      <c r="M32" s="88" t="s">
        <v>62</v>
      </c>
      <c r="N32" s="88" t="s">
        <v>64</v>
      </c>
      <c r="O32" s="82" t="s">
        <v>108</v>
      </c>
      <c r="P32" s="83"/>
    </row>
    <row r="33" spans="1:16" x14ac:dyDescent="0.45">
      <c r="A33" s="38" t="s">
        <v>76</v>
      </c>
      <c r="B33" s="42" t="s">
        <v>100</v>
      </c>
      <c r="C33" s="84" t="s">
        <v>98</v>
      </c>
      <c r="D33" s="85"/>
      <c r="E33" s="91"/>
      <c r="F33" s="92"/>
      <c r="G33" s="92"/>
      <c r="H33" s="92"/>
      <c r="I33" s="92"/>
      <c r="J33" s="65"/>
      <c r="K33" s="67"/>
      <c r="L33" s="65"/>
      <c r="M33" s="88"/>
      <c r="N33" s="88"/>
      <c r="O33" s="82"/>
      <c r="P33" s="83"/>
    </row>
    <row r="34" spans="1:16" x14ac:dyDescent="0.45">
      <c r="A34" s="38" t="s">
        <v>77</v>
      </c>
      <c r="B34" s="42" t="s">
        <v>104</v>
      </c>
      <c r="C34" s="84" t="s">
        <v>96</v>
      </c>
      <c r="D34" s="85"/>
      <c r="E34" s="91">
        <v>2</v>
      </c>
      <c r="F34" s="92" t="s">
        <v>107</v>
      </c>
      <c r="G34" s="92"/>
      <c r="H34" s="92"/>
      <c r="I34" s="92"/>
      <c r="J34" s="65" t="s">
        <v>48</v>
      </c>
      <c r="K34" s="67">
        <f>Priorité!G4</f>
        <v>6</v>
      </c>
      <c r="L34" s="65">
        <v>5</v>
      </c>
      <c r="M34" s="88" t="s">
        <v>59</v>
      </c>
      <c r="N34" s="88"/>
      <c r="O34" s="82" t="s">
        <v>109</v>
      </c>
      <c r="P34" s="83"/>
    </row>
    <row r="35" spans="1:16" ht="15" customHeight="1" x14ac:dyDescent="0.45">
      <c r="A35" s="38" t="s">
        <v>78</v>
      </c>
      <c r="B35" s="42" t="s">
        <v>116</v>
      </c>
      <c r="C35" s="84" t="s">
        <v>102</v>
      </c>
      <c r="D35" s="85"/>
      <c r="E35" s="91"/>
      <c r="F35" s="92"/>
      <c r="G35" s="92"/>
      <c r="H35" s="92"/>
      <c r="I35" s="92"/>
      <c r="J35" s="65"/>
      <c r="K35" s="67"/>
      <c r="L35" s="65"/>
      <c r="M35" s="88"/>
      <c r="N35" s="88"/>
      <c r="O35" s="82"/>
      <c r="P35" s="83"/>
    </row>
    <row r="36" spans="1:16" ht="15" customHeight="1" x14ac:dyDescent="0.45">
      <c r="A36" s="38" t="s">
        <v>79</v>
      </c>
      <c r="B36" s="42" t="s">
        <v>117</v>
      </c>
      <c r="C36" s="84"/>
      <c r="D36" s="85"/>
      <c r="E36" s="91">
        <v>3</v>
      </c>
      <c r="F36" s="92" t="s">
        <v>106</v>
      </c>
      <c r="G36" s="92"/>
      <c r="H36" s="92"/>
      <c r="I36" s="92"/>
      <c r="J36" s="65" t="s">
        <v>44</v>
      </c>
      <c r="K36" s="67">
        <f>Priorité!G5</f>
        <v>5</v>
      </c>
      <c r="L36" s="65">
        <v>2</v>
      </c>
      <c r="M36" s="88" t="s">
        <v>62</v>
      </c>
      <c r="N36" s="88" t="s">
        <v>89</v>
      </c>
      <c r="O36" s="90" t="s">
        <v>110</v>
      </c>
      <c r="P36" s="83"/>
    </row>
    <row r="37" spans="1:16" ht="15" customHeight="1" x14ac:dyDescent="0.45">
      <c r="A37" s="38" t="s">
        <v>80</v>
      </c>
      <c r="B37" s="42" t="s">
        <v>113</v>
      </c>
      <c r="C37" s="84"/>
      <c r="D37" s="85"/>
      <c r="E37" s="91"/>
      <c r="F37" s="92"/>
      <c r="G37" s="92"/>
      <c r="H37" s="92"/>
      <c r="I37" s="92"/>
      <c r="J37" s="65"/>
      <c r="K37" s="67"/>
      <c r="L37" s="65"/>
      <c r="M37" s="88"/>
      <c r="N37" s="88"/>
      <c r="O37" s="82"/>
      <c r="P37" s="83"/>
    </row>
    <row r="38" spans="1:16" x14ac:dyDescent="0.45">
      <c r="A38" s="38" t="s">
        <v>81</v>
      </c>
      <c r="B38" s="42" t="s">
        <v>119</v>
      </c>
      <c r="C38" s="84"/>
      <c r="D38" s="85"/>
      <c r="E38" s="91">
        <v>4</v>
      </c>
      <c r="F38" s="92" t="s">
        <v>121</v>
      </c>
      <c r="G38" s="92"/>
      <c r="H38" s="92"/>
      <c r="I38" s="92"/>
      <c r="J38" s="65" t="s">
        <v>44</v>
      </c>
      <c r="K38" s="67">
        <f>Priorité!G6</f>
        <v>3</v>
      </c>
      <c r="L38" s="65">
        <v>6</v>
      </c>
      <c r="M38" s="88" t="s">
        <v>59</v>
      </c>
      <c r="N38" s="88"/>
      <c r="O38" s="82"/>
      <c r="P38" s="83"/>
    </row>
    <row r="39" spans="1:16" x14ac:dyDescent="0.45">
      <c r="A39" s="38" t="s">
        <v>82</v>
      </c>
      <c r="B39" s="42" t="s">
        <v>114</v>
      </c>
      <c r="C39" s="84"/>
      <c r="D39" s="85"/>
      <c r="E39" s="65"/>
      <c r="F39" s="92"/>
      <c r="G39" s="92"/>
      <c r="H39" s="92"/>
      <c r="I39" s="92"/>
      <c r="J39" s="65"/>
      <c r="K39" s="67"/>
      <c r="L39" s="65"/>
      <c r="M39" s="88"/>
      <c r="N39" s="88"/>
      <c r="O39" s="82"/>
      <c r="P39" s="83"/>
    </row>
    <row r="40" spans="1:16" x14ac:dyDescent="0.45">
      <c r="A40" s="38" t="s">
        <v>83</v>
      </c>
      <c r="B40" s="42" t="s">
        <v>120</v>
      </c>
      <c r="C40" s="84"/>
      <c r="D40" s="85"/>
      <c r="E40" s="65">
        <v>7</v>
      </c>
      <c r="F40" s="70" t="s">
        <v>122</v>
      </c>
      <c r="G40" s="70"/>
      <c r="H40" s="70"/>
      <c r="I40" s="70"/>
      <c r="J40" s="65" t="s">
        <v>48</v>
      </c>
      <c r="K40" s="67">
        <f>Priorité!G7</f>
        <v>5</v>
      </c>
      <c r="L40" s="65">
        <v>3</v>
      </c>
      <c r="M40" s="88" t="s">
        <v>59</v>
      </c>
      <c r="N40" s="88"/>
      <c r="O40" s="82"/>
      <c r="P40" s="83"/>
    </row>
    <row r="41" spans="1:16" x14ac:dyDescent="0.45">
      <c r="A41" s="38" t="s">
        <v>84</v>
      </c>
      <c r="B41" s="42"/>
      <c r="C41" s="84"/>
      <c r="D41" s="85"/>
      <c r="E41" s="65"/>
      <c r="F41" s="70"/>
      <c r="G41" s="70"/>
      <c r="H41" s="70"/>
      <c r="I41" s="70"/>
      <c r="J41" s="65"/>
      <c r="K41" s="67"/>
      <c r="L41" s="65"/>
      <c r="M41" s="88"/>
      <c r="N41" s="88"/>
      <c r="O41" s="82"/>
      <c r="P41" s="83"/>
    </row>
    <row r="42" spans="1:16" ht="15" customHeight="1" x14ac:dyDescent="0.45">
      <c r="A42" s="38" t="s">
        <v>85</v>
      </c>
      <c r="B42" s="42"/>
      <c r="C42" s="84"/>
      <c r="D42" s="85"/>
      <c r="E42" s="65" t="s">
        <v>124</v>
      </c>
      <c r="F42" s="70" t="s">
        <v>123</v>
      </c>
      <c r="G42" s="70"/>
      <c r="H42" s="70"/>
      <c r="I42" s="70"/>
      <c r="J42" s="65" t="s">
        <v>48</v>
      </c>
      <c r="K42" s="67">
        <f>Priorité!G8</f>
        <v>3</v>
      </c>
      <c r="L42" s="65">
        <v>7</v>
      </c>
      <c r="M42" s="88" t="s">
        <v>59</v>
      </c>
      <c r="N42" s="88"/>
      <c r="O42" s="82"/>
      <c r="P42" s="83"/>
    </row>
    <row r="43" spans="1:16" ht="17.25" customHeight="1" x14ac:dyDescent="0.45">
      <c r="A43" s="38" t="s">
        <v>86</v>
      </c>
      <c r="B43" s="42"/>
      <c r="C43" s="84"/>
      <c r="D43" s="85"/>
      <c r="E43" s="65"/>
      <c r="F43" s="70"/>
      <c r="G43" s="70"/>
      <c r="H43" s="70"/>
      <c r="I43" s="70"/>
      <c r="J43" s="65"/>
      <c r="K43" s="67"/>
      <c r="L43" s="65"/>
      <c r="M43" s="88"/>
      <c r="N43" s="88"/>
      <c r="O43" s="82"/>
      <c r="P43" s="83"/>
    </row>
    <row r="44" spans="1:16" ht="15" customHeight="1" x14ac:dyDescent="0.45">
      <c r="A44" s="38" t="s">
        <v>87</v>
      </c>
      <c r="B44" s="42"/>
      <c r="C44" s="84"/>
      <c r="D44" s="85"/>
      <c r="E44" s="65">
        <v>8</v>
      </c>
      <c r="F44" s="70" t="s">
        <v>125</v>
      </c>
      <c r="G44" s="70"/>
      <c r="H44" s="70"/>
      <c r="I44" s="70"/>
      <c r="J44" s="65" t="s">
        <v>55</v>
      </c>
      <c r="K44" s="67">
        <f>Priorité!G9</f>
        <v>5</v>
      </c>
      <c r="L44" s="65">
        <v>4</v>
      </c>
      <c r="M44" s="88" t="s">
        <v>59</v>
      </c>
      <c r="N44" s="88"/>
      <c r="O44" s="82"/>
      <c r="P44" s="83"/>
    </row>
    <row r="45" spans="1:16" ht="15" customHeight="1" thickBot="1" x14ac:dyDescent="0.5">
      <c r="A45" s="39" t="s">
        <v>88</v>
      </c>
      <c r="B45" s="43"/>
      <c r="C45" s="86"/>
      <c r="D45" s="87"/>
      <c r="E45" s="66"/>
      <c r="F45" s="71"/>
      <c r="G45" s="71"/>
      <c r="H45" s="71"/>
      <c r="I45" s="71"/>
      <c r="J45" s="66"/>
      <c r="K45" s="89"/>
      <c r="L45" s="66"/>
      <c r="M45" s="88"/>
      <c r="N45" s="93"/>
      <c r="O45" s="94"/>
      <c r="P45" s="95"/>
    </row>
    <row r="46" spans="1:16" ht="14.25" customHeight="1" x14ac:dyDescent="0.45">
      <c r="A46" s="110" t="s">
        <v>68</v>
      </c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2"/>
    </row>
    <row r="47" spans="1:16" ht="11.25" customHeight="1" x14ac:dyDescent="0.45">
      <c r="A47" s="113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5"/>
    </row>
    <row r="48" spans="1:16" ht="70.5" customHeight="1" x14ac:dyDescent="0.45">
      <c r="A48" s="37" t="s">
        <v>72</v>
      </c>
      <c r="B48" s="116" t="s">
        <v>7</v>
      </c>
      <c r="C48" s="117"/>
      <c r="D48" s="118"/>
      <c r="E48" s="36" t="s">
        <v>8</v>
      </c>
      <c r="F48" s="119" t="s">
        <v>73</v>
      </c>
      <c r="G48" s="120"/>
      <c r="H48" s="121"/>
      <c r="I48" s="37" t="s">
        <v>9</v>
      </c>
      <c r="J48" s="122" t="s">
        <v>69</v>
      </c>
      <c r="K48" s="123"/>
      <c r="L48" s="124" t="s">
        <v>74</v>
      </c>
      <c r="M48" s="125"/>
      <c r="N48" s="119" t="s">
        <v>11</v>
      </c>
      <c r="O48" s="120"/>
      <c r="P48" s="126"/>
    </row>
    <row r="49" spans="1:16" x14ac:dyDescent="0.45">
      <c r="A49" s="61" t="s">
        <v>83</v>
      </c>
      <c r="B49" s="63" t="s">
        <v>129</v>
      </c>
      <c r="C49" s="63"/>
      <c r="D49" s="63"/>
      <c r="E49" s="65" t="s">
        <v>44</v>
      </c>
      <c r="F49" s="67">
        <f>Priorité!G10</f>
        <v>4</v>
      </c>
      <c r="G49" s="67"/>
      <c r="H49" s="67"/>
      <c r="I49" s="68">
        <v>8</v>
      </c>
      <c r="J49" s="70" t="s">
        <v>59</v>
      </c>
      <c r="K49" s="70"/>
      <c r="L49" s="72"/>
      <c r="M49" s="73"/>
      <c r="N49" s="76"/>
      <c r="O49" s="77"/>
      <c r="P49" s="78"/>
    </row>
    <row r="50" spans="1:16" x14ac:dyDescent="0.45">
      <c r="A50" s="61"/>
      <c r="B50" s="63"/>
      <c r="C50" s="63"/>
      <c r="D50" s="63"/>
      <c r="E50" s="65"/>
      <c r="F50" s="67"/>
      <c r="G50" s="67"/>
      <c r="H50" s="67"/>
      <c r="I50" s="68"/>
      <c r="J50" s="70"/>
      <c r="K50" s="70"/>
      <c r="L50" s="105"/>
      <c r="M50" s="106"/>
      <c r="N50" s="107"/>
      <c r="O50" s="108"/>
      <c r="P50" s="109"/>
    </row>
    <row r="51" spans="1:16" x14ac:dyDescent="0.45">
      <c r="A51" s="61"/>
      <c r="B51" s="63"/>
      <c r="C51" s="63"/>
      <c r="D51" s="63"/>
      <c r="E51" s="65"/>
      <c r="F51" s="67">
        <f>Priorité!G11</f>
        <v>0</v>
      </c>
      <c r="G51" s="67"/>
      <c r="H51" s="67"/>
      <c r="I51" s="68"/>
      <c r="J51" s="70"/>
      <c r="K51" s="70"/>
      <c r="L51" s="72"/>
      <c r="M51" s="73"/>
      <c r="N51" s="76"/>
      <c r="O51" s="77"/>
      <c r="P51" s="78"/>
    </row>
    <row r="52" spans="1:16" x14ac:dyDescent="0.45">
      <c r="A52" s="61"/>
      <c r="B52" s="63"/>
      <c r="C52" s="63"/>
      <c r="D52" s="63"/>
      <c r="E52" s="65"/>
      <c r="F52" s="67"/>
      <c r="G52" s="67"/>
      <c r="H52" s="67"/>
      <c r="I52" s="68"/>
      <c r="J52" s="70"/>
      <c r="K52" s="70"/>
      <c r="L52" s="105"/>
      <c r="M52" s="106"/>
      <c r="N52" s="107"/>
      <c r="O52" s="108"/>
      <c r="P52" s="109"/>
    </row>
    <row r="53" spans="1:16" ht="15" customHeight="1" x14ac:dyDescent="0.45">
      <c r="A53" s="61"/>
      <c r="B53" s="63"/>
      <c r="C53" s="63"/>
      <c r="D53" s="63"/>
      <c r="E53" s="65"/>
      <c r="F53" s="67">
        <f>Priorité!G12</f>
        <v>0</v>
      </c>
      <c r="G53" s="67"/>
      <c r="H53" s="67"/>
      <c r="I53" s="68"/>
      <c r="J53" s="70"/>
      <c r="K53" s="70"/>
      <c r="L53" s="72"/>
      <c r="M53" s="73"/>
      <c r="N53" s="76"/>
      <c r="O53" s="77"/>
      <c r="P53" s="78"/>
    </row>
    <row r="54" spans="1:16" ht="15" customHeight="1" x14ac:dyDescent="0.45">
      <c r="A54" s="61"/>
      <c r="B54" s="63"/>
      <c r="C54" s="63"/>
      <c r="D54" s="63"/>
      <c r="E54" s="65"/>
      <c r="F54" s="67"/>
      <c r="G54" s="67"/>
      <c r="H54" s="67"/>
      <c r="I54" s="68"/>
      <c r="J54" s="70"/>
      <c r="K54" s="70"/>
      <c r="L54" s="105"/>
      <c r="M54" s="106"/>
      <c r="N54" s="107"/>
      <c r="O54" s="108"/>
      <c r="P54" s="109"/>
    </row>
    <row r="55" spans="1:16" ht="15" customHeight="1" x14ac:dyDescent="0.45">
      <c r="A55" s="61"/>
      <c r="B55" s="63"/>
      <c r="C55" s="63"/>
      <c r="D55" s="63"/>
      <c r="E55" s="65"/>
      <c r="F55" s="67">
        <f>Priorité!G13</f>
        <v>0</v>
      </c>
      <c r="G55" s="67"/>
      <c r="H55" s="67"/>
      <c r="I55" s="68"/>
      <c r="J55" s="70"/>
      <c r="K55" s="70"/>
      <c r="L55" s="72"/>
      <c r="M55" s="73"/>
      <c r="N55" s="76"/>
      <c r="O55" s="77"/>
      <c r="P55" s="78"/>
    </row>
    <row r="56" spans="1:16" ht="15" customHeight="1" x14ac:dyDescent="0.45">
      <c r="A56" s="61"/>
      <c r="B56" s="63"/>
      <c r="C56" s="63"/>
      <c r="D56" s="63"/>
      <c r="E56" s="65"/>
      <c r="F56" s="67"/>
      <c r="G56" s="67"/>
      <c r="H56" s="67"/>
      <c r="I56" s="68"/>
      <c r="J56" s="70"/>
      <c r="K56" s="70"/>
      <c r="L56" s="105"/>
      <c r="M56" s="106"/>
      <c r="N56" s="107"/>
      <c r="O56" s="108"/>
      <c r="P56" s="109"/>
    </row>
    <row r="57" spans="1:16" ht="15" customHeight="1" x14ac:dyDescent="0.45">
      <c r="A57" s="61"/>
      <c r="B57" s="63"/>
      <c r="C57" s="63"/>
      <c r="D57" s="63"/>
      <c r="E57" s="65"/>
      <c r="F57" s="67">
        <f>Priorité!G14</f>
        <v>0</v>
      </c>
      <c r="G57" s="67"/>
      <c r="H57" s="67"/>
      <c r="I57" s="68"/>
      <c r="J57" s="70"/>
      <c r="K57" s="70"/>
      <c r="L57" s="72"/>
      <c r="M57" s="73"/>
      <c r="N57" s="76"/>
      <c r="O57" s="77"/>
      <c r="P57" s="78"/>
    </row>
    <row r="58" spans="1:16" ht="15" customHeight="1" x14ac:dyDescent="0.45">
      <c r="A58" s="61"/>
      <c r="B58" s="63"/>
      <c r="C58" s="63"/>
      <c r="D58" s="63"/>
      <c r="E58" s="65"/>
      <c r="F58" s="67"/>
      <c r="G58" s="67"/>
      <c r="H58" s="67"/>
      <c r="I58" s="68"/>
      <c r="J58" s="70"/>
      <c r="K58" s="70"/>
      <c r="L58" s="105"/>
      <c r="M58" s="106"/>
      <c r="N58" s="107"/>
      <c r="O58" s="108"/>
      <c r="P58" s="109"/>
    </row>
    <row r="59" spans="1:16" ht="15" customHeight="1" x14ac:dyDescent="0.45">
      <c r="A59" s="61"/>
      <c r="B59" s="63"/>
      <c r="C59" s="63"/>
      <c r="D59" s="63"/>
      <c r="E59" s="65"/>
      <c r="F59" s="67">
        <f>Priorité!G15</f>
        <v>0</v>
      </c>
      <c r="G59" s="67"/>
      <c r="H59" s="67"/>
      <c r="I59" s="68"/>
      <c r="J59" s="70"/>
      <c r="K59" s="70"/>
      <c r="L59" s="72"/>
      <c r="M59" s="73"/>
      <c r="N59" s="76"/>
      <c r="O59" s="77"/>
      <c r="P59" s="78"/>
    </row>
    <row r="60" spans="1:16" ht="15" customHeight="1" x14ac:dyDescent="0.45">
      <c r="A60" s="61"/>
      <c r="B60" s="63"/>
      <c r="C60" s="63"/>
      <c r="D60" s="63"/>
      <c r="E60" s="65"/>
      <c r="F60" s="67"/>
      <c r="G60" s="67"/>
      <c r="H60" s="67"/>
      <c r="I60" s="68"/>
      <c r="J60" s="70"/>
      <c r="K60" s="70"/>
      <c r="L60" s="105"/>
      <c r="M60" s="106"/>
      <c r="N60" s="107"/>
      <c r="O60" s="108"/>
      <c r="P60" s="109"/>
    </row>
    <row r="61" spans="1:16" ht="15" customHeight="1" x14ac:dyDescent="0.45">
      <c r="A61" s="61"/>
      <c r="B61" s="63"/>
      <c r="C61" s="63"/>
      <c r="D61" s="63"/>
      <c r="E61" s="65"/>
      <c r="F61" s="67">
        <f>Priorité!G16</f>
        <v>0</v>
      </c>
      <c r="G61" s="67"/>
      <c r="H61" s="67"/>
      <c r="I61" s="68"/>
      <c r="J61" s="70"/>
      <c r="K61" s="70"/>
      <c r="L61" s="72"/>
      <c r="M61" s="73"/>
      <c r="N61" s="76"/>
      <c r="O61" s="77"/>
      <c r="P61" s="78"/>
    </row>
    <row r="62" spans="1:16" ht="15" customHeight="1" x14ac:dyDescent="0.45">
      <c r="A62" s="61"/>
      <c r="B62" s="63"/>
      <c r="C62" s="63"/>
      <c r="D62" s="63"/>
      <c r="E62" s="65"/>
      <c r="F62" s="67"/>
      <c r="G62" s="67"/>
      <c r="H62" s="67"/>
      <c r="I62" s="68"/>
      <c r="J62" s="70"/>
      <c r="K62" s="70"/>
      <c r="L62" s="105"/>
      <c r="M62" s="106"/>
      <c r="N62" s="107"/>
      <c r="O62" s="108"/>
      <c r="P62" s="109"/>
    </row>
    <row r="63" spans="1:16" ht="15" customHeight="1" x14ac:dyDescent="0.45">
      <c r="A63" s="61"/>
      <c r="B63" s="63"/>
      <c r="C63" s="63"/>
      <c r="D63" s="63"/>
      <c r="E63" s="65"/>
      <c r="F63" s="67">
        <f>Priorité!G17</f>
        <v>0</v>
      </c>
      <c r="G63" s="67"/>
      <c r="H63" s="67"/>
      <c r="I63" s="68"/>
      <c r="J63" s="70"/>
      <c r="K63" s="70"/>
      <c r="L63" s="72"/>
      <c r="M63" s="73"/>
      <c r="N63" s="76"/>
      <c r="O63" s="77"/>
      <c r="P63" s="78"/>
    </row>
    <row r="64" spans="1:16" ht="15" customHeight="1" x14ac:dyDescent="0.45">
      <c r="A64" s="61"/>
      <c r="B64" s="63"/>
      <c r="C64" s="63"/>
      <c r="D64" s="63"/>
      <c r="E64" s="65"/>
      <c r="F64" s="67"/>
      <c r="G64" s="67"/>
      <c r="H64" s="67"/>
      <c r="I64" s="68"/>
      <c r="J64" s="70"/>
      <c r="K64" s="70"/>
      <c r="L64" s="105"/>
      <c r="M64" s="106"/>
      <c r="N64" s="107"/>
      <c r="O64" s="108"/>
      <c r="P64" s="109"/>
    </row>
    <row r="65" spans="1:16" ht="15" customHeight="1" x14ac:dyDescent="0.45">
      <c r="A65" s="61"/>
      <c r="B65" s="63"/>
      <c r="C65" s="63"/>
      <c r="D65" s="63"/>
      <c r="E65" s="65"/>
      <c r="F65" s="67">
        <f>Priorité!G18</f>
        <v>0</v>
      </c>
      <c r="G65" s="67"/>
      <c r="H65" s="67"/>
      <c r="I65" s="68"/>
      <c r="J65" s="70"/>
      <c r="K65" s="70"/>
      <c r="L65" s="72"/>
      <c r="M65" s="73"/>
      <c r="N65" s="76"/>
      <c r="O65" s="77"/>
      <c r="P65" s="78"/>
    </row>
    <row r="66" spans="1:16" ht="15" customHeight="1" x14ac:dyDescent="0.45">
      <c r="A66" s="61"/>
      <c r="B66" s="63"/>
      <c r="C66" s="63"/>
      <c r="D66" s="63"/>
      <c r="E66" s="65"/>
      <c r="F66" s="67"/>
      <c r="G66" s="67"/>
      <c r="H66" s="67"/>
      <c r="I66" s="68"/>
      <c r="J66" s="70"/>
      <c r="K66" s="70"/>
      <c r="L66" s="105"/>
      <c r="M66" s="106"/>
      <c r="N66" s="107"/>
      <c r="O66" s="108"/>
      <c r="P66" s="109"/>
    </row>
    <row r="67" spans="1:16" ht="15" customHeight="1" x14ac:dyDescent="0.45">
      <c r="A67" s="61"/>
      <c r="B67" s="63"/>
      <c r="C67" s="63"/>
      <c r="D67" s="63"/>
      <c r="E67" s="65"/>
      <c r="F67" s="67">
        <f>Priorité!G19</f>
        <v>0</v>
      </c>
      <c r="G67" s="67"/>
      <c r="H67" s="67"/>
      <c r="I67" s="68"/>
      <c r="J67" s="70"/>
      <c r="K67" s="70"/>
      <c r="L67" s="72"/>
      <c r="M67" s="73"/>
      <c r="N67" s="76"/>
      <c r="O67" s="77"/>
      <c r="P67" s="78"/>
    </row>
    <row r="68" spans="1:16" x14ac:dyDescent="0.45">
      <c r="A68" s="61"/>
      <c r="B68" s="63"/>
      <c r="C68" s="63"/>
      <c r="D68" s="63"/>
      <c r="E68" s="65"/>
      <c r="F68" s="67"/>
      <c r="G68" s="67"/>
      <c r="H68" s="67"/>
      <c r="I68" s="68"/>
      <c r="J68" s="70"/>
      <c r="K68" s="70"/>
      <c r="L68" s="105"/>
      <c r="M68" s="106"/>
      <c r="N68" s="107"/>
      <c r="O68" s="108"/>
      <c r="P68" s="109"/>
    </row>
    <row r="69" spans="1:16" x14ac:dyDescent="0.45">
      <c r="A69" s="61"/>
      <c r="B69" s="63"/>
      <c r="C69" s="63"/>
      <c r="D69" s="63"/>
      <c r="E69" s="65"/>
      <c r="F69" s="67">
        <f>Priorité!G20</f>
        <v>0</v>
      </c>
      <c r="G69" s="67"/>
      <c r="H69" s="67"/>
      <c r="I69" s="68"/>
      <c r="J69" s="70"/>
      <c r="K69" s="70"/>
      <c r="L69" s="72"/>
      <c r="M69" s="73"/>
      <c r="N69" s="76"/>
      <c r="O69" s="77"/>
      <c r="P69" s="78"/>
    </row>
    <row r="70" spans="1:16" x14ac:dyDescent="0.45">
      <c r="A70" s="61"/>
      <c r="B70" s="63"/>
      <c r="C70" s="63"/>
      <c r="D70" s="63"/>
      <c r="E70" s="65"/>
      <c r="F70" s="67"/>
      <c r="G70" s="67"/>
      <c r="H70" s="67"/>
      <c r="I70" s="68"/>
      <c r="J70" s="70"/>
      <c r="K70" s="70"/>
      <c r="L70" s="105"/>
      <c r="M70" s="106"/>
      <c r="N70" s="107"/>
      <c r="O70" s="108"/>
      <c r="P70" s="109"/>
    </row>
    <row r="71" spans="1:16" x14ac:dyDescent="0.45">
      <c r="A71" s="61"/>
      <c r="B71" s="63"/>
      <c r="C71" s="63"/>
      <c r="D71" s="63"/>
      <c r="E71" s="65"/>
      <c r="F71" s="67">
        <f>Priorité!G21</f>
        <v>0</v>
      </c>
      <c r="G71" s="67"/>
      <c r="H71" s="67"/>
      <c r="I71" s="68"/>
      <c r="J71" s="70"/>
      <c r="K71" s="70"/>
      <c r="L71" s="72"/>
      <c r="M71" s="73"/>
      <c r="N71" s="76"/>
      <c r="O71" s="77"/>
      <c r="P71" s="78"/>
    </row>
    <row r="72" spans="1:16" x14ac:dyDescent="0.45">
      <c r="A72" s="61"/>
      <c r="B72" s="63"/>
      <c r="C72" s="63"/>
      <c r="D72" s="63"/>
      <c r="E72" s="65"/>
      <c r="F72" s="67"/>
      <c r="G72" s="67"/>
      <c r="H72" s="67"/>
      <c r="I72" s="68"/>
      <c r="J72" s="70"/>
      <c r="K72" s="70"/>
      <c r="L72" s="105"/>
      <c r="M72" s="106"/>
      <c r="N72" s="107"/>
      <c r="O72" s="108"/>
      <c r="P72" s="109"/>
    </row>
    <row r="73" spans="1:16" x14ac:dyDescent="0.45">
      <c r="A73" s="61"/>
      <c r="B73" s="63"/>
      <c r="C73" s="63"/>
      <c r="D73" s="63"/>
      <c r="E73" s="65"/>
      <c r="F73" s="67">
        <f>Priorité!G22</f>
        <v>0</v>
      </c>
      <c r="G73" s="67"/>
      <c r="H73" s="67"/>
      <c r="I73" s="68"/>
      <c r="J73" s="70"/>
      <c r="K73" s="70"/>
      <c r="L73" s="72"/>
      <c r="M73" s="73"/>
      <c r="N73" s="76"/>
      <c r="O73" s="77"/>
      <c r="P73" s="78"/>
    </row>
    <row r="74" spans="1:16" x14ac:dyDescent="0.45">
      <c r="A74" s="61"/>
      <c r="B74" s="63"/>
      <c r="C74" s="63"/>
      <c r="D74" s="63"/>
      <c r="E74" s="65"/>
      <c r="F74" s="67"/>
      <c r="G74" s="67"/>
      <c r="H74" s="67"/>
      <c r="I74" s="68"/>
      <c r="J74" s="70"/>
      <c r="K74" s="70"/>
      <c r="L74" s="105"/>
      <c r="M74" s="106"/>
      <c r="N74" s="107"/>
      <c r="O74" s="108"/>
      <c r="P74" s="109"/>
    </row>
    <row r="75" spans="1:16" x14ac:dyDescent="0.45">
      <c r="A75" s="61"/>
      <c r="B75" s="63"/>
      <c r="C75" s="63"/>
      <c r="D75" s="63"/>
      <c r="E75" s="65"/>
      <c r="F75" s="67">
        <f>Priorité!G23</f>
        <v>0</v>
      </c>
      <c r="G75" s="67"/>
      <c r="H75" s="67"/>
      <c r="I75" s="68"/>
      <c r="J75" s="70"/>
      <c r="K75" s="70"/>
      <c r="L75" s="72"/>
      <c r="M75" s="73"/>
      <c r="N75" s="76"/>
      <c r="O75" s="77"/>
      <c r="P75" s="78"/>
    </row>
    <row r="76" spans="1:16" x14ac:dyDescent="0.45">
      <c r="A76" s="61"/>
      <c r="B76" s="63"/>
      <c r="C76" s="63"/>
      <c r="D76" s="63"/>
      <c r="E76" s="65"/>
      <c r="F76" s="67"/>
      <c r="G76" s="67"/>
      <c r="H76" s="67"/>
      <c r="I76" s="68"/>
      <c r="J76" s="70"/>
      <c r="K76" s="70"/>
      <c r="L76" s="105"/>
      <c r="M76" s="106"/>
      <c r="N76" s="107"/>
      <c r="O76" s="108"/>
      <c r="P76" s="109"/>
    </row>
    <row r="77" spans="1:16" x14ac:dyDescent="0.45">
      <c r="A77" s="61"/>
      <c r="B77" s="63"/>
      <c r="C77" s="63"/>
      <c r="D77" s="63"/>
      <c r="E77" s="65"/>
      <c r="F77" s="67">
        <f>Priorité!G24</f>
        <v>0</v>
      </c>
      <c r="G77" s="67"/>
      <c r="H77" s="67"/>
      <c r="I77" s="68"/>
      <c r="J77" s="70"/>
      <c r="K77" s="70"/>
      <c r="L77" s="72"/>
      <c r="M77" s="73"/>
      <c r="N77" s="76"/>
      <c r="O77" s="77"/>
      <c r="P77" s="78"/>
    </row>
    <row r="78" spans="1:16" x14ac:dyDescent="0.45">
      <c r="A78" s="61"/>
      <c r="B78" s="63"/>
      <c r="C78" s="63"/>
      <c r="D78" s="63"/>
      <c r="E78" s="65"/>
      <c r="F78" s="67"/>
      <c r="G78" s="67"/>
      <c r="H78" s="67"/>
      <c r="I78" s="68"/>
      <c r="J78" s="70"/>
      <c r="K78" s="70"/>
      <c r="L78" s="105"/>
      <c r="M78" s="106"/>
      <c r="N78" s="107"/>
      <c r="O78" s="108"/>
      <c r="P78" s="109"/>
    </row>
    <row r="79" spans="1:16" x14ac:dyDescent="0.45">
      <c r="A79" s="61"/>
      <c r="B79" s="63"/>
      <c r="C79" s="63"/>
      <c r="D79" s="63"/>
      <c r="E79" s="65"/>
      <c r="F79" s="67">
        <f>Priorité!G25</f>
        <v>0</v>
      </c>
      <c r="G79" s="67"/>
      <c r="H79" s="67"/>
      <c r="I79" s="68"/>
      <c r="J79" s="70"/>
      <c r="K79" s="70"/>
      <c r="L79" s="72"/>
      <c r="M79" s="73"/>
      <c r="N79" s="76"/>
      <c r="O79" s="77"/>
      <c r="P79" s="78"/>
    </row>
    <row r="80" spans="1:16" x14ac:dyDescent="0.45">
      <c r="A80" s="61"/>
      <c r="B80" s="63"/>
      <c r="C80" s="63"/>
      <c r="D80" s="63"/>
      <c r="E80" s="65"/>
      <c r="F80" s="67"/>
      <c r="G80" s="67"/>
      <c r="H80" s="67"/>
      <c r="I80" s="68"/>
      <c r="J80" s="70"/>
      <c r="K80" s="70"/>
      <c r="L80" s="105"/>
      <c r="M80" s="106"/>
      <c r="N80" s="107"/>
      <c r="O80" s="108"/>
      <c r="P80" s="109"/>
    </row>
    <row r="81" spans="1:16" x14ac:dyDescent="0.45">
      <c r="A81" s="61"/>
      <c r="B81" s="63"/>
      <c r="C81" s="63"/>
      <c r="D81" s="63"/>
      <c r="E81" s="65"/>
      <c r="F81" s="67">
        <f>Priorité!G26</f>
        <v>0</v>
      </c>
      <c r="G81" s="67"/>
      <c r="H81" s="67"/>
      <c r="I81" s="68"/>
      <c r="J81" s="70"/>
      <c r="K81" s="70"/>
      <c r="L81" s="72"/>
      <c r="M81" s="73"/>
      <c r="N81" s="76"/>
      <c r="O81" s="77"/>
      <c r="P81" s="78"/>
    </row>
    <row r="82" spans="1:16" x14ac:dyDescent="0.45">
      <c r="A82" s="61"/>
      <c r="B82" s="63"/>
      <c r="C82" s="63"/>
      <c r="D82" s="63"/>
      <c r="E82" s="65"/>
      <c r="F82" s="67"/>
      <c r="G82" s="67"/>
      <c r="H82" s="67"/>
      <c r="I82" s="68"/>
      <c r="J82" s="70"/>
      <c r="K82" s="70"/>
      <c r="L82" s="105"/>
      <c r="M82" s="106"/>
      <c r="N82" s="107"/>
      <c r="O82" s="108"/>
      <c r="P82" s="109"/>
    </row>
    <row r="83" spans="1:16" x14ac:dyDescent="0.45">
      <c r="A83" s="61"/>
      <c r="B83" s="63"/>
      <c r="C83" s="63"/>
      <c r="D83" s="63"/>
      <c r="E83" s="65"/>
      <c r="F83" s="67">
        <f>Priorité!G27</f>
        <v>0</v>
      </c>
      <c r="G83" s="67"/>
      <c r="H83" s="67"/>
      <c r="I83" s="68"/>
      <c r="J83" s="70"/>
      <c r="K83" s="70"/>
      <c r="L83" s="72"/>
      <c r="M83" s="73"/>
      <c r="N83" s="76"/>
      <c r="O83" s="77"/>
      <c r="P83" s="78"/>
    </row>
    <row r="84" spans="1:16" x14ac:dyDescent="0.45">
      <c r="A84" s="61"/>
      <c r="B84" s="63"/>
      <c r="C84" s="63"/>
      <c r="D84" s="63"/>
      <c r="E84" s="65"/>
      <c r="F84" s="67"/>
      <c r="G84" s="67"/>
      <c r="H84" s="67"/>
      <c r="I84" s="68"/>
      <c r="J84" s="70"/>
      <c r="K84" s="70"/>
      <c r="L84" s="105"/>
      <c r="M84" s="106"/>
      <c r="N84" s="107"/>
      <c r="O84" s="108"/>
      <c r="P84" s="109"/>
    </row>
    <row r="85" spans="1:16" x14ac:dyDescent="0.45">
      <c r="A85" s="61"/>
      <c r="B85" s="63"/>
      <c r="C85" s="63"/>
      <c r="D85" s="63"/>
      <c r="E85" s="65"/>
      <c r="F85" s="67">
        <f>Priorité!G28</f>
        <v>0</v>
      </c>
      <c r="G85" s="67"/>
      <c r="H85" s="67"/>
      <c r="I85" s="68"/>
      <c r="J85" s="70"/>
      <c r="K85" s="70"/>
      <c r="L85" s="72"/>
      <c r="M85" s="73"/>
      <c r="N85" s="76"/>
      <c r="O85" s="77"/>
      <c r="P85" s="78"/>
    </row>
    <row r="86" spans="1:16" x14ac:dyDescent="0.45">
      <c r="A86" s="61"/>
      <c r="B86" s="63"/>
      <c r="C86" s="63"/>
      <c r="D86" s="63"/>
      <c r="E86" s="65"/>
      <c r="F86" s="67"/>
      <c r="G86" s="67"/>
      <c r="H86" s="67"/>
      <c r="I86" s="68"/>
      <c r="J86" s="70"/>
      <c r="K86" s="70"/>
      <c r="L86" s="105"/>
      <c r="M86" s="106"/>
      <c r="N86" s="107"/>
      <c r="O86" s="108"/>
      <c r="P86" s="109"/>
    </row>
    <row r="87" spans="1:16" x14ac:dyDescent="0.45">
      <c r="A87" s="61"/>
      <c r="B87" s="63"/>
      <c r="C87" s="63"/>
      <c r="D87" s="63"/>
      <c r="E87" s="65"/>
      <c r="F87" s="67">
        <f>Priorité!G29</f>
        <v>0</v>
      </c>
      <c r="G87" s="67"/>
      <c r="H87" s="67"/>
      <c r="I87" s="68"/>
      <c r="J87" s="70"/>
      <c r="K87" s="70"/>
      <c r="L87" s="72"/>
      <c r="M87" s="73"/>
      <c r="N87" s="76"/>
      <c r="O87" s="77"/>
      <c r="P87" s="78"/>
    </row>
    <row r="88" spans="1:16" x14ac:dyDescent="0.45">
      <c r="A88" s="61"/>
      <c r="B88" s="63"/>
      <c r="C88" s="63"/>
      <c r="D88" s="63"/>
      <c r="E88" s="65"/>
      <c r="F88" s="67"/>
      <c r="G88" s="67"/>
      <c r="H88" s="67"/>
      <c r="I88" s="68"/>
      <c r="J88" s="70"/>
      <c r="K88" s="70"/>
      <c r="L88" s="105"/>
      <c r="M88" s="106"/>
      <c r="N88" s="107"/>
      <c r="O88" s="108"/>
      <c r="P88" s="109"/>
    </row>
    <row r="89" spans="1:16" x14ac:dyDescent="0.45">
      <c r="A89" s="61"/>
      <c r="B89" s="63"/>
      <c r="C89" s="63"/>
      <c r="D89" s="63"/>
      <c r="E89" s="65"/>
      <c r="F89" s="67">
        <f>Priorité!G30</f>
        <v>0</v>
      </c>
      <c r="G89" s="67"/>
      <c r="H89" s="67"/>
      <c r="I89" s="68"/>
      <c r="J89" s="70"/>
      <c r="K89" s="70"/>
      <c r="L89" s="72"/>
      <c r="M89" s="73"/>
      <c r="N89" s="76"/>
      <c r="O89" s="77"/>
      <c r="P89" s="78"/>
    </row>
    <row r="90" spans="1:16" x14ac:dyDescent="0.45">
      <c r="A90" s="61"/>
      <c r="B90" s="63"/>
      <c r="C90" s="63"/>
      <c r="D90" s="63"/>
      <c r="E90" s="65"/>
      <c r="F90" s="67"/>
      <c r="G90" s="67"/>
      <c r="H90" s="67"/>
      <c r="I90" s="68"/>
      <c r="J90" s="70"/>
      <c r="K90" s="70"/>
      <c r="L90" s="105"/>
      <c r="M90" s="106"/>
      <c r="N90" s="107"/>
      <c r="O90" s="108"/>
      <c r="P90" s="109"/>
    </row>
    <row r="91" spans="1:16" x14ac:dyDescent="0.45">
      <c r="A91" s="61"/>
      <c r="B91" s="63"/>
      <c r="C91" s="63"/>
      <c r="D91" s="63"/>
      <c r="E91" s="65"/>
      <c r="F91" s="67">
        <f>Priorité!G31</f>
        <v>0</v>
      </c>
      <c r="G91" s="67"/>
      <c r="H91" s="67"/>
      <c r="I91" s="68"/>
      <c r="J91" s="70"/>
      <c r="K91" s="70"/>
      <c r="L91" s="72"/>
      <c r="M91" s="73"/>
      <c r="N91" s="76"/>
      <c r="O91" s="77"/>
      <c r="P91" s="78"/>
    </row>
    <row r="92" spans="1:16" ht="14.65" thickBot="1" x14ac:dyDescent="0.5">
      <c r="A92" s="62"/>
      <c r="B92" s="64"/>
      <c r="C92" s="64"/>
      <c r="D92" s="64"/>
      <c r="E92" s="66"/>
      <c r="F92" s="67"/>
      <c r="G92" s="67"/>
      <c r="H92" s="67"/>
      <c r="I92" s="69"/>
      <c r="J92" s="71"/>
      <c r="K92" s="71"/>
      <c r="L92" s="74"/>
      <c r="M92" s="75"/>
      <c r="N92" s="79"/>
      <c r="O92" s="80"/>
      <c r="P92" s="81"/>
    </row>
    <row r="95" spans="1:16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x14ac:dyDescent="0.4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x14ac:dyDescent="0.4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x14ac:dyDescent="0.4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x14ac:dyDescent="0.4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x14ac:dyDescent="0.4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x14ac:dyDescent="0.4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x14ac:dyDescent="0.4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x14ac:dyDescent="0.4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x14ac:dyDescent="0.4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x14ac:dyDescent="0.4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x14ac:dyDescent="0.4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x14ac:dyDescent="0.4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x14ac:dyDescent="0.4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x14ac:dyDescent="0.4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x14ac:dyDescent="0.4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x14ac:dyDescent="0.4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x14ac:dyDescent="0.4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x14ac:dyDescent="0.4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x14ac:dyDescent="0.4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x14ac:dyDescent="0.4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x14ac:dyDescent="0.4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x14ac:dyDescent="0.4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x14ac:dyDescent="0.4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x14ac:dyDescent="0.4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x14ac:dyDescent="0.4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x14ac:dyDescent="0.4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x14ac:dyDescent="0.4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x14ac:dyDescent="0.4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x14ac:dyDescent="0.4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x14ac:dyDescent="0.4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x14ac:dyDescent="0.4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x14ac:dyDescent="0.4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x14ac:dyDescent="0.4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x14ac:dyDescent="0.4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x14ac:dyDescent="0.4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x14ac:dyDescent="0.4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x14ac:dyDescent="0.4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x14ac:dyDescent="0.4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x14ac:dyDescent="0.4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x14ac:dyDescent="0.4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x14ac:dyDescent="0.4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x14ac:dyDescent="0.4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x14ac:dyDescent="0.4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x14ac:dyDescent="0.4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x14ac:dyDescent="0.4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x14ac:dyDescent="0.4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x14ac:dyDescent="0.4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x14ac:dyDescent="0.4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x14ac:dyDescent="0.4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x14ac:dyDescent="0.4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x14ac:dyDescent="0.4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x14ac:dyDescent="0.4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x14ac:dyDescent="0.4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x14ac:dyDescent="0.4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x14ac:dyDescent="0.4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x14ac:dyDescent="0.4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x14ac:dyDescent="0.4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x14ac:dyDescent="0.4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x14ac:dyDescent="0.4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x14ac:dyDescent="0.4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x14ac:dyDescent="0.4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x14ac:dyDescent="0.4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x14ac:dyDescent="0.4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x14ac:dyDescent="0.4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x14ac:dyDescent="0.4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x14ac:dyDescent="0.4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x14ac:dyDescent="0.4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x14ac:dyDescent="0.4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x14ac:dyDescent="0.4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x14ac:dyDescent="0.4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x14ac:dyDescent="0.4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x14ac:dyDescent="0.4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x14ac:dyDescent="0.4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x14ac:dyDescent="0.4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x14ac:dyDescent="0.4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x14ac:dyDescent="0.4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x14ac:dyDescent="0.4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x14ac:dyDescent="0.4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x14ac:dyDescent="0.4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x14ac:dyDescent="0.4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x14ac:dyDescent="0.4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x14ac:dyDescent="0.4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x14ac:dyDescent="0.4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x14ac:dyDescent="0.4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x14ac:dyDescent="0.4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x14ac:dyDescent="0.4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x14ac:dyDescent="0.4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x14ac:dyDescent="0.4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x14ac:dyDescent="0.4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x14ac:dyDescent="0.4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x14ac:dyDescent="0.4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x14ac:dyDescent="0.4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x14ac:dyDescent="0.4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x14ac:dyDescent="0.4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x14ac:dyDescent="0.4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x14ac:dyDescent="0.4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x14ac:dyDescent="0.4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x14ac:dyDescent="0.4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x14ac:dyDescent="0.4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x14ac:dyDescent="0.4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x14ac:dyDescent="0.4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x14ac:dyDescent="0.4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x14ac:dyDescent="0.4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x14ac:dyDescent="0.4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x14ac:dyDescent="0.4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x14ac:dyDescent="0.4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x14ac:dyDescent="0.4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x14ac:dyDescent="0.4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x14ac:dyDescent="0.4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x14ac:dyDescent="0.4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x14ac:dyDescent="0.4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x14ac:dyDescent="0.4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x14ac:dyDescent="0.4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x14ac:dyDescent="0.4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x14ac:dyDescent="0.4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x14ac:dyDescent="0.4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x14ac:dyDescent="0.4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x14ac:dyDescent="0.4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x14ac:dyDescent="0.4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x14ac:dyDescent="0.4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</sheetData>
  <sheetProtection selectLockedCells="1"/>
  <mergeCells count="331">
    <mergeCell ref="D23:H23"/>
    <mergeCell ref="J20:L20"/>
    <mergeCell ref="J21:L21"/>
    <mergeCell ref="J22:L22"/>
    <mergeCell ref="A20:B20"/>
    <mergeCell ref="A21:B21"/>
    <mergeCell ref="A22:B22"/>
    <mergeCell ref="D20:H20"/>
    <mergeCell ref="B9:D9"/>
    <mergeCell ref="B10:D10"/>
    <mergeCell ref="J18:L18"/>
    <mergeCell ref="J19:L19"/>
    <mergeCell ref="D18:H18"/>
    <mergeCell ref="D19:H19"/>
    <mergeCell ref="D21:H21"/>
    <mergeCell ref="D22:H22"/>
    <mergeCell ref="B11:D11"/>
    <mergeCell ref="B12:D12"/>
    <mergeCell ref="B13:D13"/>
    <mergeCell ref="B14:D14"/>
    <mergeCell ref="B15:D15"/>
    <mergeCell ref="E9:H9"/>
    <mergeCell ref="E10:H10"/>
    <mergeCell ref="E11:H11"/>
    <mergeCell ref="N16:O18"/>
    <mergeCell ref="K13:M13"/>
    <mergeCell ref="K14:M14"/>
    <mergeCell ref="A3:B5"/>
    <mergeCell ref="C3:D5"/>
    <mergeCell ref="N15:O15"/>
    <mergeCell ref="A29:D30"/>
    <mergeCell ref="E29:P30"/>
    <mergeCell ref="D24:H24"/>
    <mergeCell ref="D25:H25"/>
    <mergeCell ref="D26:H26"/>
    <mergeCell ref="J23:L23"/>
    <mergeCell ref="J24:L24"/>
    <mergeCell ref="J25:L25"/>
    <mergeCell ref="J26:L26"/>
    <mergeCell ref="J27:L27"/>
    <mergeCell ref="D27:H27"/>
    <mergeCell ref="A27:B27"/>
    <mergeCell ref="A23:B23"/>
    <mergeCell ref="A24:B24"/>
    <mergeCell ref="A18:B18"/>
    <mergeCell ref="A19:B19"/>
    <mergeCell ref="A25:B25"/>
    <mergeCell ref="A26:B26"/>
    <mergeCell ref="A1:L1"/>
    <mergeCell ref="M1:P1"/>
    <mergeCell ref="E2:F2"/>
    <mergeCell ref="K2:L2"/>
    <mergeCell ref="A2:B2"/>
    <mergeCell ref="C2:D2"/>
    <mergeCell ref="G2:H2"/>
    <mergeCell ref="I2:J2"/>
    <mergeCell ref="G3:H5"/>
    <mergeCell ref="I3:J5"/>
    <mergeCell ref="K3:L5"/>
    <mergeCell ref="O2:P2"/>
    <mergeCell ref="O3:P3"/>
    <mergeCell ref="O4:P4"/>
    <mergeCell ref="B55:D56"/>
    <mergeCell ref="E55:E56"/>
    <mergeCell ref="I55:I56"/>
    <mergeCell ref="J55:K56"/>
    <mergeCell ref="A49:A50"/>
    <mergeCell ref="B49:D50"/>
    <mergeCell ref="E49:E50"/>
    <mergeCell ref="I49:I50"/>
    <mergeCell ref="J49:K50"/>
    <mergeCell ref="A51:A52"/>
    <mergeCell ref="B51:D52"/>
    <mergeCell ref="E51:E52"/>
    <mergeCell ref="I51:I52"/>
    <mergeCell ref="J51:K52"/>
    <mergeCell ref="A46:P47"/>
    <mergeCell ref="F49:H50"/>
    <mergeCell ref="F51:H52"/>
    <mergeCell ref="F53:H54"/>
    <mergeCell ref="F55:H56"/>
    <mergeCell ref="L49:M50"/>
    <mergeCell ref="N49:P50"/>
    <mergeCell ref="L51:M52"/>
    <mergeCell ref="N51:P52"/>
    <mergeCell ref="L53:M54"/>
    <mergeCell ref="N53:P54"/>
    <mergeCell ref="L55:M56"/>
    <mergeCell ref="N55:P56"/>
    <mergeCell ref="B48:D48"/>
    <mergeCell ref="F48:H48"/>
    <mergeCell ref="J48:K48"/>
    <mergeCell ref="L48:M48"/>
    <mergeCell ref="N48:P48"/>
    <mergeCell ref="A53:A54"/>
    <mergeCell ref="B53:D54"/>
    <mergeCell ref="E53:E54"/>
    <mergeCell ref="I53:I54"/>
    <mergeCell ref="J53:K54"/>
    <mergeCell ref="A55:A56"/>
    <mergeCell ref="L57:M58"/>
    <mergeCell ref="N57:P58"/>
    <mergeCell ref="A59:A60"/>
    <mergeCell ref="B59:D60"/>
    <mergeCell ref="E59:E60"/>
    <mergeCell ref="F59:H60"/>
    <mergeCell ref="I59:I60"/>
    <mergeCell ref="J59:K60"/>
    <mergeCell ref="L59:M60"/>
    <mergeCell ref="N59:P60"/>
    <mergeCell ref="A57:A58"/>
    <mergeCell ref="B57:D58"/>
    <mergeCell ref="E57:E58"/>
    <mergeCell ref="I57:I58"/>
    <mergeCell ref="J57:K58"/>
    <mergeCell ref="F57:H58"/>
    <mergeCell ref="A61:A62"/>
    <mergeCell ref="B61:D62"/>
    <mergeCell ref="E61:E62"/>
    <mergeCell ref="F61:H62"/>
    <mergeCell ref="I61:I62"/>
    <mergeCell ref="J61:K62"/>
    <mergeCell ref="L61:M62"/>
    <mergeCell ref="N61:P62"/>
    <mergeCell ref="A63:A64"/>
    <mergeCell ref="B63:D64"/>
    <mergeCell ref="E63:E64"/>
    <mergeCell ref="F63:H64"/>
    <mergeCell ref="I63:I64"/>
    <mergeCell ref="J63:K64"/>
    <mergeCell ref="L63:M64"/>
    <mergeCell ref="N63:P64"/>
    <mergeCell ref="A65:A66"/>
    <mergeCell ref="B65:D66"/>
    <mergeCell ref="E65:E66"/>
    <mergeCell ref="F65:H66"/>
    <mergeCell ref="I65:I66"/>
    <mergeCell ref="J65:K66"/>
    <mergeCell ref="L65:M66"/>
    <mergeCell ref="N65:P66"/>
    <mergeCell ref="A67:A68"/>
    <mergeCell ref="B67:D68"/>
    <mergeCell ref="E67:E68"/>
    <mergeCell ref="F67:H68"/>
    <mergeCell ref="I67:I68"/>
    <mergeCell ref="J67:K68"/>
    <mergeCell ref="L67:M68"/>
    <mergeCell ref="N67:P68"/>
    <mergeCell ref="A69:A70"/>
    <mergeCell ref="B69:D70"/>
    <mergeCell ref="E69:E70"/>
    <mergeCell ref="F69:H70"/>
    <mergeCell ref="I69:I70"/>
    <mergeCell ref="J69:K70"/>
    <mergeCell ref="L69:M70"/>
    <mergeCell ref="N69:P70"/>
    <mergeCell ref="A71:A72"/>
    <mergeCell ref="B71:D72"/>
    <mergeCell ref="E71:E72"/>
    <mergeCell ref="F71:H72"/>
    <mergeCell ref="I71:I72"/>
    <mergeCell ref="J71:K72"/>
    <mergeCell ref="L71:M72"/>
    <mergeCell ref="N71:P72"/>
    <mergeCell ref="A73:A74"/>
    <mergeCell ref="B73:D74"/>
    <mergeCell ref="E73:E74"/>
    <mergeCell ref="F73:H74"/>
    <mergeCell ref="I73:I74"/>
    <mergeCell ref="J73:K74"/>
    <mergeCell ref="L73:M74"/>
    <mergeCell ref="N73:P74"/>
    <mergeCell ref="A75:A76"/>
    <mergeCell ref="B75:D76"/>
    <mergeCell ref="E75:E76"/>
    <mergeCell ref="F75:H76"/>
    <mergeCell ref="I75:I76"/>
    <mergeCell ref="J75:K76"/>
    <mergeCell ref="L75:M76"/>
    <mergeCell ref="N75:P76"/>
    <mergeCell ref="A77:A78"/>
    <mergeCell ref="B77:D78"/>
    <mergeCell ref="E77:E78"/>
    <mergeCell ref="F77:H78"/>
    <mergeCell ref="I77:I78"/>
    <mergeCell ref="J77:K78"/>
    <mergeCell ref="L77:M78"/>
    <mergeCell ref="N77:P78"/>
    <mergeCell ref="A79:A80"/>
    <mergeCell ref="B79:D80"/>
    <mergeCell ref="E79:E80"/>
    <mergeCell ref="F79:H80"/>
    <mergeCell ref="I79:I80"/>
    <mergeCell ref="J79:K80"/>
    <mergeCell ref="L79:M80"/>
    <mergeCell ref="N79:P80"/>
    <mergeCell ref="A81:A82"/>
    <mergeCell ref="B81:D82"/>
    <mergeCell ref="E81:E82"/>
    <mergeCell ref="F81:H82"/>
    <mergeCell ref="I81:I82"/>
    <mergeCell ref="J81:K82"/>
    <mergeCell ref="L81:M82"/>
    <mergeCell ref="N81:P82"/>
    <mergeCell ref="A83:A84"/>
    <mergeCell ref="B83:D84"/>
    <mergeCell ref="E83:E84"/>
    <mergeCell ref="F83:H84"/>
    <mergeCell ref="I83:I84"/>
    <mergeCell ref="J83:K84"/>
    <mergeCell ref="L83:M84"/>
    <mergeCell ref="N83:P84"/>
    <mergeCell ref="A89:A90"/>
    <mergeCell ref="B89:D90"/>
    <mergeCell ref="E89:E90"/>
    <mergeCell ref="F89:H90"/>
    <mergeCell ref="I89:I90"/>
    <mergeCell ref="J89:K90"/>
    <mergeCell ref="L89:M90"/>
    <mergeCell ref="N89:P90"/>
    <mergeCell ref="A85:A86"/>
    <mergeCell ref="B85:D86"/>
    <mergeCell ref="E85:E86"/>
    <mergeCell ref="F85:H86"/>
    <mergeCell ref="I85:I86"/>
    <mergeCell ref="J85:K86"/>
    <mergeCell ref="L85:M86"/>
    <mergeCell ref="N85:P86"/>
    <mergeCell ref="A87:A88"/>
    <mergeCell ref="B87:D88"/>
    <mergeCell ref="E87:E88"/>
    <mergeCell ref="F87:H88"/>
    <mergeCell ref="I87:I88"/>
    <mergeCell ref="J87:K88"/>
    <mergeCell ref="L87:M88"/>
    <mergeCell ref="N87:P88"/>
    <mergeCell ref="A31:B31"/>
    <mergeCell ref="F31:I31"/>
    <mergeCell ref="O31:P31"/>
    <mergeCell ref="C32:D32"/>
    <mergeCell ref="C33:D33"/>
    <mergeCell ref="C34:D34"/>
    <mergeCell ref="L32:L33"/>
    <mergeCell ref="M32:M33"/>
    <mergeCell ref="N32:N33"/>
    <mergeCell ref="O32:P33"/>
    <mergeCell ref="L34:L35"/>
    <mergeCell ref="M34:M35"/>
    <mergeCell ref="N34:N35"/>
    <mergeCell ref="O34:P35"/>
    <mergeCell ref="C31:D31"/>
    <mergeCell ref="C40:D40"/>
    <mergeCell ref="C41:D41"/>
    <mergeCell ref="F32:I33"/>
    <mergeCell ref="E32:E33"/>
    <mergeCell ref="J32:J33"/>
    <mergeCell ref="K32:K33"/>
    <mergeCell ref="E34:E35"/>
    <mergeCell ref="F34:I35"/>
    <mergeCell ref="J34:J35"/>
    <mergeCell ref="K34:K35"/>
    <mergeCell ref="E36:E37"/>
    <mergeCell ref="F36:I37"/>
    <mergeCell ref="J36:J37"/>
    <mergeCell ref="K36:K37"/>
    <mergeCell ref="E40:E41"/>
    <mergeCell ref="F40:I41"/>
    <mergeCell ref="J40:J41"/>
    <mergeCell ref="K40:K41"/>
    <mergeCell ref="C35:D35"/>
    <mergeCell ref="C36:D36"/>
    <mergeCell ref="C37:D37"/>
    <mergeCell ref="C38:D38"/>
    <mergeCell ref="C39:D39"/>
    <mergeCell ref="K44:K45"/>
    <mergeCell ref="L44:L45"/>
    <mergeCell ref="M44:M45"/>
    <mergeCell ref="O36:P37"/>
    <mergeCell ref="E38:E39"/>
    <mergeCell ref="F38:I39"/>
    <mergeCell ref="J38:J39"/>
    <mergeCell ref="K38:K39"/>
    <mergeCell ref="L38:L39"/>
    <mergeCell ref="M38:M39"/>
    <mergeCell ref="N38:N39"/>
    <mergeCell ref="O38:P39"/>
    <mergeCell ref="N44:N45"/>
    <mergeCell ref="O44:P45"/>
    <mergeCell ref="L40:L41"/>
    <mergeCell ref="M40:M41"/>
    <mergeCell ref="N40:N41"/>
    <mergeCell ref="L36:L37"/>
    <mergeCell ref="M36:M37"/>
    <mergeCell ref="N36:N37"/>
    <mergeCell ref="A91:A92"/>
    <mergeCell ref="B91:D92"/>
    <mergeCell ref="E91:E92"/>
    <mergeCell ref="F91:H92"/>
    <mergeCell ref="I91:I92"/>
    <mergeCell ref="J91:K92"/>
    <mergeCell ref="L91:M92"/>
    <mergeCell ref="N91:P92"/>
    <mergeCell ref="O40:P41"/>
    <mergeCell ref="C42:D42"/>
    <mergeCell ref="C43:D43"/>
    <mergeCell ref="C44:D44"/>
    <mergeCell ref="C45:D45"/>
    <mergeCell ref="E42:E43"/>
    <mergeCell ref="F42:I43"/>
    <mergeCell ref="J42:J43"/>
    <mergeCell ref="K42:K43"/>
    <mergeCell ref="L42:L43"/>
    <mergeCell ref="M42:M43"/>
    <mergeCell ref="N42:N43"/>
    <mergeCell ref="O42:P43"/>
    <mergeCell ref="E44:E45"/>
    <mergeCell ref="F44:I45"/>
    <mergeCell ref="J44:J45"/>
    <mergeCell ref="E12:H12"/>
    <mergeCell ref="E13:H13"/>
    <mergeCell ref="E14:H14"/>
    <mergeCell ref="E15:H15"/>
    <mergeCell ref="O5:P5"/>
    <mergeCell ref="K9:M9"/>
    <mergeCell ref="K10:M10"/>
    <mergeCell ref="K11:M11"/>
    <mergeCell ref="K12:M12"/>
    <mergeCell ref="K15:M15"/>
    <mergeCell ref="B8:H8"/>
    <mergeCell ref="K8:M8"/>
    <mergeCell ref="A6:P6"/>
  </mergeCells>
  <conditionalFormatting sqref="A49:B49 E49 I49:J49 N49 A51:B51 E51 I51:J51 N51 A53:B53 E53 I53:J53 N53 A55:B55 E55 I55:J55 N55 A57:B57 E57 I57:J57 N57 A59:B59 E59 I59:J59 N59 A61:B61 E61 I61:J61 N61 A63:B63 E63 I63:J63 N63 A65:B65 E65 I65:J65 N65 A67:B67 E67 I67:J67 N67 A69:B69 E69 I69:J69 N69 A71:B71 E71 I71:J71 N71 A73:B73 E73 I73:J73 N73 A75:B75 E75 I75:J75 N75 A77:B77 E77 I77:J77 N77 A79:B79 E79 I79:J79 N79 A81:B81 E81 I81:J81 N81 A83:B83 E83 I83:J83 N83 A85:B85 E85 I85:J85 N85 A87:B87 E87 I87:J87 N87 A89:B89 E89 I89:J89 N89 A91:B91 E91 I91:J91 N91">
    <cfRule type="expression" dxfId="55" priority="48">
      <formula>$N$22="Abandon"</formula>
    </cfRule>
  </conditionalFormatting>
  <conditionalFormatting sqref="A49:B49 E49 J49 N49 A51:B51 E51 J51 N51 A53:B53 E53 J53 N53 A55:B55 E55 J55 N55 A57:B57 E57 J57 N57 A59:B59 E59 J59 N59 A61:B61 E61 J61 N61 A63:B63 E63 J63 N63 A65:B65 E65 J65 N65 A67:B67 E67 J67 N67 A69:B69 E69 J69 N69 A71:B71 E71 J71 N71 A73:B73 E73 J73 N73 A75:B75 E75 J75 N75 A77:B77 E77 J77 N77 A79:B79 E79 J79 N79 A81:B81 E81 J81 N81 A83:B83 E83 J83 N83 A85:B85 E85 J85 N85 A87:B87 E87 J87 N87 A89:B89 E89 J89 N89 A91:B91 E91 J91 N91">
    <cfRule type="expression" dxfId="54" priority="49">
      <formula>$N$22="Réalisée"</formula>
    </cfRule>
  </conditionalFormatting>
  <conditionalFormatting sqref="A49:E50 I49:P50">
    <cfRule type="expression" dxfId="53" priority="22">
      <formula>$L$49="Résolution du Pb"</formula>
    </cfRule>
  </conditionalFormatting>
  <conditionalFormatting sqref="A51:E52 I51:P52">
    <cfRule type="expression" dxfId="52" priority="21">
      <formula>$L$51="Résolution du Pb"</formula>
    </cfRule>
  </conditionalFormatting>
  <conditionalFormatting sqref="A53:E54 I53:P54">
    <cfRule type="expression" dxfId="51" priority="20">
      <formula>$L$53="Résolution du Pb"</formula>
    </cfRule>
  </conditionalFormatting>
  <conditionalFormatting sqref="A55:E56 I55:P56">
    <cfRule type="expression" dxfId="50" priority="19">
      <formula>$L$55="Résolution du Pb"</formula>
    </cfRule>
  </conditionalFormatting>
  <conditionalFormatting sqref="A57:E58 I57:P58">
    <cfRule type="expression" dxfId="49" priority="18">
      <formula>$L$57="Résolution du Pb"</formula>
    </cfRule>
  </conditionalFormatting>
  <conditionalFormatting sqref="A59:E60 I59:P60">
    <cfRule type="expression" dxfId="48" priority="17">
      <formula>$L$59="Résolution du Pb"</formula>
    </cfRule>
  </conditionalFormatting>
  <conditionalFormatting sqref="A61:E62 I61:P62">
    <cfRule type="expression" dxfId="47" priority="16">
      <formula>$L$61="Résolution du Pb"</formula>
    </cfRule>
  </conditionalFormatting>
  <conditionalFormatting sqref="A63:E64 I63:P64">
    <cfRule type="expression" dxfId="46" priority="15">
      <formula>$L$63="Résolution du Pb"</formula>
    </cfRule>
  </conditionalFormatting>
  <conditionalFormatting sqref="A65:E66 I65:P66">
    <cfRule type="expression" dxfId="45" priority="14">
      <formula>$L$65="Résolution du Pb"</formula>
    </cfRule>
  </conditionalFormatting>
  <conditionalFormatting sqref="A67:E68 I67:P68">
    <cfRule type="expression" dxfId="44" priority="13">
      <formula>$L$67="Résolution du Pb"</formula>
    </cfRule>
  </conditionalFormatting>
  <conditionalFormatting sqref="A69:E70 I69:P70">
    <cfRule type="expression" dxfId="43" priority="12">
      <formula>$L$69="Résolution du Pb"</formula>
    </cfRule>
  </conditionalFormatting>
  <conditionalFormatting sqref="A71:E72 I71:P72">
    <cfRule type="expression" dxfId="42" priority="11">
      <formula>$L$71="Résolution du Pb"</formula>
    </cfRule>
  </conditionalFormatting>
  <conditionalFormatting sqref="A73:E74 I73:P74">
    <cfRule type="expression" dxfId="41" priority="10">
      <formula>$L$73="Résolution du Pb"</formula>
    </cfRule>
  </conditionalFormatting>
  <conditionalFormatting sqref="A75:E76 I75:P76">
    <cfRule type="expression" dxfId="40" priority="9">
      <formula>$L$75="Résolution du Pb"</formula>
    </cfRule>
  </conditionalFormatting>
  <conditionalFormatting sqref="A77:E78 I77:P78">
    <cfRule type="expression" dxfId="39" priority="8">
      <formula>$L$77="Résolution du Pb"</formula>
    </cfRule>
  </conditionalFormatting>
  <conditionalFormatting sqref="A79:E80 I79:P80">
    <cfRule type="expression" dxfId="38" priority="7">
      <formula>$L$79="Résolution du Pb"</formula>
    </cfRule>
  </conditionalFormatting>
  <conditionalFormatting sqref="A81:E82 I81:P82">
    <cfRule type="expression" dxfId="37" priority="6">
      <formula>$L$81="Résolution du Pb"</formula>
    </cfRule>
  </conditionalFormatting>
  <conditionalFormatting sqref="A83:E84 I83:P84">
    <cfRule type="expression" dxfId="36" priority="5">
      <formula>$L$83="Résolution du Pb"</formula>
    </cfRule>
  </conditionalFormatting>
  <conditionalFormatting sqref="A85:E86 I85:P86">
    <cfRule type="expression" dxfId="35" priority="4">
      <formula>$L$85="Résolution du Pb"</formula>
    </cfRule>
  </conditionalFormatting>
  <conditionalFormatting sqref="A87:E88 I87:P88">
    <cfRule type="expression" dxfId="34" priority="3">
      <formula>$L$87="Résolution du Pb"</formula>
    </cfRule>
  </conditionalFormatting>
  <conditionalFormatting sqref="A89:E90 I89:P90">
    <cfRule type="expression" dxfId="33" priority="2">
      <formula>$L$89="Résolution du Pb"</formula>
    </cfRule>
  </conditionalFormatting>
  <conditionalFormatting sqref="A91:E92 I91:P92">
    <cfRule type="expression" dxfId="32" priority="1">
      <formula>$L$91="Résolution du Pb"</formula>
    </cfRule>
  </conditionalFormatting>
  <conditionalFormatting sqref="E34:J35 L34:P35">
    <cfRule type="expression" dxfId="31" priority="30">
      <formula>$N$34="Résolution du Pb"</formula>
    </cfRule>
  </conditionalFormatting>
  <conditionalFormatting sqref="E36:J37 L36:P37">
    <cfRule type="expression" dxfId="30" priority="29">
      <formula>$N$36="Résolution du Pb"</formula>
    </cfRule>
  </conditionalFormatting>
  <conditionalFormatting sqref="E38:J39 L38:P39 M40:M45">
    <cfRule type="expression" dxfId="29" priority="28">
      <formula>$N$38="Résolution du Pb"</formula>
    </cfRule>
  </conditionalFormatting>
  <conditionalFormatting sqref="E40:J41 L40:L41 N40:P41">
    <cfRule type="expression" dxfId="28" priority="27">
      <formula>$N$40="Résolution du Pb"</formula>
    </cfRule>
  </conditionalFormatting>
  <conditionalFormatting sqref="E42:J43 L42:L43 N42:P43">
    <cfRule type="expression" dxfId="27" priority="24">
      <formula>$N$42="Résolution du Pb"</formula>
    </cfRule>
  </conditionalFormatting>
  <conditionalFormatting sqref="E44:J45 L44:L45 N44:P45">
    <cfRule type="expression" dxfId="26" priority="23">
      <formula>$N$44="Résolution du Pb"</formula>
    </cfRule>
  </conditionalFormatting>
  <conditionalFormatting sqref="F49 F51 F53 F55 F57 F59 F61 F63 F65 F67 F69 F71 F73 F75 F77 F79 F81 F83 F85 F87 F89 F91">
    <cfRule type="cellIs" dxfId="25" priority="58" operator="equal">
      <formula>0</formula>
    </cfRule>
    <cfRule type="cellIs" dxfId="24" priority="54" operator="equal">
      <formula>5</formula>
    </cfRule>
    <cfRule type="cellIs" dxfId="23" priority="55" operator="equal">
      <formula>4</formula>
    </cfRule>
    <cfRule type="cellIs" dxfId="22" priority="56" operator="equal">
      <formula>6</formula>
    </cfRule>
    <cfRule type="cellIs" dxfId="21" priority="57" operator="equal">
      <formula>3</formula>
    </cfRule>
  </conditionalFormatting>
  <conditionalFormatting sqref="I49 I51 I53 I55 I57 I59 I61 I63 I65 I67 I69 I71 I73 I75 I77 I79 I81 I83 I85 I87 I89 I91">
    <cfRule type="cellIs" dxfId="20" priority="50" operator="equal">
      <formula>#REF!</formula>
    </cfRule>
    <cfRule type="cellIs" dxfId="19" priority="51" operator="equal">
      <formula>#REF!</formula>
    </cfRule>
    <cfRule type="cellIs" dxfId="18" priority="53" operator="equal">
      <formula>#REF!</formula>
    </cfRule>
    <cfRule type="cellIs" dxfId="17" priority="52" operator="equal">
      <formula>#REF!</formula>
    </cfRule>
  </conditionalFormatting>
  <conditionalFormatting sqref="K32 K34 K36 K38 K40 K42 K44">
    <cfRule type="cellIs" dxfId="16" priority="66" operator="equal">
      <formula>5</formula>
    </cfRule>
    <cfRule type="cellIs" dxfId="15" priority="67" operator="equal">
      <formula>4</formula>
    </cfRule>
    <cfRule type="cellIs" dxfId="14" priority="68" operator="equal">
      <formula>6</formula>
    </cfRule>
    <cfRule type="cellIs" dxfId="13" priority="69" operator="equal">
      <formula>3</formula>
    </cfRule>
    <cfRule type="cellIs" dxfId="12" priority="70" operator="equal">
      <formula>0</formula>
    </cfRule>
  </conditionalFormatting>
  <conditionalFormatting sqref="L49 L51 L53 L55 L57 L59 L61 L63 L65 L67 L69 L71 L73 L75 L77 L79 L81 L83 L85 L87 L89 L91">
    <cfRule type="expression" dxfId="11" priority="37">
      <formula>$N$22="Abandon"</formula>
    </cfRule>
    <cfRule type="cellIs" dxfId="10" priority="38" operator="equal">
      <formula>#REF!</formula>
    </cfRule>
    <cfRule type="cellIs" dxfId="9" priority="39" operator="equal">
      <formula>#REF!</formula>
    </cfRule>
    <cfRule type="cellIs" dxfId="8" priority="40" operator="equal">
      <formula>#REF!</formula>
    </cfRule>
    <cfRule type="cellIs" dxfId="7" priority="41" operator="equal">
      <formula>#REF!</formula>
    </cfRule>
  </conditionalFormatting>
  <conditionalFormatting sqref="L32:M32 E32:J33 N32:P33">
    <cfRule type="expression" dxfId="6" priority="71">
      <formula>$N$32="Résolution du Pb"</formula>
    </cfRule>
  </conditionalFormatting>
  <pageMargins left="0.25" right="0.25" top="0.75" bottom="0.75" header="0.3" footer="0.3"/>
  <pageSetup paperSize="8" orientation="landscape" r:id="rId1"/>
  <headerFooter>
    <oddHeader>&amp;L&amp;G&amp;C&amp;"-,Gras"&amp;22&amp;UKIT RESOLUTION PANNES IMPORTANTES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000-000000000000}">
          <x14:formula1>
            <xm:f>'liste des champs'!$A$2:$A$5</xm:f>
          </x14:formula1>
          <xm:sqref>L49 L51 L53 L55 L57 L59 L61 L63 L65 L67 L69 L71 L73 L75 L77 L79 L81 L83 L85 L87 L91 L89 N32:N45</xm:sqref>
        </x14:dataValidation>
        <x14:dataValidation type="list" allowBlank="1" showInputMessage="1" xr:uid="{00000000-0002-0000-0000-000001000000}">
          <x14:formula1>
            <xm:f>'liste des champs'!$B$2:$B$18</xm:f>
          </x14:formula1>
          <xm:sqref>E49:E92</xm:sqref>
        </x14:dataValidation>
        <x14:dataValidation type="list" allowBlank="1" showInputMessage="1" showErrorMessage="1" xr:uid="{00000000-0002-0000-0000-000002000000}">
          <x14:formula1>
            <xm:f>'liste des champs'!$C$2:$C$3</xm:f>
          </x14:formula1>
          <xm:sqref>J49:K92 M32:M45</xm:sqref>
        </x14:dataValidation>
        <x14:dataValidation type="list" allowBlank="1" showInputMessage="1" showErrorMessage="1" xr:uid="{00000000-0002-0000-0000-000003000000}">
          <x14:formula1>
            <xm:f>'liste des champs'!$B$2:$B$18</xm:f>
          </x14:formula1>
          <xm:sqref>J32:J45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E10" sqref="E10:F10"/>
    </sheetView>
  </sheetViews>
  <sheetFormatPr baseColWidth="10" defaultRowHeight="30" customHeight="1" x14ac:dyDescent="0.45"/>
  <cols>
    <col min="1" max="1" width="11.3984375" style="17"/>
    <col min="2" max="2" width="27" style="17" customWidth="1"/>
    <col min="9" max="9" width="35.1328125" customWidth="1"/>
  </cols>
  <sheetData>
    <row r="1" spans="1:9" ht="54" customHeight="1" x14ac:dyDescent="0.45">
      <c r="A1" s="200" t="s">
        <v>42</v>
      </c>
      <c r="B1" s="200"/>
      <c r="C1" s="200"/>
      <c r="D1" s="200"/>
      <c r="E1" s="200"/>
      <c r="F1" s="200"/>
      <c r="G1" s="200"/>
      <c r="H1" s="200"/>
      <c r="I1" s="200"/>
    </row>
    <row r="2" spans="1:9" ht="13.5" customHeight="1" x14ac:dyDescent="0.45">
      <c r="A2" s="205" t="s">
        <v>7</v>
      </c>
      <c r="B2" s="206"/>
      <c r="C2" s="202" t="s">
        <v>41</v>
      </c>
      <c r="D2" s="203"/>
      <c r="E2" s="204" t="s">
        <v>40</v>
      </c>
      <c r="F2" s="204"/>
      <c r="G2" s="26" t="s">
        <v>39</v>
      </c>
      <c r="H2" s="25"/>
      <c r="I2" s="24"/>
    </row>
    <row r="3" spans="1:9" ht="30" customHeight="1" x14ac:dyDescent="0.45">
      <c r="A3" s="201" t="str">
        <f>'Feuille du KRPI'!F32</f>
        <v>Nettoyage tête de lecture</v>
      </c>
      <c r="B3" s="201"/>
      <c r="C3" s="198">
        <v>4</v>
      </c>
      <c r="D3" s="199"/>
      <c r="E3" s="197">
        <v>1</v>
      </c>
      <c r="F3" s="197"/>
      <c r="G3" s="18">
        <f t="shared" ref="G3:G28" si="0">SUM(C3:F3)</f>
        <v>5</v>
      </c>
      <c r="H3" s="23"/>
      <c r="I3" s="22"/>
    </row>
    <row r="4" spans="1:9" ht="30" customHeight="1" x14ac:dyDescent="0.45">
      <c r="A4" s="201" t="str">
        <f>'Feuille du KRPI'!F34</f>
        <v>Vérifier les câbles s'ils ne sont pas pincés</v>
      </c>
      <c r="B4" s="201"/>
      <c r="C4" s="198">
        <v>4</v>
      </c>
      <c r="D4" s="199"/>
      <c r="E4" s="197">
        <v>2</v>
      </c>
      <c r="F4" s="197"/>
      <c r="G4" s="18">
        <f t="shared" si="0"/>
        <v>6</v>
      </c>
      <c r="H4" s="23"/>
      <c r="I4" s="22"/>
    </row>
    <row r="5" spans="1:9" ht="30" customHeight="1" x14ac:dyDescent="0.45">
      <c r="A5" s="201" t="str">
        <f>'Feuille du KRPI'!F36</f>
        <v>Modifier la position de la tête de lecture</v>
      </c>
      <c r="B5" s="201"/>
      <c r="C5" s="198">
        <v>4</v>
      </c>
      <c r="D5" s="199"/>
      <c r="E5" s="197">
        <v>1</v>
      </c>
      <c r="F5" s="197"/>
      <c r="G5" s="18">
        <f t="shared" si="0"/>
        <v>5</v>
      </c>
      <c r="H5" s="23"/>
      <c r="I5" s="22"/>
    </row>
    <row r="6" spans="1:9" ht="30" customHeight="1" x14ac:dyDescent="0.45">
      <c r="A6" s="201" t="str">
        <f>'Feuille du KRPI'!F38</f>
        <v>Vérifier si la température est hors tolérance</v>
      </c>
      <c r="B6" s="201"/>
      <c r="C6" s="198">
        <v>2</v>
      </c>
      <c r="D6" s="199"/>
      <c r="E6" s="197">
        <v>1</v>
      </c>
      <c r="F6" s="197"/>
      <c r="G6" s="18">
        <f t="shared" si="0"/>
        <v>3</v>
      </c>
      <c r="H6" s="23"/>
      <c r="I6" s="22"/>
    </row>
    <row r="7" spans="1:9" ht="30" customHeight="1" x14ac:dyDescent="0.45">
      <c r="A7" s="201" t="str">
        <f>'Feuille du KRPI'!F40</f>
        <v>Voir si les dernières maintenances préventives ont été bien réalisées</v>
      </c>
      <c r="B7" s="201"/>
      <c r="C7" s="198">
        <v>4</v>
      </c>
      <c r="D7" s="199"/>
      <c r="E7" s="197">
        <v>1</v>
      </c>
      <c r="F7" s="197"/>
      <c r="G7" s="18">
        <f t="shared" si="0"/>
        <v>5</v>
      </c>
      <c r="H7" s="23"/>
      <c r="I7" s="22"/>
    </row>
    <row r="8" spans="1:9" ht="30" customHeight="1" x14ac:dyDescent="0.45">
      <c r="A8" s="201" t="str">
        <f>'Feuille du KRPI'!F42</f>
        <v>Verifier si le technicien qui a fait la maintenance preventive est bien formé</v>
      </c>
      <c r="B8" s="201"/>
      <c r="C8" s="198">
        <v>2</v>
      </c>
      <c r="D8" s="199"/>
      <c r="E8" s="197">
        <v>1</v>
      </c>
      <c r="F8" s="197"/>
      <c r="G8" s="18">
        <f t="shared" si="0"/>
        <v>3</v>
      </c>
      <c r="H8" s="23"/>
      <c r="I8" s="22"/>
    </row>
    <row r="9" spans="1:9" ht="30" customHeight="1" x14ac:dyDescent="0.45">
      <c r="A9" s="201" t="str">
        <f>'Feuille du KRPI'!F44</f>
        <v>Vérifier si fréquence de déclanchement de la gamme est bien adapté</v>
      </c>
      <c r="B9" s="201"/>
      <c r="C9" s="198">
        <v>4</v>
      </c>
      <c r="D9" s="199"/>
      <c r="E9" s="197">
        <v>1</v>
      </c>
      <c r="F9" s="197"/>
      <c r="G9" s="18">
        <f t="shared" ref="G9" si="1">SUM(C9:F9)</f>
        <v>5</v>
      </c>
      <c r="H9" s="23"/>
      <c r="I9" s="22"/>
    </row>
    <row r="10" spans="1:9" ht="30" customHeight="1" x14ac:dyDescent="0.45">
      <c r="A10" s="201" t="str">
        <f>'Feuille du KRPI'!B49</f>
        <v>Vérifier si graisse appliquée est bien la bonne</v>
      </c>
      <c r="B10" s="201"/>
      <c r="C10" s="198">
        <v>2</v>
      </c>
      <c r="D10" s="199"/>
      <c r="E10" s="197">
        <v>2</v>
      </c>
      <c r="F10" s="197"/>
      <c r="G10" s="18">
        <f t="shared" si="0"/>
        <v>4</v>
      </c>
      <c r="H10" s="23"/>
      <c r="I10" s="22"/>
    </row>
    <row r="11" spans="1:9" ht="30" customHeight="1" x14ac:dyDescent="0.45">
      <c r="A11" s="201">
        <f>'Feuille du KRPI'!B51</f>
        <v>0</v>
      </c>
      <c r="B11" s="201"/>
      <c r="C11" s="198"/>
      <c r="D11" s="199"/>
      <c r="E11" s="197"/>
      <c r="F11" s="197"/>
      <c r="G11" s="18">
        <f t="shared" si="0"/>
        <v>0</v>
      </c>
      <c r="H11" s="23"/>
      <c r="I11" s="22"/>
    </row>
    <row r="12" spans="1:9" ht="30" customHeight="1" x14ac:dyDescent="0.45">
      <c r="A12" s="201">
        <f>'Feuille du KRPI'!B53</f>
        <v>0</v>
      </c>
      <c r="B12" s="201"/>
      <c r="C12" s="198"/>
      <c r="D12" s="199"/>
      <c r="E12" s="197"/>
      <c r="F12" s="197"/>
      <c r="G12" s="18">
        <f t="shared" si="0"/>
        <v>0</v>
      </c>
      <c r="H12" s="21"/>
      <c r="I12" s="20"/>
    </row>
    <row r="13" spans="1:9" ht="30" customHeight="1" x14ac:dyDescent="0.45">
      <c r="A13" s="201">
        <f>'Feuille du KRPI'!B55</f>
        <v>0</v>
      </c>
      <c r="B13" s="201"/>
      <c r="C13" s="198"/>
      <c r="D13" s="199"/>
      <c r="E13" s="197"/>
      <c r="F13" s="197"/>
      <c r="G13" s="18">
        <f t="shared" si="0"/>
        <v>0</v>
      </c>
      <c r="H13" s="19"/>
      <c r="I13" s="19"/>
    </row>
    <row r="14" spans="1:9" ht="30" customHeight="1" x14ac:dyDescent="0.45">
      <c r="A14" s="201">
        <f>'Feuille du KRPI'!B57</f>
        <v>0</v>
      </c>
      <c r="B14" s="201"/>
      <c r="C14" s="198"/>
      <c r="D14" s="199"/>
      <c r="E14" s="197"/>
      <c r="F14" s="197"/>
      <c r="G14" s="18">
        <f t="shared" si="0"/>
        <v>0</v>
      </c>
    </row>
    <row r="15" spans="1:9" ht="30" customHeight="1" x14ac:dyDescent="0.45">
      <c r="A15" s="201">
        <f>'Feuille du KRPI'!B59</f>
        <v>0</v>
      </c>
      <c r="B15" s="201"/>
      <c r="C15" s="198"/>
      <c r="D15" s="199"/>
      <c r="E15" s="197"/>
      <c r="F15" s="197"/>
      <c r="G15" s="18">
        <f t="shared" si="0"/>
        <v>0</v>
      </c>
    </row>
    <row r="16" spans="1:9" ht="30" customHeight="1" x14ac:dyDescent="0.45">
      <c r="A16" s="201">
        <f>'Feuille du KRPI'!B61</f>
        <v>0</v>
      </c>
      <c r="B16" s="201"/>
      <c r="C16" s="198"/>
      <c r="D16" s="199"/>
      <c r="E16" s="197"/>
      <c r="F16" s="197"/>
      <c r="G16" s="18">
        <f t="shared" si="0"/>
        <v>0</v>
      </c>
    </row>
    <row r="17" spans="1:7" ht="30" customHeight="1" x14ac:dyDescent="0.45">
      <c r="A17" s="201">
        <f>'Feuille du KRPI'!B63</f>
        <v>0</v>
      </c>
      <c r="B17" s="201"/>
      <c r="C17" s="198"/>
      <c r="D17" s="199"/>
      <c r="E17" s="197"/>
      <c r="F17" s="197"/>
      <c r="G17" s="18">
        <f t="shared" si="0"/>
        <v>0</v>
      </c>
    </row>
    <row r="18" spans="1:7" ht="30" customHeight="1" x14ac:dyDescent="0.45">
      <c r="A18" s="201">
        <f>'Feuille du KRPI'!B65</f>
        <v>0</v>
      </c>
      <c r="B18" s="201"/>
      <c r="C18" s="198"/>
      <c r="D18" s="199"/>
      <c r="E18" s="197"/>
      <c r="F18" s="197"/>
      <c r="G18" s="18">
        <f t="shared" si="0"/>
        <v>0</v>
      </c>
    </row>
    <row r="19" spans="1:7" ht="30" customHeight="1" x14ac:dyDescent="0.45">
      <c r="A19" s="201">
        <f>'Feuille du KRPI'!B67</f>
        <v>0</v>
      </c>
      <c r="B19" s="201"/>
      <c r="C19" s="198"/>
      <c r="D19" s="199"/>
      <c r="E19" s="197"/>
      <c r="F19" s="197"/>
      <c r="G19" s="18">
        <f t="shared" si="0"/>
        <v>0</v>
      </c>
    </row>
    <row r="20" spans="1:7" ht="30" customHeight="1" x14ac:dyDescent="0.45">
      <c r="A20" s="201">
        <f>'Feuille du KRPI'!B69</f>
        <v>0</v>
      </c>
      <c r="B20" s="201"/>
      <c r="C20" s="198"/>
      <c r="D20" s="199"/>
      <c r="E20" s="197"/>
      <c r="F20" s="197"/>
      <c r="G20" s="18">
        <f t="shared" si="0"/>
        <v>0</v>
      </c>
    </row>
    <row r="21" spans="1:7" ht="30" customHeight="1" x14ac:dyDescent="0.45">
      <c r="A21" s="201">
        <f>'Feuille du KRPI'!B71</f>
        <v>0</v>
      </c>
      <c r="B21" s="201"/>
      <c r="C21" s="198"/>
      <c r="D21" s="199"/>
      <c r="E21" s="197"/>
      <c r="F21" s="197"/>
      <c r="G21" s="18">
        <f t="shared" si="0"/>
        <v>0</v>
      </c>
    </row>
    <row r="22" spans="1:7" ht="30" customHeight="1" x14ac:dyDescent="0.45">
      <c r="A22" s="201">
        <f>'Feuille du KRPI'!B73</f>
        <v>0</v>
      </c>
      <c r="B22" s="201"/>
      <c r="C22" s="198"/>
      <c r="D22" s="199"/>
      <c r="E22" s="197"/>
      <c r="F22" s="197"/>
      <c r="G22" s="18">
        <f t="shared" si="0"/>
        <v>0</v>
      </c>
    </row>
    <row r="23" spans="1:7" ht="30" customHeight="1" x14ac:dyDescent="0.45">
      <c r="A23" s="201">
        <f>'Feuille du KRPI'!B75</f>
        <v>0</v>
      </c>
      <c r="B23" s="201"/>
      <c r="C23" s="198"/>
      <c r="D23" s="199"/>
      <c r="E23" s="197"/>
      <c r="F23" s="197"/>
      <c r="G23" s="18">
        <f t="shared" si="0"/>
        <v>0</v>
      </c>
    </row>
    <row r="24" spans="1:7" ht="30" customHeight="1" x14ac:dyDescent="0.45">
      <c r="A24" s="201">
        <f>'Feuille du KRPI'!B77</f>
        <v>0</v>
      </c>
      <c r="B24" s="201"/>
      <c r="C24" s="198"/>
      <c r="D24" s="199"/>
      <c r="E24" s="197"/>
      <c r="F24" s="197"/>
      <c r="G24" s="18">
        <f t="shared" si="0"/>
        <v>0</v>
      </c>
    </row>
    <row r="25" spans="1:7" ht="30" customHeight="1" x14ac:dyDescent="0.45">
      <c r="A25" s="201">
        <f>'Feuille du KRPI'!B79</f>
        <v>0</v>
      </c>
      <c r="B25" s="201"/>
      <c r="C25" s="198"/>
      <c r="D25" s="199"/>
      <c r="E25" s="197"/>
      <c r="F25" s="197"/>
      <c r="G25" s="18">
        <f t="shared" si="0"/>
        <v>0</v>
      </c>
    </row>
    <row r="26" spans="1:7" ht="30" customHeight="1" x14ac:dyDescent="0.45">
      <c r="A26" s="201">
        <f>'Feuille du KRPI'!B81</f>
        <v>0</v>
      </c>
      <c r="B26" s="201"/>
      <c r="C26" s="198"/>
      <c r="D26" s="199"/>
      <c r="E26" s="197"/>
      <c r="F26" s="197"/>
      <c r="G26" s="18">
        <f t="shared" si="0"/>
        <v>0</v>
      </c>
    </row>
    <row r="27" spans="1:7" ht="30" customHeight="1" x14ac:dyDescent="0.45">
      <c r="A27" s="201">
        <f>'Feuille du KRPI'!B83</f>
        <v>0</v>
      </c>
      <c r="B27" s="201"/>
      <c r="C27" s="198"/>
      <c r="D27" s="199"/>
      <c r="E27" s="197"/>
      <c r="F27" s="197"/>
      <c r="G27" s="18">
        <f t="shared" si="0"/>
        <v>0</v>
      </c>
    </row>
    <row r="28" spans="1:7" ht="30" customHeight="1" x14ac:dyDescent="0.45">
      <c r="A28" s="201">
        <f>'Feuille du KRPI'!B85</f>
        <v>0</v>
      </c>
      <c r="B28" s="201"/>
      <c r="C28" s="198"/>
      <c r="D28" s="199"/>
      <c r="E28" s="197"/>
      <c r="F28" s="197"/>
      <c r="G28" s="18">
        <f t="shared" si="0"/>
        <v>0</v>
      </c>
    </row>
    <row r="29" spans="1:7" ht="30" customHeight="1" x14ac:dyDescent="0.45">
      <c r="A29" s="201">
        <f>'Feuille du KRPI'!B87</f>
        <v>0</v>
      </c>
      <c r="B29" s="201"/>
      <c r="C29" s="198"/>
      <c r="D29" s="199"/>
      <c r="E29" s="197"/>
      <c r="F29" s="197"/>
      <c r="G29" s="18">
        <f t="shared" ref="G29:G31" si="2">SUM(C29:F29)</f>
        <v>0</v>
      </c>
    </row>
    <row r="30" spans="1:7" ht="30" customHeight="1" x14ac:dyDescent="0.45">
      <c r="A30" s="201">
        <f>'Feuille du KRPI'!B89</f>
        <v>0</v>
      </c>
      <c r="B30" s="201"/>
      <c r="C30" s="198"/>
      <c r="D30" s="199"/>
      <c r="E30" s="197"/>
      <c r="F30" s="197"/>
      <c r="G30" s="18">
        <f t="shared" si="2"/>
        <v>0</v>
      </c>
    </row>
    <row r="31" spans="1:7" ht="30" customHeight="1" x14ac:dyDescent="0.45">
      <c r="A31" s="201">
        <f>'Feuille du KRPI'!B91</f>
        <v>0</v>
      </c>
      <c r="B31" s="201"/>
      <c r="C31" s="198"/>
      <c r="D31" s="199"/>
      <c r="E31" s="197"/>
      <c r="F31" s="197"/>
      <c r="G31" s="18">
        <f t="shared" si="2"/>
        <v>0</v>
      </c>
    </row>
  </sheetData>
  <sheetProtection algorithmName="SHA-512" hashValue="FrWt08bQIOum8aBnPh0l97/tx0XZu0aO2dn/On3TsX63ysLyyorlllkFkr/4vX2m71ha7SEEmyU6GSSXUwFEXg==" saltValue="IteyGHnO/h98OW0JE9+iFg==" spinCount="100000" sheet="1" objects="1" scenarios="1"/>
  <mergeCells count="91">
    <mergeCell ref="A31:B31"/>
    <mergeCell ref="C31:D31"/>
    <mergeCell ref="E31:F31"/>
    <mergeCell ref="A9:B9"/>
    <mergeCell ref="C9:D9"/>
    <mergeCell ref="E9:F9"/>
    <mergeCell ref="A29:B29"/>
    <mergeCell ref="C29:D29"/>
    <mergeCell ref="E29:F29"/>
    <mergeCell ref="A30:B30"/>
    <mergeCell ref="C30:D30"/>
    <mergeCell ref="E30:F30"/>
    <mergeCell ref="E28:F28"/>
    <mergeCell ref="E13:F13"/>
    <mergeCell ref="A26:B26"/>
    <mergeCell ref="C15:D15"/>
    <mergeCell ref="E8:F8"/>
    <mergeCell ref="A12:B12"/>
    <mergeCell ref="C8:D8"/>
    <mergeCell ref="C10:D10"/>
    <mergeCell ref="C11:D11"/>
    <mergeCell ref="C12:D12"/>
    <mergeCell ref="E10:F10"/>
    <mergeCell ref="E11:F11"/>
    <mergeCell ref="E12:F12"/>
    <mergeCell ref="A8:B8"/>
    <mergeCell ref="A10:B10"/>
    <mergeCell ref="A11:B11"/>
    <mergeCell ref="E15:F15"/>
    <mergeCell ref="A17:B17"/>
    <mergeCell ref="A21:B21"/>
    <mergeCell ref="A22:B22"/>
    <mergeCell ref="C14:D14"/>
    <mergeCell ref="E14:F14"/>
    <mergeCell ref="A14:B14"/>
    <mergeCell ref="E16:F16"/>
    <mergeCell ref="E17:F17"/>
    <mergeCell ref="C22:D22"/>
    <mergeCell ref="E22:F22"/>
    <mergeCell ref="C20:D20"/>
    <mergeCell ref="E20:F20"/>
    <mergeCell ref="C21:D21"/>
    <mergeCell ref="E21:F21"/>
    <mergeCell ref="C18:D18"/>
    <mergeCell ref="A28:B28"/>
    <mergeCell ref="C28:D28"/>
    <mergeCell ref="C13:D13"/>
    <mergeCell ref="A13:B13"/>
    <mergeCell ref="A23:B23"/>
    <mergeCell ref="A24:B24"/>
    <mergeCell ref="A25:B25"/>
    <mergeCell ref="A18:B18"/>
    <mergeCell ref="A15:B15"/>
    <mergeCell ref="A16:B16"/>
    <mergeCell ref="A27:B27"/>
    <mergeCell ref="A19:B19"/>
    <mergeCell ref="A20:B20"/>
    <mergeCell ref="C23:D23"/>
    <mergeCell ref="C27:D27"/>
    <mergeCell ref="C17:D17"/>
    <mergeCell ref="C16:D16"/>
    <mergeCell ref="C3:D3"/>
    <mergeCell ref="C4:D4"/>
    <mergeCell ref="C5:D5"/>
    <mergeCell ref="C6:D6"/>
    <mergeCell ref="C7:D7"/>
    <mergeCell ref="A1:I1"/>
    <mergeCell ref="A7:B7"/>
    <mergeCell ref="C2:D2"/>
    <mergeCell ref="E2:F2"/>
    <mergeCell ref="A2:B2"/>
    <mergeCell ref="E3:F3"/>
    <mergeCell ref="E4:F4"/>
    <mergeCell ref="E5:F5"/>
    <mergeCell ref="E6:F6"/>
    <mergeCell ref="E7:F7"/>
    <mergeCell ref="A3:B3"/>
    <mergeCell ref="A4:B4"/>
    <mergeCell ref="A5:B5"/>
    <mergeCell ref="A6:B6"/>
    <mergeCell ref="E18:F18"/>
    <mergeCell ref="C19:D19"/>
    <mergeCell ref="E19:F19"/>
    <mergeCell ref="E27:F27"/>
    <mergeCell ref="C24:D24"/>
    <mergeCell ref="E24:F24"/>
    <mergeCell ref="C25:D25"/>
    <mergeCell ref="E25:F25"/>
    <mergeCell ref="C26:D26"/>
    <mergeCell ref="E26:F26"/>
    <mergeCell ref="E23:F23"/>
  </mergeCells>
  <conditionalFormatting sqref="A3:B31">
    <cfRule type="cellIs" dxfId="5" priority="6" operator="equal">
      <formula>0</formula>
    </cfRule>
  </conditionalFormatting>
  <conditionalFormatting sqref="G3:G31">
    <cfRule type="cellIs" dxfId="4" priority="1" operator="equal">
      <formula>5</formula>
    </cfRule>
    <cfRule type="cellIs" dxfId="3" priority="2" operator="equal">
      <formula>4</formula>
    </cfRule>
    <cfRule type="cellIs" dxfId="2" priority="3" operator="equal">
      <formula>6</formula>
    </cfRule>
    <cfRule type="cellIs" dxfId="1" priority="4" operator="equal">
      <formula>3</formula>
    </cfRule>
    <cfRule type="cellIs" dxfId="0" priority="5" operator="equal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N7" sqref="N7"/>
    </sheetView>
  </sheetViews>
  <sheetFormatPr baseColWidth="10" defaultRowHeight="14.25" x14ac:dyDescent="0.45"/>
  <sheetData>
    <row r="1" spans="1:11" ht="18" x14ac:dyDescent="0.55000000000000004">
      <c r="A1" s="207" t="s">
        <v>38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</row>
    <row r="2" spans="1:11" ht="18" x14ac:dyDescent="0.55000000000000004">
      <c r="A2" s="16" t="s">
        <v>67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45">
      <c r="A3" t="s">
        <v>37</v>
      </c>
    </row>
    <row r="4" spans="1:11" x14ac:dyDescent="0.45">
      <c r="A4" t="s">
        <v>36</v>
      </c>
    </row>
    <row r="5" spans="1:11" x14ac:dyDescent="0.45">
      <c r="A5" t="s">
        <v>35</v>
      </c>
    </row>
    <row r="6" spans="1:11" x14ac:dyDescent="0.45">
      <c r="A6" t="s">
        <v>34</v>
      </c>
    </row>
    <row r="7" spans="1:11" x14ac:dyDescent="0.45">
      <c r="A7" t="s">
        <v>33</v>
      </c>
    </row>
    <row r="8" spans="1:11" x14ac:dyDescent="0.45">
      <c r="A8" t="s">
        <v>32</v>
      </c>
    </row>
    <row r="9" spans="1:11" x14ac:dyDescent="0.45">
      <c r="A9" s="14" t="s">
        <v>31</v>
      </c>
    </row>
    <row r="10" spans="1:11" x14ac:dyDescent="0.45">
      <c r="A10" s="14" t="s">
        <v>30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A6" sqref="A6"/>
    </sheetView>
  </sheetViews>
  <sheetFormatPr baseColWidth="10" defaultColWidth="10.73046875" defaultRowHeight="14.25" x14ac:dyDescent="0.45"/>
  <cols>
    <col min="1" max="1" width="17.1328125" bestFit="1" customWidth="1"/>
    <col min="2" max="2" width="12.59765625" bestFit="1" customWidth="1"/>
    <col min="3" max="3" width="18.86328125" bestFit="1" customWidth="1"/>
  </cols>
  <sheetData>
    <row r="1" spans="1:3" ht="15" customHeight="1" x14ac:dyDescent="0.45">
      <c r="A1" s="28" t="s">
        <v>66</v>
      </c>
      <c r="B1" s="28" t="s">
        <v>65</v>
      </c>
      <c r="C1" s="28" t="s">
        <v>10</v>
      </c>
    </row>
    <row r="2" spans="1:3" x14ac:dyDescent="0.45">
      <c r="A2" s="27" t="s">
        <v>64</v>
      </c>
      <c r="B2" s="27" t="s">
        <v>63</v>
      </c>
      <c r="C2" t="s">
        <v>62</v>
      </c>
    </row>
    <row r="3" spans="1:3" x14ac:dyDescent="0.45">
      <c r="A3" s="27" t="s">
        <v>61</v>
      </c>
      <c r="B3" s="27" t="s">
        <v>60</v>
      </c>
      <c r="C3" t="s">
        <v>59</v>
      </c>
    </row>
    <row r="4" spans="1:3" x14ac:dyDescent="0.45">
      <c r="A4" s="27" t="s">
        <v>58</v>
      </c>
      <c r="B4" s="27" t="s">
        <v>57</v>
      </c>
    </row>
    <row r="5" spans="1:3" x14ac:dyDescent="0.45">
      <c r="A5" s="27" t="s">
        <v>89</v>
      </c>
      <c r="B5" s="27" t="s">
        <v>56</v>
      </c>
    </row>
    <row r="6" spans="1:3" x14ac:dyDescent="0.45">
      <c r="B6" s="27" t="s">
        <v>55</v>
      </c>
    </row>
    <row r="7" spans="1:3" x14ac:dyDescent="0.45">
      <c r="B7" s="27" t="s">
        <v>54</v>
      </c>
    </row>
    <row r="8" spans="1:3" x14ac:dyDescent="0.45">
      <c r="B8" s="27" t="s">
        <v>53</v>
      </c>
    </row>
    <row r="9" spans="1:3" x14ac:dyDescent="0.45">
      <c r="A9" s="27"/>
      <c r="B9" s="27" t="s">
        <v>52</v>
      </c>
    </row>
    <row r="10" spans="1:3" x14ac:dyDescent="0.45">
      <c r="B10" s="27" t="s">
        <v>51</v>
      </c>
    </row>
    <row r="11" spans="1:3" x14ac:dyDescent="0.45">
      <c r="B11" s="27" t="s">
        <v>50</v>
      </c>
    </row>
    <row r="12" spans="1:3" x14ac:dyDescent="0.45">
      <c r="B12" s="27" t="s">
        <v>49</v>
      </c>
    </row>
    <row r="13" spans="1:3" x14ac:dyDescent="0.45">
      <c r="B13" s="27" t="s">
        <v>48</v>
      </c>
    </row>
    <row r="14" spans="1:3" x14ac:dyDescent="0.45">
      <c r="B14" s="27" t="s">
        <v>47</v>
      </c>
    </row>
    <row r="15" spans="1:3" x14ac:dyDescent="0.45">
      <c r="B15" s="27" t="s">
        <v>46</v>
      </c>
    </row>
    <row r="16" spans="1:3" x14ac:dyDescent="0.45">
      <c r="B16" s="27" t="s">
        <v>45</v>
      </c>
    </row>
    <row r="17" spans="1:2" x14ac:dyDescent="0.45">
      <c r="A17" s="27"/>
      <c r="B17" s="27" t="s">
        <v>44</v>
      </c>
    </row>
    <row r="18" spans="1:2" x14ac:dyDescent="0.45">
      <c r="B18" s="2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Feuille du KRPI</vt:lpstr>
      <vt:lpstr>Priorité</vt:lpstr>
      <vt:lpstr>Principe de fonctionnement</vt:lpstr>
      <vt:lpstr>liste des champs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FONCILLAS Romain</dc:creator>
  <cp:lastModifiedBy>Florent ANTOINE</cp:lastModifiedBy>
  <cp:lastPrinted>2024-11-25T13:46:02Z</cp:lastPrinted>
  <dcterms:created xsi:type="dcterms:W3CDTF">2024-09-25T06:33:53Z</dcterms:created>
  <dcterms:modified xsi:type="dcterms:W3CDTF">2026-01-09T10:50:15Z</dcterms:modified>
</cp:coreProperties>
</file>