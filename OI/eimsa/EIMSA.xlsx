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.jaubert\OneDrive - CFAI Centre\00FC\OI\EIMSA\"/>
    </mc:Choice>
  </mc:AlternateContent>
  <xr:revisionPtr revIDLastSave="0" documentId="13_ncr:1_{2B1D7336-F8FE-4B79-BF3C-4767641C8042}" xr6:coauthVersionLast="47" xr6:coauthVersionMax="47" xr10:uidLastSave="{00000000-0000-0000-0000-000000000000}"/>
  <bookViews>
    <workbookView xWindow="-120" yWindow="-120" windowWidth="29040" windowHeight="15720" activeTab="1" xr2:uid="{8766BD0D-4453-4A2B-847D-1532E12D2501}"/>
  </bookViews>
  <sheets>
    <sheet name="Feuil1" sheetId="1" r:id="rId1"/>
    <sheet name="Feuil2" sheetId="2" r:id="rId2"/>
  </sheets>
  <definedNames>
    <definedName name="_xlchart.v1.0" hidden="1">Feuil1!$A$2:$A$9</definedName>
    <definedName name="_xlchart.v1.1" hidden="1">Feuil1!$B$2:$B$9</definedName>
    <definedName name="_xlchart.v1.2" hidden="1">Feuil1!$A$2:$A$9</definedName>
    <definedName name="_xlchart.v1.3" hidden="1">Feuil1!$D$2:$D$9</definedName>
    <definedName name="_xlchart.v1.4" hidden="1">Feuil1!$A$2:$A$9</definedName>
    <definedName name="_xlchart.v1.5" hidden="1">Feuil1!$C$2:$C$9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8" i="2"/>
  <c r="F8" i="2"/>
  <c r="E8" i="2"/>
  <c r="H34" i="1"/>
  <c r="H37" i="1"/>
  <c r="H33" i="1"/>
  <c r="H31" i="1"/>
  <c r="H32" i="1"/>
  <c r="I32" i="1" s="1"/>
  <c r="H35" i="1"/>
  <c r="I35" i="1" s="1"/>
  <c r="H38" i="1"/>
  <c r="I38" i="1" s="1"/>
  <c r="H36" i="1"/>
  <c r="I36" i="1" s="1"/>
  <c r="I34" i="1"/>
  <c r="I33" i="1"/>
  <c r="G34" i="1"/>
  <c r="G37" i="1"/>
  <c r="G33" i="1"/>
  <c r="G31" i="1"/>
  <c r="G32" i="1"/>
  <c r="G35" i="1"/>
  <c r="G38" i="1"/>
  <c r="G36" i="1"/>
  <c r="F34" i="1"/>
  <c r="F37" i="1"/>
  <c r="F33" i="1"/>
  <c r="F31" i="1"/>
  <c r="I31" i="1" s="1"/>
  <c r="F32" i="1"/>
  <c r="F35" i="1"/>
  <c r="F38" i="1"/>
  <c r="F36" i="1"/>
  <c r="D3" i="1"/>
  <c r="D4" i="1"/>
  <c r="D5" i="1"/>
  <c r="D6" i="1"/>
  <c r="D7" i="1"/>
  <c r="D8" i="1"/>
  <c r="D9" i="1"/>
  <c r="D2" i="1"/>
  <c r="H8" i="2" l="1"/>
  <c r="I37" i="1"/>
</calcChain>
</file>

<file path=xl/sharedStrings.xml><?xml version="1.0" encoding="utf-8"?>
<sst xmlns="http://schemas.openxmlformats.org/spreadsheetml/2006/main" count="36" uniqueCount="28">
  <si>
    <t>M1</t>
  </si>
  <si>
    <t>M2</t>
  </si>
  <si>
    <t>M3</t>
  </si>
  <si>
    <t>M4</t>
  </si>
  <si>
    <t>M5</t>
  </si>
  <si>
    <t>M6</t>
  </si>
  <si>
    <t>M7</t>
  </si>
  <si>
    <t>M8</t>
  </si>
  <si>
    <t>Durée totale</t>
  </si>
  <si>
    <t>ni</t>
  </si>
  <si>
    <t>Durée moy</t>
  </si>
  <si>
    <t>coeff</t>
  </si>
  <si>
    <t>POINTS</t>
  </si>
  <si>
    <t>Critère</t>
  </si>
  <si>
    <t xml:space="preserve">Nombre </t>
  </si>
  <si>
    <t>dur. Moy.</t>
  </si>
  <si>
    <t>coût</t>
  </si>
  <si>
    <t>Note</t>
  </si>
  <si>
    <t>Classement</t>
  </si>
  <si>
    <t>RANG</t>
  </si>
  <si>
    <t>Nombre Pannes</t>
  </si>
  <si>
    <t>Coût (durée totale)</t>
  </si>
  <si>
    <t>Durée Moy d'une panne</t>
  </si>
  <si>
    <t>TxQ</t>
  </si>
  <si>
    <t>TxPerf</t>
  </si>
  <si>
    <t>Do</t>
  </si>
  <si>
    <t>TRS</t>
  </si>
  <si>
    <t>TRS DIRECT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</si>
</sst>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6">
    <xf numFmtId="0" fontId="0" fillId="0" borderId="0" xfId="0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0" xfId="0" applyAlignment="1"/>
    <xf numFmtId="0" fontId="4" fillId="0" borderId="1" xfId="0" applyFont="1" applyBorder="1" applyAlignment="1">
      <alignment horizontal="center" wrapText="1"/>
    </xf>
    <xf numFmtId="0" fontId="6" fillId="3" borderId="1" xfId="0" applyFont="1" applyFill="1" applyBorder="1" applyAlignment="1">
      <alignment horizontal="center"/>
    </xf>
    <xf numFmtId="9" fontId="0" fillId="0" borderId="0" xfId="1" applyFont="1"/>
    <xf numFmtId="9" fontId="0" fillId="0" borderId="1" xfId="1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Durée moyenne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Durée moyenne</a:t>
          </a:r>
        </a:p>
      </cx:txPr>
    </cx:title>
    <cx:plotArea>
      <cx:plotAreaRegion>
        <cx:series layoutId="clusteredColumn" uniqueId="{AB58E5F0-BFF6-4D1F-A6CE-8CD664EACB72}">
          <cx:dataLabels/>
          <cx:dataId val="0"/>
          <cx:layoutPr>
            <cx:aggregation/>
          </cx:layoutPr>
          <cx:axisId val="1"/>
        </cx:series>
        <cx:series layoutId="paretoLine" ownerIdx="0" uniqueId="{9896FE19-B59C-46E5-B415-EFE279FA8589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_xlchart.v1.5</cx:f>
      </cx:numDim>
    </cx:data>
  </cx:chartData>
  <cx:chart>
    <cx:title pos="t" align="ctr" overlay="0">
      <cx:tx>
        <cx:txData>
          <cx:v>Durée Totale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Durée Totale</a:t>
          </a:r>
        </a:p>
      </cx:txPr>
    </cx:title>
    <cx:plotArea>
      <cx:plotAreaRegion>
        <cx:series layoutId="clusteredColumn" uniqueId="{39454C06-CD8D-4581-AE8E-15A2EE5D0FD7}">
          <cx:dataLabels/>
          <cx:dataId val="0"/>
          <cx:layoutPr>
            <cx:aggregation/>
          </cx:layoutPr>
          <cx:axisId val="1"/>
        </cx:series>
        <cx:series layoutId="paretoLine" ownerIdx="0" uniqueId="{15C1C1B9-43BA-450C-9FE9-B33AE6B063DE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fr-F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Nb de pannes</a:t>
            </a:r>
          </a:p>
          <a:p>
            <a:pPr algn="ctr" rtl="0">
              <a:defRPr/>
            </a:pPr>
            <a:endPara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6F282456-6EB2-4F53-97CB-C60EFD79A2EB}">
          <cx:dataId val="0"/>
          <cx:layoutPr>
            <cx:aggregation/>
          </cx:layoutPr>
          <cx:axisId val="1"/>
        </cx:series>
        <cx:series layoutId="paretoLine" ownerIdx="0" uniqueId="{084E26F4-F643-46EE-9F7D-204A9E5AC3BB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268826</xdr:colOff>
      <xdr:row>11</xdr:row>
      <xdr:rowOff>105369</xdr:rowOff>
    </xdr:from>
    <xdr:to>
      <xdr:col>11</xdr:col>
      <xdr:colOff>269027</xdr:colOff>
      <xdr:row>24</xdr:row>
      <xdr:rowOff>112578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EF89FCC8-62E7-7F8E-E7D7-8CEF4DA42A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86097" y="2104892"/>
              <a:ext cx="4580926" cy="23702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5</xdr:col>
      <xdr:colOff>269414</xdr:colOff>
      <xdr:row>0</xdr:row>
      <xdr:rowOff>58414</xdr:rowOff>
    </xdr:from>
    <xdr:to>
      <xdr:col>11</xdr:col>
      <xdr:colOff>265391</xdr:colOff>
      <xdr:row>11</xdr:row>
      <xdr:rowOff>63796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04BE60CD-97CC-ADDF-F3E1-F5E18A2732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86685" y="58414"/>
              <a:ext cx="4576702" cy="20049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9</xdr:row>
      <xdr:rowOff>106311</xdr:rowOff>
    </xdr:from>
    <xdr:to>
      <xdr:col>6</xdr:col>
      <xdr:colOff>0</xdr:colOff>
      <xdr:row>24</xdr:row>
      <xdr:rowOff>130278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aphique 4">
              <a:extLst>
                <a:ext uri="{FF2B5EF4-FFF2-40B4-BE49-F238E27FC236}">
                  <a16:creationId xmlns:a16="http://schemas.microsoft.com/office/drawing/2014/main" id="{81BADA94-7063-2B57-F9C1-E15B98AC09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3785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9763F-E97B-45C6-8B40-85FBF35A4B77}">
  <dimension ref="A1:J43"/>
  <sheetViews>
    <sheetView topLeftCell="A8" zoomScale="106" workbookViewId="0">
      <selection activeCell="B30" sqref="B30:I38"/>
    </sheetView>
  </sheetViews>
  <sheetFormatPr baseColWidth="10" defaultRowHeight="14.25" x14ac:dyDescent="0.45"/>
  <cols>
    <col min="3" max="3" width="11.6640625" customWidth="1"/>
    <col min="4" max="4" width="13.6640625" customWidth="1"/>
    <col min="5" max="5" width="11" customWidth="1"/>
  </cols>
  <sheetData>
    <row r="1" spans="1:4" x14ac:dyDescent="0.45">
      <c r="A1" s="2"/>
      <c r="B1" s="3" t="s">
        <v>9</v>
      </c>
      <c r="C1" s="3" t="s">
        <v>8</v>
      </c>
      <c r="D1" s="3" t="s">
        <v>10</v>
      </c>
    </row>
    <row r="2" spans="1:4" x14ac:dyDescent="0.45">
      <c r="A2" s="2" t="s">
        <v>0</v>
      </c>
      <c r="B2" s="2">
        <v>26</v>
      </c>
      <c r="C2" s="2">
        <v>265</v>
      </c>
      <c r="D2" s="1">
        <f>C2/B2</f>
        <v>10.192307692307692</v>
      </c>
    </row>
    <row r="3" spans="1:4" x14ac:dyDescent="0.45">
      <c r="A3" s="2" t="s">
        <v>1</v>
      </c>
      <c r="B3" s="2">
        <v>13</v>
      </c>
      <c r="C3" s="2">
        <v>462</v>
      </c>
      <c r="D3" s="1">
        <f t="shared" ref="D3:D9" si="0">C3/B3</f>
        <v>35.53846153846154</v>
      </c>
    </row>
    <row r="4" spans="1:4" x14ac:dyDescent="0.45">
      <c r="A4" s="2" t="s">
        <v>2</v>
      </c>
      <c r="B4" s="2">
        <v>35</v>
      </c>
      <c r="C4" s="2">
        <v>200</v>
      </c>
      <c r="D4" s="1">
        <f t="shared" si="0"/>
        <v>5.7142857142857144</v>
      </c>
    </row>
    <row r="5" spans="1:4" x14ac:dyDescent="0.45">
      <c r="A5" s="2" t="s">
        <v>3</v>
      </c>
      <c r="B5" s="2">
        <v>24</v>
      </c>
      <c r="C5" s="2">
        <v>826</v>
      </c>
      <c r="D5" s="1">
        <f t="shared" si="0"/>
        <v>34.416666666666664</v>
      </c>
    </row>
    <row r="6" spans="1:4" x14ac:dyDescent="0.45">
      <c r="A6" s="2" t="s">
        <v>4</v>
      </c>
      <c r="B6" s="2">
        <v>20</v>
      </c>
      <c r="C6" s="2">
        <v>1000</v>
      </c>
      <c r="D6" s="1">
        <f t="shared" si="0"/>
        <v>50</v>
      </c>
    </row>
    <row r="7" spans="1:4" x14ac:dyDescent="0.45">
      <c r="A7" s="2" t="s">
        <v>5</v>
      </c>
      <c r="B7" s="2">
        <v>52</v>
      </c>
      <c r="C7" s="2">
        <v>534</v>
      </c>
      <c r="D7" s="1">
        <f t="shared" si="0"/>
        <v>10.26923076923077</v>
      </c>
    </row>
    <row r="8" spans="1:4" x14ac:dyDescent="0.45">
      <c r="A8" s="2" t="s">
        <v>6</v>
      </c>
      <c r="B8" s="2">
        <v>5</v>
      </c>
      <c r="C8" s="2">
        <v>280</v>
      </c>
      <c r="D8" s="1">
        <f t="shared" si="0"/>
        <v>56</v>
      </c>
    </row>
    <row r="9" spans="1:4" x14ac:dyDescent="0.45">
      <c r="A9" s="2" t="s">
        <v>7</v>
      </c>
      <c r="B9" s="2">
        <v>2</v>
      </c>
      <c r="C9" s="2">
        <v>50</v>
      </c>
      <c r="D9" s="1">
        <f t="shared" si="0"/>
        <v>25</v>
      </c>
    </row>
    <row r="29" spans="2:10" x14ac:dyDescent="0.45">
      <c r="B29" s="4" t="s">
        <v>11</v>
      </c>
      <c r="C29" s="4">
        <v>2</v>
      </c>
      <c r="D29" s="4">
        <v>1</v>
      </c>
      <c r="E29" s="4">
        <v>3</v>
      </c>
      <c r="F29" s="7" t="s">
        <v>12</v>
      </c>
      <c r="G29" s="7"/>
      <c r="H29" s="7"/>
      <c r="I29" s="2"/>
      <c r="J29" s="6"/>
    </row>
    <row r="30" spans="2:10" ht="33" customHeight="1" x14ac:dyDescent="0.45">
      <c r="B30" s="2" t="s">
        <v>13</v>
      </c>
      <c r="C30" s="10" t="s">
        <v>20</v>
      </c>
      <c r="D30" s="10" t="s">
        <v>22</v>
      </c>
      <c r="E30" s="10" t="s">
        <v>21</v>
      </c>
      <c r="F30" s="5" t="s">
        <v>14</v>
      </c>
      <c r="G30" s="5" t="s">
        <v>15</v>
      </c>
      <c r="H30" s="5" t="s">
        <v>16</v>
      </c>
      <c r="I30" s="2" t="s">
        <v>17</v>
      </c>
      <c r="J30" s="2" t="s">
        <v>18</v>
      </c>
    </row>
    <row r="31" spans="2:10" x14ac:dyDescent="0.45">
      <c r="B31" s="2" t="s">
        <v>4</v>
      </c>
      <c r="C31" s="11">
        <v>4</v>
      </c>
      <c r="D31" s="11">
        <v>7</v>
      </c>
      <c r="E31" s="11">
        <v>8</v>
      </c>
      <c r="F31" s="3">
        <f>C31*$C$29</f>
        <v>8</v>
      </c>
      <c r="G31" s="3">
        <f>D31*$D$29</f>
        <v>7</v>
      </c>
      <c r="H31" s="3">
        <f>E31*$E$29</f>
        <v>24</v>
      </c>
      <c r="I31" s="3">
        <f>F31+G31+H31</f>
        <v>39</v>
      </c>
      <c r="J31" s="3">
        <v>1</v>
      </c>
    </row>
    <row r="32" spans="2:10" x14ac:dyDescent="0.45">
      <c r="B32" s="2" t="s">
        <v>5</v>
      </c>
      <c r="C32" s="11">
        <v>8</v>
      </c>
      <c r="D32" s="11">
        <v>3</v>
      </c>
      <c r="E32" s="11">
        <v>6</v>
      </c>
      <c r="F32" s="3">
        <f>C32*$C$29</f>
        <v>16</v>
      </c>
      <c r="G32" s="3">
        <f>D32*$D$29</f>
        <v>3</v>
      </c>
      <c r="H32" s="3">
        <f>E32*$E$29</f>
        <v>18</v>
      </c>
      <c r="I32" s="3">
        <f>F32+G32+H32</f>
        <v>37</v>
      </c>
      <c r="J32" s="3">
        <v>2</v>
      </c>
    </row>
    <row r="33" spans="2:10" x14ac:dyDescent="0.45">
      <c r="B33" s="2" t="s">
        <v>3</v>
      </c>
      <c r="C33" s="11">
        <v>5</v>
      </c>
      <c r="D33" s="11">
        <v>5</v>
      </c>
      <c r="E33" s="11">
        <v>7</v>
      </c>
      <c r="F33" s="3">
        <f>C33*$C$29</f>
        <v>10</v>
      </c>
      <c r="G33" s="3">
        <f>D33*$D$29</f>
        <v>5</v>
      </c>
      <c r="H33" s="3">
        <f>E33*$E$29</f>
        <v>21</v>
      </c>
      <c r="I33" s="3">
        <f>F33+G33+H33</f>
        <v>36</v>
      </c>
      <c r="J33" s="3">
        <v>3</v>
      </c>
    </row>
    <row r="34" spans="2:10" x14ac:dyDescent="0.45">
      <c r="B34" s="2" t="s">
        <v>1</v>
      </c>
      <c r="C34" s="11">
        <v>3</v>
      </c>
      <c r="D34" s="11">
        <v>6</v>
      </c>
      <c r="E34" s="11">
        <v>5</v>
      </c>
      <c r="F34" s="3">
        <f>C34*$C$29</f>
        <v>6</v>
      </c>
      <c r="G34" s="3">
        <f>D34*$D$29</f>
        <v>6</v>
      </c>
      <c r="H34" s="3">
        <f>E34*$E$29</f>
        <v>15</v>
      </c>
      <c r="I34" s="3">
        <f>F34+G34+H34</f>
        <v>27</v>
      </c>
      <c r="J34" s="3">
        <v>4</v>
      </c>
    </row>
    <row r="35" spans="2:10" x14ac:dyDescent="0.45">
      <c r="B35" s="2" t="s">
        <v>6</v>
      </c>
      <c r="C35" s="11">
        <v>2</v>
      </c>
      <c r="D35" s="11">
        <v>8</v>
      </c>
      <c r="E35" s="11">
        <v>4</v>
      </c>
      <c r="F35" s="3">
        <f>C35*$C$29</f>
        <v>4</v>
      </c>
      <c r="G35" s="3">
        <f>D35*$D$29</f>
        <v>8</v>
      </c>
      <c r="H35" s="3">
        <f>E35*$E$29</f>
        <v>12</v>
      </c>
      <c r="I35" s="3">
        <f>F35+G35+H35</f>
        <v>24</v>
      </c>
      <c r="J35" s="3">
        <v>5</v>
      </c>
    </row>
    <row r="36" spans="2:10" x14ac:dyDescent="0.45">
      <c r="B36" s="2" t="s">
        <v>0</v>
      </c>
      <c r="C36" s="11">
        <v>6</v>
      </c>
      <c r="D36" s="11">
        <v>2</v>
      </c>
      <c r="E36" s="11">
        <v>3</v>
      </c>
      <c r="F36" s="3">
        <f>C36*$C$29</f>
        <v>12</v>
      </c>
      <c r="G36" s="3">
        <f>D36*$D$29</f>
        <v>2</v>
      </c>
      <c r="H36" s="3">
        <f>E36*$E$29</f>
        <v>9</v>
      </c>
      <c r="I36" s="3">
        <f>F36+G36+H36</f>
        <v>23</v>
      </c>
      <c r="J36" s="3">
        <v>6</v>
      </c>
    </row>
    <row r="37" spans="2:10" x14ac:dyDescent="0.45">
      <c r="B37" s="2" t="s">
        <v>2</v>
      </c>
      <c r="C37" s="11">
        <v>7</v>
      </c>
      <c r="D37" s="11">
        <v>1</v>
      </c>
      <c r="E37" s="11">
        <v>2</v>
      </c>
      <c r="F37" s="3">
        <f>C37*$C$29</f>
        <v>14</v>
      </c>
      <c r="G37" s="3">
        <f>D37*$D$29</f>
        <v>1</v>
      </c>
      <c r="H37" s="3">
        <f>E37*$E$29</f>
        <v>6</v>
      </c>
      <c r="I37" s="3">
        <f>F37+G37+H37</f>
        <v>21</v>
      </c>
      <c r="J37" s="3">
        <v>7</v>
      </c>
    </row>
    <row r="38" spans="2:10" x14ac:dyDescent="0.45">
      <c r="B38" s="2" t="s">
        <v>7</v>
      </c>
      <c r="C38" s="11">
        <v>1</v>
      </c>
      <c r="D38" s="11">
        <v>4</v>
      </c>
      <c r="E38" s="11">
        <v>1</v>
      </c>
      <c r="F38" s="3">
        <f>C38*$C$29</f>
        <v>2</v>
      </c>
      <c r="G38" s="3">
        <f>D38*$D$29</f>
        <v>4</v>
      </c>
      <c r="H38" s="3">
        <f>E38*$E$29</f>
        <v>3</v>
      </c>
      <c r="I38" s="3">
        <f>F38+G38+H38</f>
        <v>9</v>
      </c>
      <c r="J38" s="3">
        <v>8</v>
      </c>
    </row>
    <row r="39" spans="2:10" x14ac:dyDescent="0.45">
      <c r="C39" s="8" t="s">
        <v>19</v>
      </c>
      <c r="D39" s="8"/>
      <c r="E39" s="8"/>
    </row>
    <row r="41" spans="2:10" x14ac:dyDescent="0.45">
      <c r="G41" s="9"/>
      <c r="H41" s="9"/>
      <c r="I41" s="9"/>
    </row>
    <row r="42" spans="2:10" x14ac:dyDescent="0.45">
      <c r="G42" s="9"/>
      <c r="H42" s="9"/>
      <c r="I42" s="9"/>
    </row>
    <row r="43" spans="2:10" x14ac:dyDescent="0.45">
      <c r="G43" s="9"/>
      <c r="H43" s="9"/>
      <c r="I43" s="9"/>
    </row>
  </sheetData>
  <sortState xmlns:xlrd2="http://schemas.microsoft.com/office/spreadsheetml/2017/richdata2" ref="B31:I38">
    <sortCondition descending="1" ref="I31:I38"/>
  </sortState>
  <mergeCells count="2">
    <mergeCell ref="F29:H29"/>
    <mergeCell ref="C39:E39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D79D9-4EFD-4806-BF67-BAB844F54339}">
  <dimension ref="E7:I10"/>
  <sheetViews>
    <sheetView tabSelected="1" topLeftCell="B1" zoomScale="146" workbookViewId="0">
      <selection activeCell="H10" sqref="H10"/>
    </sheetView>
  </sheetViews>
  <sheetFormatPr baseColWidth="10" defaultRowHeight="14.25" x14ac:dyDescent="0.45"/>
  <cols>
    <col min="7" max="8" width="11.73046875" bestFit="1" customWidth="1"/>
  </cols>
  <sheetData>
    <row r="7" spans="5:9" x14ac:dyDescent="0.45">
      <c r="E7" s="2" t="s">
        <v>23</v>
      </c>
      <c r="F7" s="2" t="s">
        <v>24</v>
      </c>
      <c r="G7" s="2" t="s">
        <v>25</v>
      </c>
      <c r="H7" s="14" t="s">
        <v>26</v>
      </c>
    </row>
    <row r="8" spans="5:9" x14ac:dyDescent="0.45">
      <c r="E8" s="13">
        <f>270/294</f>
        <v>0.91836734693877553</v>
      </c>
      <c r="F8" s="13">
        <f>294/312</f>
        <v>0.94230769230769229</v>
      </c>
      <c r="G8" s="12">
        <f>312/450</f>
        <v>0.69333333333333336</v>
      </c>
      <c r="H8" s="15">
        <f>PRODUCT(E8:G8)</f>
        <v>0.60000000000000009</v>
      </c>
    </row>
    <row r="10" spans="5:9" x14ac:dyDescent="0.45">
      <c r="H10" s="15">
        <f>4.5/7.5</f>
        <v>0.6</v>
      </c>
      <c r="I10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Stéphane JAUBERT</dc:creator>
  <cp:lastModifiedBy>Stéphane JAUBERT</cp:lastModifiedBy>
  <dcterms:created xsi:type="dcterms:W3CDTF">2026-04-02T13:45:47Z</dcterms:created>
  <dcterms:modified xsi:type="dcterms:W3CDTF">2026-04-03T10:55:51Z</dcterms:modified>
</cp:coreProperties>
</file>