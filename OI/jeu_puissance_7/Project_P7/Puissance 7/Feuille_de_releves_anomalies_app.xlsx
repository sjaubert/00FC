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jeu_puissance_7/Project_P7/Puissance 7/"/>
    </mc:Choice>
  </mc:AlternateContent>
  <xr:revisionPtr revIDLastSave="9" documentId="8_{208B1593-914B-4799-9842-1DF4F77E8A5B}" xr6:coauthVersionLast="47" xr6:coauthVersionMax="47" xr10:uidLastSave="{3A75F6B7-C723-46DF-BEC5-8D69737CC147}"/>
  <bookViews>
    <workbookView xWindow="-120" yWindow="-120" windowWidth="29040" windowHeight="15720" tabRatio="500" activeTab="1" xr2:uid="{00000000-000D-0000-FFFF-FFFF00000000}"/>
  </bookViews>
  <sheets>
    <sheet name="Feuille de releves" sheetId="1" r:id="rId1"/>
    <sheet name="Paret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C3" i="2"/>
  <c r="J31" i="1"/>
  <c r="I31" i="1"/>
  <c r="H31" i="1"/>
  <c r="G31" i="1"/>
  <c r="F31" i="1"/>
  <c r="E31" i="1"/>
  <c r="D31" i="1"/>
  <c r="C31" i="1"/>
  <c r="K30" i="1"/>
  <c r="K29" i="1"/>
  <c r="K28" i="1"/>
  <c r="K27" i="1"/>
  <c r="K26" i="1"/>
  <c r="J25" i="1"/>
  <c r="I25" i="1"/>
  <c r="H25" i="1"/>
  <c r="G25" i="1"/>
  <c r="F25" i="1"/>
  <c r="E25" i="1"/>
  <c r="D25" i="1"/>
  <c r="C25" i="1"/>
  <c r="K24" i="1"/>
  <c r="K23" i="1"/>
  <c r="K22" i="1"/>
  <c r="K21" i="1"/>
  <c r="K20" i="1"/>
  <c r="K19" i="1"/>
  <c r="J19" i="1"/>
  <c r="I19" i="1"/>
  <c r="H19" i="1"/>
  <c r="G19" i="1"/>
  <c r="F19" i="1"/>
  <c r="E19" i="1"/>
  <c r="D19" i="1"/>
  <c r="C19" i="1"/>
  <c r="K18" i="1"/>
  <c r="K17" i="1"/>
  <c r="K16" i="1"/>
  <c r="K15" i="1"/>
  <c r="K14" i="1"/>
  <c r="J13" i="1"/>
  <c r="I13" i="1"/>
  <c r="H13" i="1"/>
  <c r="G13" i="1"/>
  <c r="F13" i="1"/>
  <c r="E13" i="1"/>
  <c r="D13" i="1"/>
  <c r="C13" i="1"/>
  <c r="K12" i="1"/>
  <c r="K11" i="1"/>
  <c r="K10" i="1"/>
  <c r="K9" i="1"/>
  <c r="K8" i="1"/>
  <c r="C8" i="2" l="1"/>
  <c r="D8" i="2" s="1"/>
  <c r="K31" i="1"/>
  <c r="K13" i="1"/>
  <c r="K25" i="1"/>
  <c r="D5" i="2" l="1"/>
  <c r="D4" i="2"/>
  <c r="D3" i="2"/>
  <c r="E3" i="2" s="1"/>
  <c r="E4" i="2" s="1"/>
  <c r="K32" i="1"/>
  <c r="D7" i="2"/>
  <c r="D6" i="2"/>
  <c r="E5" i="2" l="1"/>
  <c r="E6" i="2" l="1"/>
  <c r="E7" i="2" s="1"/>
</calcChain>
</file>

<file path=xl/sharedStrings.xml><?xml version="1.0" encoding="utf-8"?>
<sst xmlns="http://schemas.openxmlformats.org/spreadsheetml/2006/main" count="68" uniqueCount="50">
  <si>
    <t>Etape 2 : FEUILLE DE RELEVES</t>
  </si>
  <si>
    <t>Informations objet du releve (defaut, anomalie, ...) :</t>
  </si>
  <si>
    <t>anomalies de livraison</t>
  </si>
  <si>
    <t>Unites de mesure (frequence, longueur, duree, ...) :</t>
  </si>
  <si>
    <t>semaines</t>
  </si>
  <si>
    <t>ou Attribut (bon, mauvais, ...) :</t>
  </si>
  <si>
    <t>Criteres de classement des attributs :</t>
  </si>
  <si>
    <t>Semaines / Tournees</t>
  </si>
  <si>
    <t>S 12</t>
  </si>
  <si>
    <t>S 13</t>
  </si>
  <si>
    <t>S 14</t>
  </si>
  <si>
    <t>S 15</t>
  </si>
  <si>
    <t>S 16</t>
  </si>
  <si>
    <t>S 17</t>
  </si>
  <si>
    <t>S 18</t>
  </si>
  <si>
    <t>S 19</t>
  </si>
  <si>
    <t>Totaux</t>
  </si>
  <si>
    <t>T 5</t>
  </si>
  <si>
    <t>A</t>
  </si>
  <si>
    <t>B</t>
  </si>
  <si>
    <t>C</t>
  </si>
  <si>
    <t>D</t>
  </si>
  <si>
    <t>E</t>
  </si>
  <si>
    <t>Tot.</t>
  </si>
  <si>
    <t>Total de la tournee 5</t>
  </si>
  <si>
    <t>T 9</t>
  </si>
  <si>
    <t>Total de la tournee 9</t>
  </si>
  <si>
    <t>T 12</t>
  </si>
  <si>
    <t>Total de la tournee 12</t>
  </si>
  <si>
    <t>T 15</t>
  </si>
  <si>
    <t>Total de la tournee 15</t>
  </si>
  <si>
    <t>Total de toutes les tournees</t>
  </si>
  <si>
    <t>Legende :</t>
  </si>
  <si>
    <t>A. Colis non livre, client ferme au passage</t>
  </si>
  <si>
    <t>B. Colis affecte par erreur a la tournee</t>
  </si>
  <si>
    <t>C. Fiche colis manquante</t>
  </si>
  <si>
    <t>D. Vehicule plein</t>
  </si>
  <si>
    <t>E. Adresse inconnue</t>
  </si>
  <si>
    <t>Pareto 1 - Anomalies par categorie (nombre)</t>
  </si>
  <si>
    <t>Rang</t>
  </si>
  <si>
    <t>Categorie</t>
  </si>
  <si>
    <t>Nombre</t>
  </si>
  <si>
    <t>%</t>
  </si>
  <si>
    <t>% cumule</t>
  </si>
  <si>
    <t>Client ferme au passage</t>
  </si>
  <si>
    <t>Vehicule plein</t>
  </si>
  <si>
    <t>F.C. manquante</t>
  </si>
  <si>
    <t>Affecte par erreur</t>
  </si>
  <si>
    <t>Adresse inconnue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</si>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</sst>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i/>
      <sz val="8"/>
      <color rgb="FF808080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BDD7EE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0" fontId="0" fillId="5" borderId="1" xfId="0" applyFill="1" applyBorder="1"/>
    <xf numFmtId="0" fontId="11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9" fontId="11" fillId="5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FR" sz="1800" b="1" u="none" strike="noStrike">
                <a:solidFill>
                  <a:srgbClr val="000000"/>
                </a:solidFill>
                <a:uFillTx/>
                <a:latin typeface="Calibri"/>
              </a:rPr>
              <a:t>Pareto - Anomalies par categorie (nombre)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Pareto!$C$2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Pareto!$B$3:$B$7</c:f>
              <c:strCache>
                <c:ptCount val="5"/>
                <c:pt idx="0">
                  <c:v>Client ferme au passage</c:v>
                </c:pt>
                <c:pt idx="1">
                  <c:v>Vehicule plein</c:v>
                </c:pt>
                <c:pt idx="2">
                  <c:v>F.C. manquante</c:v>
                </c:pt>
                <c:pt idx="3">
                  <c:v>Affecte par erreur</c:v>
                </c:pt>
                <c:pt idx="4">
                  <c:v>Adresse inconnue</c:v>
                </c:pt>
              </c:strCache>
            </c:strRef>
          </c:cat>
          <c:val>
            <c:numRef>
              <c:f>Pareto!$C$3:$C$7</c:f>
              <c:numCache>
                <c:formatCode>General</c:formatCode>
                <c:ptCount val="5"/>
                <c:pt idx="0">
                  <c:v>36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0-4E0C-A452-19FDDFF98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183649"/>
        <c:axId val="15488371"/>
      </c:barChart>
      <c:lineChart>
        <c:grouping val="standard"/>
        <c:varyColors val="0"/>
        <c:ser>
          <c:idx val="1"/>
          <c:order val="1"/>
          <c:tx>
            <c:strRef>
              <c:f>Pareto!$E$2</c:f>
              <c:strCache>
                <c:ptCount val="1"/>
                <c:pt idx="0">
                  <c:v>% cumule</c:v>
                </c:pt>
              </c:strCache>
            </c:strRef>
          </c:tx>
          <c:spPr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Pareto!$B$3:$B$7</c:f>
              <c:strCache>
                <c:ptCount val="5"/>
                <c:pt idx="0">
                  <c:v>Client ferme au passage</c:v>
                </c:pt>
                <c:pt idx="1">
                  <c:v>Vehicule plein</c:v>
                </c:pt>
                <c:pt idx="2">
                  <c:v>F.C. manquante</c:v>
                </c:pt>
                <c:pt idx="3">
                  <c:v>Affecte par erreur</c:v>
                </c:pt>
                <c:pt idx="4">
                  <c:v>Adresse inconnue</c:v>
                </c:pt>
              </c:strCache>
            </c:strRef>
          </c:cat>
          <c:val>
            <c:numRef>
              <c:f>Pareto!$E$3:$E$7</c:f>
              <c:numCache>
                <c:formatCode>0%</c:formatCode>
                <c:ptCount val="5"/>
                <c:pt idx="0">
                  <c:v>0.5901639344262295</c:v>
                </c:pt>
                <c:pt idx="1">
                  <c:v>0.70491803278688525</c:v>
                </c:pt>
                <c:pt idx="2">
                  <c:v>0.81967213114754101</c:v>
                </c:pt>
                <c:pt idx="3">
                  <c:v>0.91803278688524592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F0-4E0C-A452-19FDDFF98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514917"/>
        <c:axId val="5331511"/>
      </c:lineChart>
      <c:catAx>
        <c:axId val="851836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15488371"/>
        <c:crosses val="autoZero"/>
        <c:auto val="1"/>
        <c:lblAlgn val="ctr"/>
        <c:lblOffset val="100"/>
        <c:noMultiLvlLbl val="0"/>
      </c:catAx>
      <c:valAx>
        <c:axId val="154883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Nombre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85183649"/>
        <c:crosses val="autoZero"/>
        <c:crossBetween val="between"/>
      </c:valAx>
      <c:catAx>
        <c:axId val="995149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5331511"/>
        <c:crosses val="autoZero"/>
        <c:auto val="1"/>
        <c:lblAlgn val="ctr"/>
        <c:lblOffset val="100"/>
        <c:noMultiLvlLbl val="0"/>
      </c:catAx>
      <c:valAx>
        <c:axId val="5331511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cumule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99514917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476250</xdr:colOff>
      <xdr:row>0</xdr:row>
      <xdr:rowOff>85725</xdr:rowOff>
    </xdr:from>
    <xdr:to>
      <xdr:col>15</xdr:col>
      <xdr:colOff>194985</xdr:colOff>
      <xdr:row>16</xdr:row>
      <xdr:rowOff>61335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I42" sqref="I42"/>
    </sheetView>
  </sheetViews>
  <sheetFormatPr baseColWidth="10" defaultColWidth="8.7109375" defaultRowHeight="15" x14ac:dyDescent="0.25"/>
  <cols>
    <col min="1" max="1" width="10" customWidth="1"/>
    <col min="2" max="2" width="6" customWidth="1"/>
    <col min="3" max="10" width="8" customWidth="1"/>
    <col min="11" max="11" width="9" customWidth="1"/>
    <col min="12" max="12" width="26" customWidth="1"/>
  </cols>
  <sheetData>
    <row r="1" spans="1:13" ht="21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5" customHeight="1" x14ac:dyDescent="0.25">
      <c r="A2" s="27" t="s">
        <v>1</v>
      </c>
      <c r="B2" s="27"/>
      <c r="C2" s="27"/>
      <c r="D2" s="27"/>
      <c r="F2" s="28"/>
      <c r="G2" s="28" t="s">
        <v>2</v>
      </c>
      <c r="H2" s="28"/>
      <c r="J2" s="28"/>
      <c r="K2" s="28"/>
    </row>
    <row r="3" spans="1:13" ht="15" customHeight="1" x14ac:dyDescent="0.25">
      <c r="A3" s="27" t="s">
        <v>3</v>
      </c>
      <c r="B3" s="27"/>
      <c r="C3" s="27"/>
      <c r="D3" s="27"/>
      <c r="G3" s="28" t="s">
        <v>4</v>
      </c>
      <c r="H3" s="28"/>
      <c r="I3" s="28"/>
      <c r="J3" s="28"/>
      <c r="K3" s="28"/>
      <c r="L3" s="28"/>
      <c r="M3" s="28"/>
    </row>
    <row r="4" spans="1:13" ht="15" customHeight="1" x14ac:dyDescent="0.25">
      <c r="A4" s="5" t="s">
        <v>5</v>
      </c>
      <c r="B4" s="5"/>
      <c r="C4" s="5"/>
      <c r="D4" s="5"/>
      <c r="E4" s="4"/>
      <c r="F4" s="4"/>
      <c r="G4" s="4"/>
      <c r="H4" s="4"/>
      <c r="I4" s="4"/>
      <c r="J4" s="4"/>
      <c r="K4" s="4"/>
    </row>
    <row r="5" spans="1:13" ht="15" customHeight="1" x14ac:dyDescent="0.25">
      <c r="A5" s="29" t="s">
        <v>6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7" spans="1:13" ht="23.25" customHeight="1" x14ac:dyDescent="0.25">
      <c r="A7" s="8" t="s">
        <v>7</v>
      </c>
      <c r="B7" s="9"/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15</v>
      </c>
      <c r="K7" s="8" t="s">
        <v>16</v>
      </c>
    </row>
    <row r="8" spans="1:13" ht="15" customHeight="1" x14ac:dyDescent="0.25">
      <c r="A8" s="3" t="s">
        <v>17</v>
      </c>
      <c r="B8" s="8" t="s">
        <v>18</v>
      </c>
      <c r="C8" s="10">
        <v>1</v>
      </c>
      <c r="D8" s="10">
        <v>1</v>
      </c>
      <c r="E8" s="10">
        <v>0</v>
      </c>
      <c r="F8" s="10">
        <v>1</v>
      </c>
      <c r="G8" s="10">
        <v>0</v>
      </c>
      <c r="H8" s="10">
        <v>1</v>
      </c>
      <c r="I8" s="10">
        <v>1</v>
      </c>
      <c r="J8" s="10">
        <v>0</v>
      </c>
      <c r="K8" s="11">
        <f>SUM(C8:J8)</f>
        <v>5</v>
      </c>
    </row>
    <row r="9" spans="1:13" ht="15" customHeight="1" x14ac:dyDescent="0.25">
      <c r="A9" s="3"/>
      <c r="B9" s="8" t="s">
        <v>19</v>
      </c>
      <c r="C9" s="9"/>
      <c r="D9" s="10">
        <v>1</v>
      </c>
      <c r="E9" s="9"/>
      <c r="F9" s="9"/>
      <c r="G9" s="9"/>
      <c r="H9" s="9"/>
      <c r="I9" s="9"/>
      <c r="J9" s="9"/>
      <c r="K9" s="11">
        <f>SUM(C9:J9)</f>
        <v>1</v>
      </c>
    </row>
    <row r="10" spans="1:13" ht="15" customHeight="1" x14ac:dyDescent="0.25">
      <c r="A10" s="3"/>
      <c r="B10" s="8" t="s">
        <v>20</v>
      </c>
      <c r="C10" s="9"/>
      <c r="D10" s="9"/>
      <c r="E10" s="10">
        <v>1</v>
      </c>
      <c r="F10" s="9"/>
      <c r="G10" s="9"/>
      <c r="H10" s="9"/>
      <c r="I10" s="9"/>
      <c r="J10" s="9"/>
      <c r="K10" s="11">
        <f>SUM(C10:J10)</f>
        <v>1</v>
      </c>
    </row>
    <row r="11" spans="1:13" ht="15" customHeight="1" x14ac:dyDescent="0.25">
      <c r="A11" s="3"/>
      <c r="B11" s="8" t="s">
        <v>21</v>
      </c>
      <c r="C11" s="9"/>
      <c r="D11" s="9"/>
      <c r="E11" s="10">
        <v>1</v>
      </c>
      <c r="F11" s="9"/>
      <c r="G11" s="9"/>
      <c r="H11" s="10">
        <v>1</v>
      </c>
      <c r="I11" s="9"/>
      <c r="J11" s="9"/>
      <c r="K11" s="11">
        <f>SUM(C11:J11)</f>
        <v>2</v>
      </c>
    </row>
    <row r="12" spans="1:13" ht="15" customHeight="1" x14ac:dyDescent="0.25">
      <c r="A12" s="3"/>
      <c r="B12" s="8" t="s">
        <v>22</v>
      </c>
      <c r="C12" s="9"/>
      <c r="D12" s="9"/>
      <c r="E12" s="9"/>
      <c r="F12" s="10">
        <v>1</v>
      </c>
      <c r="G12" s="9"/>
      <c r="H12" s="9"/>
      <c r="I12" s="9"/>
      <c r="J12" s="10">
        <v>1</v>
      </c>
      <c r="K12" s="11">
        <f>SUM(C12:J12)</f>
        <v>2</v>
      </c>
    </row>
    <row r="13" spans="1:13" ht="15" customHeight="1" x14ac:dyDescent="0.25">
      <c r="A13" s="12"/>
      <c r="B13" s="13" t="s">
        <v>23</v>
      </c>
      <c r="C13" s="14">
        <f t="shared" ref="C13:K13" si="0">SUM(C8:C12)</f>
        <v>1</v>
      </c>
      <c r="D13" s="14">
        <f t="shared" si="0"/>
        <v>2</v>
      </c>
      <c r="E13" s="14">
        <f t="shared" si="0"/>
        <v>2</v>
      </c>
      <c r="F13" s="14">
        <f t="shared" si="0"/>
        <v>2</v>
      </c>
      <c r="G13" s="14">
        <f t="shared" si="0"/>
        <v>0</v>
      </c>
      <c r="H13" s="14">
        <f t="shared" si="0"/>
        <v>2</v>
      </c>
      <c r="I13" s="14">
        <f t="shared" si="0"/>
        <v>1</v>
      </c>
      <c r="J13" s="14">
        <f t="shared" si="0"/>
        <v>1</v>
      </c>
      <c r="K13" s="15">
        <f t="shared" si="0"/>
        <v>11</v>
      </c>
      <c r="L13" s="16" t="s">
        <v>24</v>
      </c>
    </row>
    <row r="14" spans="1:13" ht="15" customHeight="1" x14ac:dyDescent="0.25">
      <c r="A14" s="3" t="s">
        <v>25</v>
      </c>
      <c r="B14" s="8" t="s">
        <v>18</v>
      </c>
      <c r="C14" s="10">
        <v>0</v>
      </c>
      <c r="D14" s="10">
        <v>1</v>
      </c>
      <c r="E14" s="10">
        <v>1</v>
      </c>
      <c r="F14" s="10">
        <v>0</v>
      </c>
      <c r="G14" s="10">
        <v>1</v>
      </c>
      <c r="H14" s="10">
        <v>0</v>
      </c>
      <c r="I14" s="10">
        <v>1</v>
      </c>
      <c r="J14" s="10">
        <v>0</v>
      </c>
      <c r="K14" s="11">
        <f>SUM(C14:J14)</f>
        <v>4</v>
      </c>
    </row>
    <row r="15" spans="1:13" ht="15" customHeight="1" x14ac:dyDescent="0.25">
      <c r="A15" s="3"/>
      <c r="B15" s="8" t="s">
        <v>19</v>
      </c>
      <c r="C15" s="10">
        <v>1</v>
      </c>
      <c r="D15" s="9"/>
      <c r="E15" s="10">
        <v>1</v>
      </c>
      <c r="F15" s="9"/>
      <c r="G15" s="9"/>
      <c r="H15" s="10">
        <v>1</v>
      </c>
      <c r="I15" s="9"/>
      <c r="J15" s="9"/>
      <c r="K15" s="11">
        <f>SUM(C15:J15)</f>
        <v>3</v>
      </c>
    </row>
    <row r="16" spans="1:13" ht="15" customHeight="1" x14ac:dyDescent="0.25">
      <c r="A16" s="3"/>
      <c r="B16" s="8" t="s">
        <v>20</v>
      </c>
      <c r="C16" s="10">
        <v>1</v>
      </c>
      <c r="D16" s="9"/>
      <c r="E16" s="9"/>
      <c r="F16" s="10">
        <v>1</v>
      </c>
      <c r="G16" s="9"/>
      <c r="H16" s="10">
        <v>1</v>
      </c>
      <c r="I16" s="9"/>
      <c r="J16" s="9"/>
      <c r="K16" s="11">
        <f>SUM(C16:J16)</f>
        <v>3</v>
      </c>
    </row>
    <row r="17" spans="1:12" ht="15" customHeight="1" x14ac:dyDescent="0.25">
      <c r="A17" s="3"/>
      <c r="B17" s="8" t="s">
        <v>21</v>
      </c>
      <c r="C17" s="9"/>
      <c r="D17" s="9"/>
      <c r="E17" s="9"/>
      <c r="F17" s="9"/>
      <c r="G17" s="9"/>
      <c r="H17" s="9"/>
      <c r="I17" s="9"/>
      <c r="J17" s="10">
        <v>1</v>
      </c>
      <c r="K17" s="11">
        <f>SUM(C17:J17)</f>
        <v>1</v>
      </c>
    </row>
    <row r="18" spans="1:12" ht="15" customHeight="1" x14ac:dyDescent="0.25">
      <c r="A18" s="3"/>
      <c r="B18" s="8" t="s">
        <v>22</v>
      </c>
      <c r="C18" s="9"/>
      <c r="D18" s="9"/>
      <c r="E18" s="9"/>
      <c r="F18" s="10">
        <v>1</v>
      </c>
      <c r="G18" s="9"/>
      <c r="H18" s="9"/>
      <c r="I18" s="9"/>
      <c r="J18" s="9"/>
      <c r="K18" s="11">
        <f>SUM(C18:J18)</f>
        <v>1</v>
      </c>
    </row>
    <row r="19" spans="1:12" ht="15" customHeight="1" x14ac:dyDescent="0.25">
      <c r="A19" s="12"/>
      <c r="B19" s="13" t="s">
        <v>23</v>
      </c>
      <c r="C19" s="14">
        <f t="shared" ref="C19:K19" si="1">SUM(C14:C18)</f>
        <v>2</v>
      </c>
      <c r="D19" s="14">
        <f t="shared" si="1"/>
        <v>1</v>
      </c>
      <c r="E19" s="14">
        <f t="shared" si="1"/>
        <v>2</v>
      </c>
      <c r="F19" s="14">
        <f t="shared" si="1"/>
        <v>2</v>
      </c>
      <c r="G19" s="14">
        <f t="shared" si="1"/>
        <v>1</v>
      </c>
      <c r="H19" s="14">
        <f t="shared" si="1"/>
        <v>2</v>
      </c>
      <c r="I19" s="14">
        <f t="shared" si="1"/>
        <v>1</v>
      </c>
      <c r="J19" s="14">
        <f t="shared" si="1"/>
        <v>1</v>
      </c>
      <c r="K19" s="15">
        <f t="shared" si="1"/>
        <v>12</v>
      </c>
      <c r="L19" s="16" t="s">
        <v>26</v>
      </c>
    </row>
    <row r="20" spans="1:12" ht="15" customHeight="1" x14ac:dyDescent="0.25">
      <c r="A20" s="3" t="s">
        <v>27</v>
      </c>
      <c r="B20" s="8" t="s">
        <v>18</v>
      </c>
      <c r="C20" s="10">
        <v>3</v>
      </c>
      <c r="D20" s="10">
        <v>2</v>
      </c>
      <c r="E20" s="10">
        <v>3</v>
      </c>
      <c r="F20" s="10">
        <v>2</v>
      </c>
      <c r="G20" s="10">
        <v>2</v>
      </c>
      <c r="H20" s="10">
        <v>2</v>
      </c>
      <c r="I20" s="10">
        <v>3</v>
      </c>
      <c r="J20" s="10">
        <v>2</v>
      </c>
      <c r="K20" s="11">
        <f>SUM(C20:J20)</f>
        <v>19</v>
      </c>
    </row>
    <row r="21" spans="1:12" ht="15" customHeight="1" x14ac:dyDescent="0.25">
      <c r="A21" s="3"/>
      <c r="B21" s="8" t="s">
        <v>19</v>
      </c>
      <c r="C21" s="9"/>
      <c r="D21" s="10">
        <v>1</v>
      </c>
      <c r="E21" s="9"/>
      <c r="F21" s="10">
        <v>1</v>
      </c>
      <c r="G21" s="9"/>
      <c r="H21" s="9"/>
      <c r="I21" s="9"/>
      <c r="J21" s="9"/>
      <c r="K21" s="11">
        <f>SUM(C21:J21)</f>
        <v>2</v>
      </c>
    </row>
    <row r="22" spans="1:12" ht="15" customHeight="1" x14ac:dyDescent="0.25">
      <c r="A22" s="3"/>
      <c r="B22" s="8" t="s">
        <v>20</v>
      </c>
      <c r="C22" s="9"/>
      <c r="D22" s="9"/>
      <c r="E22" s="9"/>
      <c r="F22" s="10">
        <v>1</v>
      </c>
      <c r="G22" s="9"/>
      <c r="H22" s="10">
        <v>1</v>
      </c>
      <c r="I22" s="9"/>
      <c r="J22" s="9"/>
      <c r="K22" s="11">
        <f>SUM(C22:J22)</f>
        <v>2</v>
      </c>
    </row>
    <row r="23" spans="1:12" ht="15" customHeight="1" x14ac:dyDescent="0.25">
      <c r="A23" s="3"/>
      <c r="B23" s="8" t="s">
        <v>21</v>
      </c>
      <c r="C23" s="10">
        <v>1</v>
      </c>
      <c r="D23" s="9"/>
      <c r="E23" s="10">
        <v>1</v>
      </c>
      <c r="F23" s="9"/>
      <c r="G23" s="9"/>
      <c r="H23" s="9"/>
      <c r="I23" s="9"/>
      <c r="J23" s="10">
        <v>1</v>
      </c>
      <c r="K23" s="11">
        <f>SUM(C23:J23)</f>
        <v>3</v>
      </c>
    </row>
    <row r="24" spans="1:12" ht="15" customHeight="1" x14ac:dyDescent="0.25">
      <c r="A24" s="3"/>
      <c r="B24" s="8" t="s">
        <v>22</v>
      </c>
      <c r="C24" s="9"/>
      <c r="D24" s="9"/>
      <c r="E24" s="9"/>
      <c r="F24" s="9"/>
      <c r="G24" s="9"/>
      <c r="H24" s="9"/>
      <c r="I24" s="9"/>
      <c r="J24" s="9"/>
      <c r="K24" s="11">
        <f>SUM(C24:J24)</f>
        <v>0</v>
      </c>
    </row>
    <row r="25" spans="1:12" ht="15" customHeight="1" x14ac:dyDescent="0.25">
      <c r="A25" s="12"/>
      <c r="B25" s="13" t="s">
        <v>23</v>
      </c>
      <c r="C25" s="14">
        <f t="shared" ref="C25:K25" si="2">SUM(C20:C24)</f>
        <v>4</v>
      </c>
      <c r="D25" s="14">
        <f t="shared" si="2"/>
        <v>3</v>
      </c>
      <c r="E25" s="14">
        <f t="shared" si="2"/>
        <v>4</v>
      </c>
      <c r="F25" s="14">
        <f t="shared" si="2"/>
        <v>4</v>
      </c>
      <c r="G25" s="14">
        <f t="shared" si="2"/>
        <v>2</v>
      </c>
      <c r="H25" s="14">
        <f t="shared" si="2"/>
        <v>3</v>
      </c>
      <c r="I25" s="14">
        <f t="shared" si="2"/>
        <v>3</v>
      </c>
      <c r="J25" s="14">
        <f t="shared" si="2"/>
        <v>3</v>
      </c>
      <c r="K25" s="15">
        <f t="shared" si="2"/>
        <v>26</v>
      </c>
      <c r="L25" s="16" t="s">
        <v>28</v>
      </c>
    </row>
    <row r="26" spans="1:12" ht="15" customHeight="1" x14ac:dyDescent="0.25">
      <c r="A26" s="3" t="s">
        <v>29</v>
      </c>
      <c r="B26" s="8" t="s">
        <v>18</v>
      </c>
      <c r="C26" s="10">
        <v>1</v>
      </c>
      <c r="D26" s="10">
        <v>0</v>
      </c>
      <c r="E26" s="10">
        <v>2</v>
      </c>
      <c r="F26" s="10">
        <v>1</v>
      </c>
      <c r="G26" s="10">
        <v>0</v>
      </c>
      <c r="H26" s="10">
        <v>1</v>
      </c>
      <c r="I26" s="10">
        <v>2</v>
      </c>
      <c r="J26" s="10">
        <v>1</v>
      </c>
      <c r="K26" s="11">
        <f>SUM(C26:J26)</f>
        <v>8</v>
      </c>
    </row>
    <row r="27" spans="1:12" ht="15" customHeight="1" x14ac:dyDescent="0.25">
      <c r="A27" s="3"/>
      <c r="B27" s="8" t="s">
        <v>19</v>
      </c>
      <c r="C27" s="9"/>
      <c r="D27" s="9"/>
      <c r="E27" s="9"/>
      <c r="F27" s="9"/>
      <c r="G27" s="9"/>
      <c r="H27" s="9"/>
      <c r="I27" s="9"/>
      <c r="J27" s="9"/>
      <c r="K27" s="11">
        <f>SUM(C27:J27)</f>
        <v>0</v>
      </c>
    </row>
    <row r="28" spans="1:12" ht="15" customHeight="1" x14ac:dyDescent="0.25">
      <c r="A28" s="3"/>
      <c r="B28" s="8" t="s">
        <v>20</v>
      </c>
      <c r="C28" s="9"/>
      <c r="D28" s="9"/>
      <c r="E28" s="9"/>
      <c r="F28" s="9"/>
      <c r="G28" s="10">
        <v>1</v>
      </c>
      <c r="H28" s="9"/>
      <c r="I28" s="9"/>
      <c r="J28" s="9"/>
      <c r="K28" s="11">
        <f>SUM(C28:J28)</f>
        <v>1</v>
      </c>
    </row>
    <row r="29" spans="1:12" ht="15" customHeight="1" x14ac:dyDescent="0.25">
      <c r="A29" s="3"/>
      <c r="B29" s="8" t="s">
        <v>21</v>
      </c>
      <c r="C29" s="9"/>
      <c r="D29" s="9"/>
      <c r="E29" s="9"/>
      <c r="F29" s="9"/>
      <c r="G29" s="10">
        <v>1</v>
      </c>
      <c r="H29" s="9"/>
      <c r="I29" s="9"/>
      <c r="J29" s="9"/>
      <c r="K29" s="11">
        <f>SUM(C29:J29)</f>
        <v>1</v>
      </c>
    </row>
    <row r="30" spans="1:12" ht="15" customHeight="1" x14ac:dyDescent="0.25">
      <c r="A30" s="3"/>
      <c r="B30" s="8" t="s">
        <v>22</v>
      </c>
      <c r="C30" s="9"/>
      <c r="D30" s="9"/>
      <c r="E30" s="9"/>
      <c r="F30" s="9"/>
      <c r="G30" s="10">
        <v>1</v>
      </c>
      <c r="H30" s="9"/>
      <c r="I30" s="10">
        <v>1</v>
      </c>
      <c r="J30" s="9"/>
      <c r="K30" s="11">
        <f>SUM(C30:J30)</f>
        <v>2</v>
      </c>
    </row>
    <row r="31" spans="1:12" ht="15" customHeight="1" x14ac:dyDescent="0.25">
      <c r="A31" s="12"/>
      <c r="B31" s="13" t="s">
        <v>23</v>
      </c>
      <c r="C31" s="14">
        <f t="shared" ref="C31:K31" si="3">SUM(C26:C30)</f>
        <v>1</v>
      </c>
      <c r="D31" s="14">
        <f t="shared" si="3"/>
        <v>0</v>
      </c>
      <c r="E31" s="14">
        <f t="shared" si="3"/>
        <v>2</v>
      </c>
      <c r="F31" s="14">
        <f t="shared" si="3"/>
        <v>1</v>
      </c>
      <c r="G31" s="14">
        <f t="shared" si="3"/>
        <v>3</v>
      </c>
      <c r="H31" s="14">
        <f t="shared" si="3"/>
        <v>1</v>
      </c>
      <c r="I31" s="14">
        <f t="shared" si="3"/>
        <v>3</v>
      </c>
      <c r="J31" s="14">
        <f t="shared" si="3"/>
        <v>1</v>
      </c>
      <c r="K31" s="15">
        <f t="shared" si="3"/>
        <v>12</v>
      </c>
      <c r="L31" s="16" t="s">
        <v>30</v>
      </c>
    </row>
    <row r="32" spans="1:12" ht="26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7">
        <f>K13+K19+K25+K31</f>
        <v>61</v>
      </c>
      <c r="L32" s="18" t="s">
        <v>31</v>
      </c>
    </row>
    <row r="34" spans="1:6" ht="15" customHeight="1" x14ac:dyDescent="0.25">
      <c r="A34" s="7" t="s">
        <v>32</v>
      </c>
    </row>
    <row r="35" spans="1:6" ht="15" customHeight="1" x14ac:dyDescent="0.25">
      <c r="A35" s="2" t="s">
        <v>33</v>
      </c>
      <c r="B35" s="2"/>
      <c r="C35" s="2"/>
      <c r="D35" s="2"/>
      <c r="E35" s="2"/>
      <c r="F35" s="2"/>
    </row>
    <row r="36" spans="1:6" ht="15" customHeight="1" x14ac:dyDescent="0.25">
      <c r="A36" s="2" t="s">
        <v>34</v>
      </c>
      <c r="B36" s="2"/>
      <c r="C36" s="2"/>
      <c r="D36" s="2"/>
      <c r="E36" s="2"/>
      <c r="F36" s="2"/>
    </row>
    <row r="37" spans="1:6" ht="15" customHeight="1" x14ac:dyDescent="0.25">
      <c r="A37" s="2" t="s">
        <v>35</v>
      </c>
      <c r="B37" s="2"/>
      <c r="C37" s="2"/>
      <c r="D37" s="2"/>
      <c r="E37" s="2"/>
      <c r="F37" s="2"/>
    </row>
    <row r="38" spans="1:6" ht="15" customHeight="1" x14ac:dyDescent="0.25">
      <c r="A38" s="2" t="s">
        <v>36</v>
      </c>
      <c r="B38" s="2"/>
      <c r="C38" s="2"/>
      <c r="D38" s="2"/>
      <c r="E38" s="2"/>
      <c r="F38" s="2"/>
    </row>
    <row r="39" spans="1:6" ht="15" customHeight="1" x14ac:dyDescent="0.25">
      <c r="A39" s="2" t="s">
        <v>37</v>
      </c>
      <c r="B39" s="2"/>
      <c r="C39" s="2"/>
      <c r="D39" s="2"/>
      <c r="E39" s="2"/>
      <c r="F39" s="2"/>
    </row>
  </sheetData>
  <mergeCells count="13">
    <mergeCell ref="A37:F37"/>
    <mergeCell ref="A38:F38"/>
    <mergeCell ref="A39:F39"/>
    <mergeCell ref="A5:K5"/>
    <mergeCell ref="A14:A18"/>
    <mergeCell ref="A20:A24"/>
    <mergeCell ref="A26:A30"/>
    <mergeCell ref="A35:F35"/>
    <mergeCell ref="A36:F36"/>
    <mergeCell ref="A4:D4"/>
    <mergeCell ref="E4:K4"/>
    <mergeCell ref="A8:A1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zoomScaleNormal="100" workbookViewId="0">
      <selection activeCell="B21" sqref="B21"/>
    </sheetView>
  </sheetViews>
  <sheetFormatPr baseColWidth="10" defaultColWidth="8.7109375" defaultRowHeight="15" x14ac:dyDescent="0.25"/>
  <cols>
    <col min="1" max="1" width="7" customWidth="1"/>
    <col min="2" max="2" width="24" customWidth="1"/>
    <col min="3" max="3" width="10" customWidth="1"/>
    <col min="4" max="5" width="14" customWidth="1"/>
    <col min="6" max="7" width="11" customWidth="1"/>
  </cols>
  <sheetData>
    <row r="1" spans="1:5" ht="19.5" customHeight="1" x14ac:dyDescent="0.25">
      <c r="A1" s="1" t="s">
        <v>38</v>
      </c>
      <c r="B1" s="1"/>
      <c r="C1" s="1"/>
      <c r="D1" s="1"/>
      <c r="E1" s="1"/>
    </row>
    <row r="2" spans="1:5" x14ac:dyDescent="0.25">
      <c r="A2" s="19" t="s">
        <v>39</v>
      </c>
      <c r="B2" s="19" t="s">
        <v>40</v>
      </c>
      <c r="C2" s="19" t="s">
        <v>41</v>
      </c>
      <c r="D2" s="19" t="s">
        <v>42</v>
      </c>
      <c r="E2" s="19" t="s">
        <v>43</v>
      </c>
    </row>
    <row r="3" spans="1:5" x14ac:dyDescent="0.25">
      <c r="A3" s="20">
        <v>1</v>
      </c>
      <c r="B3" s="21" t="s">
        <v>44</v>
      </c>
      <c r="C3" s="20">
        <f>'Feuille de releves'!K8+'Feuille de releves'!K14+'Feuille de releves'!K20+'Feuille de releves'!K26</f>
        <v>36</v>
      </c>
      <c r="D3" s="22">
        <f>C3/$C$8</f>
        <v>0.5901639344262295</v>
      </c>
      <c r="E3" s="22">
        <f>D3</f>
        <v>0.5901639344262295</v>
      </c>
    </row>
    <row r="4" spans="1:5" x14ac:dyDescent="0.25">
      <c r="A4" s="20">
        <v>2</v>
      </c>
      <c r="B4" s="21" t="s">
        <v>45</v>
      </c>
      <c r="C4" s="20">
        <f>'Feuille de releves'!K11+'Feuille de releves'!K17+'Feuille de releves'!K23+'Feuille de releves'!K29</f>
        <v>7</v>
      </c>
      <c r="D4" s="22">
        <f>C4/$C$8</f>
        <v>0.11475409836065574</v>
      </c>
      <c r="E4" s="22">
        <f>E3+D4</f>
        <v>0.70491803278688525</v>
      </c>
    </row>
    <row r="5" spans="1:5" x14ac:dyDescent="0.25">
      <c r="A5" s="20">
        <v>3</v>
      </c>
      <c r="B5" s="21" t="s">
        <v>46</v>
      </c>
      <c r="C5" s="20">
        <f>'Feuille de releves'!K10+'Feuille de releves'!K16+'Feuille de releves'!K22+'Feuille de releves'!K28</f>
        <v>7</v>
      </c>
      <c r="D5" s="22">
        <f>C5/$C$8</f>
        <v>0.11475409836065574</v>
      </c>
      <c r="E5" s="22">
        <f>E4+D5</f>
        <v>0.81967213114754101</v>
      </c>
    </row>
    <row r="6" spans="1:5" x14ac:dyDescent="0.25">
      <c r="A6" s="20">
        <v>4</v>
      </c>
      <c r="B6" s="21" t="s">
        <v>47</v>
      </c>
      <c r="C6" s="20">
        <f>'Feuille de releves'!K9+'Feuille de releves'!K15+'Feuille de releves'!K21+'Feuille de releves'!K27</f>
        <v>6</v>
      </c>
      <c r="D6" s="22">
        <f>C6/$C$8</f>
        <v>9.8360655737704916E-2</v>
      </c>
      <c r="E6" s="22">
        <f>E5+D6</f>
        <v>0.91803278688524592</v>
      </c>
    </row>
    <row r="7" spans="1:5" x14ac:dyDescent="0.25">
      <c r="A7" s="20">
        <v>5</v>
      </c>
      <c r="B7" s="21" t="s">
        <v>48</v>
      </c>
      <c r="C7" s="20">
        <f>'Feuille de releves'!K12+'Feuille de releves'!K18+'Feuille de releves'!K24+'Feuille de releves'!K30</f>
        <v>5</v>
      </c>
      <c r="D7" s="22">
        <f>C7/$C$8</f>
        <v>8.1967213114754092E-2</v>
      </c>
      <c r="E7" s="22">
        <f>E6+D7</f>
        <v>1</v>
      </c>
    </row>
    <row r="8" spans="1:5" x14ac:dyDescent="0.25">
      <c r="A8" s="23"/>
      <c r="B8" s="24" t="s">
        <v>49</v>
      </c>
      <c r="C8" s="25">
        <f>SUM(C3:C7)</f>
        <v>61</v>
      </c>
      <c r="D8" s="26">
        <f>C8/C8</f>
        <v>1</v>
      </c>
      <c r="E8" s="23"/>
    </row>
  </sheetData>
  <mergeCells count="1">
    <mergeCell ref="A1:E1"/>
  </mergeCells>
  <pageMargins left="0.75" right="0.75" top="1" bottom="1" header="0.511811023622047" footer="0.511811023622047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 de releves</vt:lpstr>
      <vt:lpstr>Pareto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Stéphane JAUBERT</cp:lastModifiedBy>
  <cp:revision>1</cp:revision>
  <cp:lastPrinted>2026-06-12T06:25:38Z</cp:lastPrinted>
  <dcterms:created xsi:type="dcterms:W3CDTF">2026-06-12T05:57:17Z</dcterms:created>
  <dcterms:modified xsi:type="dcterms:W3CDTF">2026-06-12T06:30:23Z</dcterms:modified>
  <dc:language>en-US</dc:language>
</cp:coreProperties>
</file>