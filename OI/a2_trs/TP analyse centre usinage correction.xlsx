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https://cfaicentre-my.sharepoint.com/personal/s_jaubert_poleformation-uimmcvdl_fr/Documents/Bachelor/2024 BACH/IP-RI/Stage 2 TRS/"/>
    </mc:Choice>
  </mc:AlternateContent>
  <xr:revisionPtr revIDLastSave="138" documentId="13_ncr:1_{ECACEB4F-9558-41A8-8CDC-88B685A29347}" xr6:coauthVersionLast="47" xr6:coauthVersionMax="47" xr10:uidLastSave="{38A635D3-352F-43D2-8C07-7CA5D4D9B617}"/>
  <bookViews>
    <workbookView xWindow="-120" yWindow="-120" windowWidth="29040" windowHeight="15840" xr2:uid="{0B317174-6610-4FA1-8F85-0AE134DA76FE}"/>
  </bookViews>
  <sheets>
    <sheet name="TRS" sheetId="1" r:id="rId1"/>
    <sheet name="Coûts déf " sheetId="2" r:id="rId2"/>
  </sheets>
  <definedNames>
    <definedName name="_xlchart.v1.0" hidden="1">'Coûts déf '!$P$21:$P$29</definedName>
    <definedName name="_xlchart.v1.1" hidden="1">'Coûts déf '!$T$21:$T$29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8" i="1" l="1"/>
  <c r="X36" i="1"/>
  <c r="B44" i="1"/>
  <c r="B38" i="1"/>
  <c r="B39" i="1"/>
  <c r="C60" i="2"/>
  <c r="D60" i="2"/>
  <c r="E60" i="2"/>
  <c r="F60" i="2"/>
  <c r="G60" i="2"/>
  <c r="H60" i="2"/>
  <c r="I60" i="2"/>
  <c r="J60" i="2"/>
  <c r="B60" i="2"/>
  <c r="C59" i="2"/>
  <c r="D59" i="2"/>
  <c r="E59" i="2"/>
  <c r="F59" i="2"/>
  <c r="G59" i="2"/>
  <c r="H59" i="2"/>
  <c r="I59" i="2"/>
  <c r="J59" i="2"/>
  <c r="B59" i="2"/>
  <c r="C58" i="2"/>
  <c r="D58" i="2"/>
  <c r="E58" i="2"/>
  <c r="F58" i="2"/>
  <c r="G58" i="2"/>
  <c r="H58" i="2"/>
  <c r="I58" i="2"/>
  <c r="J58" i="2"/>
  <c r="B58" i="2"/>
  <c r="X29" i="1"/>
  <c r="X35" i="1"/>
  <c r="C39" i="1"/>
  <c r="D39" i="1"/>
  <c r="E39" i="1"/>
  <c r="F39" i="1"/>
  <c r="G39" i="1"/>
  <c r="H39" i="1"/>
  <c r="I39" i="1"/>
  <c r="J39" i="1"/>
  <c r="K39" i="1"/>
  <c r="L39" i="1"/>
  <c r="M39" i="1"/>
  <c r="N39" i="1"/>
  <c r="O39" i="1"/>
  <c r="P39" i="1"/>
  <c r="Q39" i="1"/>
  <c r="R39" i="1"/>
  <c r="S39" i="1"/>
  <c r="T39" i="1"/>
  <c r="U39" i="1"/>
  <c r="V39" i="1"/>
  <c r="W39" i="1"/>
  <c r="C40" i="1"/>
  <c r="D40" i="1"/>
  <c r="E40" i="1"/>
  <c r="F40" i="1"/>
  <c r="G40" i="1"/>
  <c r="H40" i="1"/>
  <c r="I40" i="1"/>
  <c r="J40" i="1"/>
  <c r="K40" i="1"/>
  <c r="L40" i="1"/>
  <c r="M40" i="1"/>
  <c r="N40" i="1"/>
  <c r="O40" i="1"/>
  <c r="P40" i="1"/>
  <c r="Q40" i="1"/>
  <c r="R40" i="1"/>
  <c r="S40" i="1"/>
  <c r="T40" i="1"/>
  <c r="U40" i="1"/>
  <c r="V40" i="1"/>
  <c r="W40" i="1"/>
  <c r="B40" i="1"/>
  <c r="S29" i="2"/>
  <c r="R29" i="2"/>
  <c r="Q29" i="2"/>
  <c r="R28" i="2"/>
  <c r="S28" i="2"/>
  <c r="Q28" i="2"/>
  <c r="R27" i="2"/>
  <c r="S27" i="2"/>
  <c r="Q27" i="2"/>
  <c r="R26" i="2"/>
  <c r="S26" i="2"/>
  <c r="Q26" i="2"/>
  <c r="T26" i="2" l="1"/>
  <c r="S25" i="2"/>
  <c r="Q25" i="2"/>
  <c r="S24" i="2"/>
  <c r="R24" i="2"/>
  <c r="Q24" i="2"/>
  <c r="S23" i="2"/>
  <c r="R23" i="2"/>
  <c r="Q23" i="2"/>
  <c r="T22" i="2"/>
  <c r="T27" i="2"/>
  <c r="T28" i="2"/>
  <c r="T29" i="2"/>
  <c r="R22" i="2"/>
  <c r="S22" i="2"/>
  <c r="Q22" i="2"/>
  <c r="T21" i="2"/>
  <c r="R21" i="2"/>
  <c r="S21" i="2"/>
  <c r="Q21" i="2"/>
  <c r="C41" i="1"/>
  <c r="D41" i="1"/>
  <c r="E41" i="1"/>
  <c r="F41" i="1"/>
  <c r="G41" i="1"/>
  <c r="H41" i="1"/>
  <c r="I41" i="1"/>
  <c r="J41" i="1"/>
  <c r="K41" i="1"/>
  <c r="L41" i="1"/>
  <c r="M41" i="1"/>
  <c r="N41" i="1"/>
  <c r="O41" i="1"/>
  <c r="P41" i="1"/>
  <c r="Q41" i="1"/>
  <c r="R41" i="1"/>
  <c r="S41" i="1"/>
  <c r="T41" i="1"/>
  <c r="U41" i="1"/>
  <c r="V41" i="1"/>
  <c r="W41" i="1"/>
  <c r="B41" i="1"/>
  <c r="C38" i="1"/>
  <c r="D38" i="1"/>
  <c r="E38" i="1"/>
  <c r="F38" i="1"/>
  <c r="G38" i="1"/>
  <c r="H38" i="1"/>
  <c r="I38" i="1"/>
  <c r="J38" i="1"/>
  <c r="K38" i="1"/>
  <c r="L38" i="1"/>
  <c r="M38" i="1"/>
  <c r="N38" i="1"/>
  <c r="O38" i="1"/>
  <c r="P38" i="1"/>
  <c r="Q38" i="1"/>
  <c r="R38" i="1"/>
  <c r="S38" i="1"/>
  <c r="T38" i="1"/>
  <c r="U38" i="1"/>
  <c r="V38" i="1"/>
  <c r="W38" i="1"/>
  <c r="C28" i="1"/>
  <c r="D28" i="1"/>
  <c r="E28" i="1"/>
  <c r="F28" i="1"/>
  <c r="G28" i="1"/>
  <c r="H28" i="1"/>
  <c r="I28" i="1"/>
  <c r="J28" i="1"/>
  <c r="K28" i="1"/>
  <c r="L28" i="1"/>
  <c r="M28" i="1"/>
  <c r="N28" i="1"/>
  <c r="O28" i="1"/>
  <c r="P28" i="1"/>
  <c r="Q28" i="1"/>
  <c r="R28" i="1"/>
  <c r="S28" i="1"/>
  <c r="T28" i="1"/>
  <c r="U28" i="1"/>
  <c r="V28" i="1"/>
  <c r="W28" i="1"/>
  <c r="B28" i="1"/>
  <c r="C37" i="1"/>
  <c r="D37" i="1"/>
  <c r="E37" i="1"/>
  <c r="F37" i="1"/>
  <c r="G37" i="1"/>
  <c r="H37" i="1"/>
  <c r="I37" i="1"/>
  <c r="J37" i="1"/>
  <c r="K37" i="1"/>
  <c r="L37" i="1"/>
  <c r="M37" i="1"/>
  <c r="N37" i="1"/>
  <c r="O37" i="1"/>
  <c r="P37" i="1"/>
  <c r="Q37" i="1"/>
  <c r="R37" i="1"/>
  <c r="S37" i="1"/>
  <c r="T37" i="1"/>
  <c r="U37" i="1"/>
  <c r="V37" i="1"/>
  <c r="W37" i="1"/>
  <c r="B37" i="1"/>
  <c r="C29" i="1"/>
  <c r="D29" i="1"/>
  <c r="E29" i="1"/>
  <c r="E36" i="1" s="1"/>
  <c r="F29" i="1"/>
  <c r="F36" i="1" s="1"/>
  <c r="G29" i="1"/>
  <c r="H29" i="1"/>
  <c r="I29" i="1"/>
  <c r="I36" i="1" s="1"/>
  <c r="J29" i="1"/>
  <c r="J36" i="1" s="1"/>
  <c r="K29" i="1"/>
  <c r="L29" i="1"/>
  <c r="M29" i="1"/>
  <c r="N29" i="1"/>
  <c r="N36" i="1" s="1"/>
  <c r="O29" i="1"/>
  <c r="P29" i="1"/>
  <c r="Q29" i="1"/>
  <c r="R29" i="1"/>
  <c r="R36" i="1" s="1"/>
  <c r="S29" i="1"/>
  <c r="T29" i="1"/>
  <c r="U29" i="1"/>
  <c r="V29" i="1"/>
  <c r="V36" i="1" s="1"/>
  <c r="W29" i="1"/>
  <c r="B29" i="1"/>
  <c r="B36" i="1" s="1"/>
  <c r="C36" i="1"/>
  <c r="D36" i="1"/>
  <c r="G36" i="1"/>
  <c r="H36" i="1"/>
  <c r="K36" i="1"/>
  <c r="L36" i="1"/>
  <c r="M36" i="1"/>
  <c r="O36" i="1"/>
  <c r="P36" i="1"/>
  <c r="Q36" i="1"/>
  <c r="S36" i="1"/>
  <c r="T36" i="1"/>
  <c r="U36" i="1"/>
  <c r="W36" i="1"/>
  <c r="C35" i="1"/>
  <c r="D35" i="1"/>
  <c r="E35" i="1"/>
  <c r="F35" i="1"/>
  <c r="G35" i="1"/>
  <c r="H35" i="1"/>
  <c r="I35" i="1"/>
  <c r="J35" i="1"/>
  <c r="K35" i="1"/>
  <c r="L35" i="1"/>
  <c r="M35" i="1"/>
  <c r="N35" i="1"/>
  <c r="O35" i="1"/>
  <c r="P35" i="1"/>
  <c r="Q35" i="1"/>
  <c r="R35" i="1"/>
  <c r="S35" i="1"/>
  <c r="T35" i="1"/>
  <c r="U35" i="1"/>
  <c r="V35" i="1"/>
  <c r="W35" i="1"/>
  <c r="B35" i="1"/>
  <c r="C32" i="1"/>
  <c r="D32" i="1"/>
  <c r="E32" i="1"/>
  <c r="F32" i="1"/>
  <c r="G32" i="1"/>
  <c r="H32" i="1"/>
  <c r="I32" i="1"/>
  <c r="J32" i="1"/>
  <c r="K32" i="1"/>
  <c r="L32" i="1"/>
  <c r="M32" i="1"/>
  <c r="N32" i="1"/>
  <c r="O32" i="1"/>
  <c r="P32" i="1"/>
  <c r="Q32" i="1"/>
  <c r="R32" i="1"/>
  <c r="S32" i="1"/>
  <c r="T32" i="1"/>
  <c r="U32" i="1"/>
  <c r="V32" i="1"/>
  <c r="W32" i="1"/>
  <c r="B32" i="1"/>
  <c r="T25" i="2" l="1"/>
  <c r="T24" i="2"/>
  <c r="T23" i="2"/>
  <c r="T30" i="2" l="1"/>
  <c r="U22" i="2" s="1"/>
  <c r="U28" i="2" l="1"/>
  <c r="U24" i="2"/>
  <c r="U27" i="2"/>
  <c r="U21" i="2"/>
  <c r="U23" i="2"/>
  <c r="U29" i="2"/>
  <c r="U26" i="2"/>
  <c r="U25" i="2"/>
</calcChain>
</file>

<file path=xl/sharedStrings.xml><?xml version="1.0" encoding="utf-8"?>
<sst xmlns="http://schemas.openxmlformats.org/spreadsheetml/2006/main" count="130" uniqueCount="104">
  <si>
    <t>Total heures d'arrêts</t>
  </si>
  <si>
    <t>Quantité produite  par C31</t>
  </si>
  <si>
    <t>Quantité produite  par C41</t>
  </si>
  <si>
    <t>Quantité totale</t>
  </si>
  <si>
    <t>Temps requis</t>
  </si>
  <si>
    <t>Quantité théoriquement réalisable</t>
  </si>
  <si>
    <t>Quantité acceptée C31</t>
  </si>
  <si>
    <t>Quantité acceptée C41</t>
  </si>
  <si>
    <t>Temps d'ouverture</t>
  </si>
  <si>
    <t>Quantité totale acceptée</t>
  </si>
  <si>
    <t>TRS</t>
  </si>
  <si>
    <t>Une cellule flexible est composée par 2 éléments principaux qui sont 2 centres d’usinage horizontaux</t>
  </si>
  <si>
    <t>C31 et C41 alimentés automatiquement en pièces et en outils par un portique à commande numérique.</t>
  </si>
  <si>
    <t>La cellule comporte également une machine à laver destinée au décapage des pièces usinées.</t>
  </si>
  <si>
    <t>La gestion de la fabrication est assistée par ordinateur et la cellule peut produire simultanément 2 types de</t>
  </si>
  <si>
    <t>pièces différentes. L’alimentation de la cellule en pièces et en outils se fait automatiquement par chariots</t>
  </si>
  <si>
    <t>filoguidés.</t>
  </si>
  <si>
    <t>Le centre C31 a une cadence de 15,7 pièces par heure.</t>
  </si>
  <si>
    <t>Le centre C41 a une cadence de 14,4 pièces par heure.</t>
  </si>
  <si>
    <t>NOM :</t>
  </si>
  <si>
    <t>1) Compléter le tableau ci-dessous</t>
  </si>
  <si>
    <t xml:space="preserve">2) Calculer le TRS quotidien et représenter sur un graphique son évolution </t>
  </si>
  <si>
    <t>3) En déduire le TRS mensuel</t>
  </si>
  <si>
    <t>quotidiennement et d’une manière plus globale mensuellement. L’objectif fixé est un TRS de 0,75.</t>
  </si>
  <si>
    <t>L’indicateur pour quantifier le rendement global de la cellule est le TRS. Le TRS est calculé</t>
  </si>
  <si>
    <t>Etudes des coûts de défaillances</t>
  </si>
  <si>
    <t>issus de la décomposition de la cellule en sous-ensembles fonctionnels</t>
  </si>
  <si>
    <t>On donne l’historique de la cellule flexible sur les 4 derniers mois. Les repères S1 à S9 correspondent aux différents sous systèmes</t>
  </si>
  <si>
    <t>S1</t>
  </si>
  <si>
    <t>S2</t>
  </si>
  <si>
    <t>S3</t>
  </si>
  <si>
    <t>S4</t>
  </si>
  <si>
    <t>S5</t>
  </si>
  <si>
    <t>S6</t>
  </si>
  <si>
    <t>S7</t>
  </si>
  <si>
    <t>S8</t>
  </si>
  <si>
    <t>S9</t>
  </si>
  <si>
    <t>Sous systèmes</t>
  </si>
  <si>
    <t>Défaillance</t>
  </si>
  <si>
    <t>Temps d'arrêts (H)</t>
  </si>
  <si>
    <t>Couts des rechanges (€)</t>
  </si>
  <si>
    <t xml:space="preserve">Capteur fin de course </t>
  </si>
  <si>
    <t xml:space="preserve">Capteur présence pièce </t>
  </si>
  <si>
    <t xml:space="preserve">Moteur d’axe </t>
  </si>
  <si>
    <t xml:space="preserve">Palette mal bridée </t>
  </si>
  <si>
    <t xml:space="preserve">Connectique </t>
  </si>
  <si>
    <t xml:space="preserve">Carte d’axe </t>
  </si>
  <si>
    <t>Vérin pneumatique</t>
  </si>
  <si>
    <t xml:space="preserve">Pompe lubrification </t>
  </si>
  <si>
    <t xml:space="preserve">Echange console </t>
  </si>
  <si>
    <t xml:space="preserve">Identification palettes </t>
  </si>
  <si>
    <t>Coincement protection telescopique</t>
  </si>
  <si>
    <t>Palette mal bridée</t>
  </si>
  <si>
    <t xml:space="preserve">Manque huile </t>
  </si>
  <si>
    <t xml:space="preserve">Injecteurs bouchés </t>
  </si>
  <si>
    <t xml:space="preserve">Blocage outil </t>
  </si>
  <si>
    <t>Désindexage plateau</t>
  </si>
  <si>
    <t xml:space="preserve">Mauvaise MIP </t>
  </si>
  <si>
    <t xml:space="preserve">Perte OM </t>
  </si>
  <si>
    <t xml:space="preserve">Blocage mécanique </t>
  </si>
  <si>
    <t xml:space="preserve">Rupture câble alimentation </t>
  </si>
  <si>
    <t>Connectique</t>
  </si>
  <si>
    <t>Coincement câble pneumatique</t>
  </si>
  <si>
    <t xml:space="preserve">Thermique moteur broche </t>
  </si>
  <si>
    <t>Réglage vis à bille</t>
  </si>
  <si>
    <t xml:space="preserve">Palette mal positionnée </t>
  </si>
  <si>
    <t>Coincement protection téléescopique</t>
  </si>
  <si>
    <t xml:space="preserve">Perte programme </t>
  </si>
  <si>
    <t xml:space="preserve">Mauvais indexage </t>
  </si>
  <si>
    <t xml:space="preserve">Coincement mécanique </t>
  </si>
  <si>
    <t xml:space="preserve">Capteur porte </t>
  </si>
  <si>
    <t xml:space="preserve">Réglage variateur </t>
  </si>
  <si>
    <t xml:space="preserve">Blocage mécanique outil </t>
  </si>
  <si>
    <t xml:space="preserve">Pompe hydraulique </t>
  </si>
  <si>
    <t>Travail demandé :</t>
  </si>
  <si>
    <t>1) Compléter le tableau ci-dessous des coûts de défaillance</t>
  </si>
  <si>
    <t>3) Interpréter et conclure</t>
  </si>
  <si>
    <t>· Taux horaire de la main d’oeuvre de maintenance = 38€ / heure</t>
  </si>
  <si>
    <t>· Taux horaire d’indisponibilité : 237€ / heure</t>
  </si>
  <si>
    <t>Sous Systèmes</t>
  </si>
  <si>
    <t>Coûts de la main d’oeuvre de d'œuvre de maintenance</t>
  </si>
  <si>
    <t>Coûts des rechanges</t>
  </si>
  <si>
    <t>Coûts d'indisponibilité</t>
  </si>
  <si>
    <t>Coûts de défaillance</t>
  </si>
  <si>
    <t>Travail à faire : Voir les deux onglets - Rendre par mail ou déposer sur le serveur ce fichier Excel</t>
  </si>
  <si>
    <t>coût de défaillance et en mettant en évidence les sous-systèmes responsables de 80% des coûts</t>
  </si>
  <si>
    <t>2) Effectuer, à partir du tableau complété, une analyse statistique (histogramme) en prenant comme critère le</t>
  </si>
  <si>
    <t>4) Conclure sur l'objectif et sur le taux le plus pénalisant</t>
  </si>
  <si>
    <t>Taux Qualité</t>
  </si>
  <si>
    <t>Temps fonctionnement</t>
  </si>
  <si>
    <t>Taux Perf</t>
  </si>
  <si>
    <t>DO</t>
  </si>
  <si>
    <t>Fréquence</t>
  </si>
  <si>
    <t>COÜT MI</t>
  </si>
  <si>
    <t>Coût rech</t>
  </si>
  <si>
    <t>Coût d'ind</t>
  </si>
  <si>
    <t>S</t>
  </si>
  <si>
    <t>TRS MENSUEL
 = "Pièces bonnes"/"pièces Th réalisables"</t>
  </si>
  <si>
    <t>moyenne des TRS quotidiens</t>
  </si>
  <si>
    <t>nous observons que la moyenne des TRS quotidien est égale au quotien "Pièces Bonnes dans le mois" sur "pièces Théoriquement réalisables dans le mois". Cela est dû au fait que le Temps Requis est identique pour chaque jour. De plus nous pouvons nous interroger sur la prise en compte des 3 jours où il y a eu 8 heures d'arrêts ! Si cela est dû au moyen de production ou à une cause externe ?...</t>
  </si>
  <si>
    <t>L'objectif est loin d'être atteint. Sans tenir compte des 3 jours sans production il y a 9 jours dans le mois où le TRS est inférieur à 75%</t>
  </si>
  <si>
    <t>Moyenne des TRS sans tenir compte des 3 jours sans production :</t>
  </si>
  <si>
    <t>Le responsable de la cellule de prod peut me rétorquer que son service fait bien son travail, le TRS mensuel est atteint. Les 3 jours de non prod ne sont pas de sa responsabilité mais sont dûs à des causes extérieures à son service !</t>
  </si>
  <si>
    <t>Sans surprise nous constatons que c'est la DO le taux le plus pénalisant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</si>
</sst>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9"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
      <sz val="11"/>
      <color theme="1"/>
      <name val="Calibri"/>
      <family val="2"/>
      <scheme val="minor"/>
    </font>
    <font>
      <b/>
      <sz val="22"/>
      <color theme="1"/>
      <name val="Symbol"/>
      <family val="1"/>
      <charset val="2"/>
    </font>
    <font>
      <sz val="11"/>
      <color rgb="FFFF0000"/>
      <name val="Calibri"/>
      <family val="2"/>
      <scheme val="minor"/>
    </font>
    <font>
      <b/>
      <sz val="16"/>
      <color rgb="FFFF0000"/>
      <name val="Calibri"/>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top/>
      <bottom/>
      <diagonal/>
    </border>
  </borders>
  <cellStyleXfs count="2">
    <xf numFmtId="0" fontId="0" fillId="0" borderId="0"/>
    <xf numFmtId="9" fontId="5" fillId="0" borderId="0" applyFont="0" applyFill="0" applyBorder="0" applyAlignment="0" applyProtection="0"/>
  </cellStyleXfs>
  <cellXfs count="48">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1" fillId="0" borderId="1" xfId="0" applyFont="1" applyBorder="1" applyAlignment="1">
      <alignment wrapText="1"/>
    </xf>
    <xf numFmtId="16" fontId="0" fillId="2" borderId="1" xfId="0" applyNumberFormat="1" applyFill="1" applyBorder="1"/>
    <xf numFmtId="0" fontId="0" fillId="0" borderId="1" xfId="0" applyBorder="1" applyAlignment="1">
      <alignment horizontal="center" vertical="center" wrapText="1"/>
    </xf>
    <xf numFmtId="0" fontId="0" fillId="0" borderId="1" xfId="0" applyBorder="1" applyAlignment="1">
      <alignment horizontal="center" vertical="center"/>
    </xf>
    <xf numFmtId="0" fontId="4" fillId="3" borderId="1" xfId="0" applyFont="1" applyFill="1" applyBorder="1" applyAlignment="1">
      <alignment horizontal="center" vertical="center" wrapText="1"/>
    </xf>
    <xf numFmtId="0" fontId="1" fillId="0" borderId="0" xfId="0" applyFont="1"/>
    <xf numFmtId="0" fontId="2" fillId="0" borderId="0" xfId="0" applyFont="1"/>
    <xf numFmtId="0" fontId="2" fillId="0" borderId="1" xfId="0" applyFont="1" applyBorder="1" applyAlignment="1">
      <alignment horizontal="center" vertical="center"/>
    </xf>
    <xf numFmtId="0" fontId="3" fillId="0" borderId="0" xfId="0" applyFont="1"/>
    <xf numFmtId="0" fontId="0" fillId="0" borderId="0" xfId="0" applyAlignment="1">
      <alignment vertical="center" wrapText="1"/>
    </xf>
    <xf numFmtId="0" fontId="0" fillId="5" borderId="1" xfId="0" applyFill="1" applyBorder="1"/>
    <xf numFmtId="0" fontId="0" fillId="6" borderId="1" xfId="0" applyFill="1" applyBorder="1"/>
    <xf numFmtId="0" fontId="0" fillId="4" borderId="1" xfId="0" applyFill="1" applyBorder="1" applyAlignment="1">
      <alignment vertical="center" wrapText="1"/>
    </xf>
    <xf numFmtId="0" fontId="0" fillId="4" borderId="1" xfId="0" applyFill="1" applyBorder="1" applyAlignment="1">
      <alignment vertical="center"/>
    </xf>
    <xf numFmtId="0" fontId="0" fillId="4" borderId="1" xfId="0" applyFill="1" applyBorder="1" applyAlignment="1">
      <alignment horizontal="center" vertical="center" wrapText="1"/>
    </xf>
    <xf numFmtId="0" fontId="1" fillId="7" borderId="0" xfId="0" applyFont="1" applyFill="1"/>
    <xf numFmtId="0" fontId="0" fillId="7" borderId="0" xfId="0" applyFill="1"/>
    <xf numFmtId="0" fontId="0" fillId="7" borderId="1" xfId="0" applyFill="1" applyBorder="1"/>
    <xf numFmtId="10" fontId="0" fillId="0" borderId="1" xfId="1" applyNumberFormat="1" applyFont="1" applyBorder="1"/>
    <xf numFmtId="0" fontId="1" fillId="7" borderId="2" xfId="0" applyFont="1" applyFill="1" applyBorder="1" applyAlignment="1">
      <alignment horizontal="center" wrapText="1"/>
    </xf>
    <xf numFmtId="0" fontId="0" fillId="0" borderId="4" xfId="0" applyBorder="1" applyAlignment="1">
      <alignment horizontal="center" vertical="center" wrapText="1"/>
    </xf>
    <xf numFmtId="0" fontId="3" fillId="0" borderId="2" xfId="0" applyFont="1" applyBorder="1" applyAlignment="1">
      <alignment horizontal="center" vertical="center" wrapText="1"/>
    </xf>
    <xf numFmtId="0" fontId="6" fillId="0" borderId="3" xfId="0" applyFont="1" applyBorder="1" applyAlignment="1">
      <alignment horizontal="center" vertical="center" wrapText="1"/>
    </xf>
    <xf numFmtId="0" fontId="0" fillId="0" borderId="1" xfId="0" applyBorder="1" applyAlignment="1">
      <alignment horizontal="center"/>
    </xf>
    <xf numFmtId="0" fontId="1" fillId="7" borderId="0" xfId="0" applyFont="1" applyFill="1" applyAlignment="1">
      <alignment horizontal="center" vertical="center"/>
    </xf>
    <xf numFmtId="0" fontId="0" fillId="4" borderId="1" xfId="0" applyFill="1" applyBorder="1" applyAlignment="1">
      <alignment horizontal="center"/>
    </xf>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165" fontId="4" fillId="3" borderId="1" xfId="1" applyNumberFormat="1" applyFont="1" applyFill="1" applyBorder="1" applyAlignment="1">
      <alignment horizontal="center" vertical="center" wrapText="1"/>
    </xf>
    <xf numFmtId="0" fontId="6" fillId="0" borderId="5" xfId="0" applyFont="1" applyBorder="1" applyAlignment="1">
      <alignment horizontal="center" vertical="center" wrapText="1"/>
    </xf>
    <xf numFmtId="165" fontId="3" fillId="7" borderId="1" xfId="1" applyNumberFormat="1" applyFont="1" applyFill="1" applyBorder="1" applyAlignment="1">
      <alignment horizontal="center" vertical="center"/>
    </xf>
    <xf numFmtId="0" fontId="3" fillId="0" borderId="6" xfId="0" applyFont="1" applyBorder="1" applyAlignment="1">
      <alignment horizontal="center" vertical="center" wrapText="1"/>
    </xf>
    <xf numFmtId="165" fontId="4" fillId="7" borderId="1" xfId="1" applyNumberFormat="1" applyFont="1" applyFill="1" applyBorder="1" applyAlignment="1">
      <alignment horizontal="center" vertical="center" wrapText="1"/>
    </xf>
    <xf numFmtId="0" fontId="1" fillId="7" borderId="1" xfId="0" applyFont="1" applyFill="1" applyBorder="1" applyAlignment="1">
      <alignment horizontal="center" vertical="center" wrapText="1"/>
    </xf>
    <xf numFmtId="0" fontId="0" fillId="0" borderId="7" xfId="0" applyBorder="1" applyAlignment="1">
      <alignment horizontal="left" vertical="top" wrapText="1"/>
    </xf>
    <xf numFmtId="165" fontId="8" fillId="3" borderId="1" xfId="1" applyNumberFormat="1" applyFont="1" applyFill="1" applyBorder="1" applyAlignment="1">
      <alignment horizontal="center" vertical="center" wrapText="1"/>
    </xf>
    <xf numFmtId="0" fontId="0" fillId="0" borderId="0" xfId="0" applyBorder="1" applyAlignment="1">
      <alignment horizontal="left" vertical="top" wrapText="1"/>
    </xf>
    <xf numFmtId="0" fontId="7" fillId="0" borderId="1" xfId="0" applyFont="1" applyBorder="1"/>
    <xf numFmtId="10" fontId="7" fillId="0" borderId="1" xfId="1" applyNumberFormat="1" applyFont="1" applyBorder="1"/>
    <xf numFmtId="165" fontId="8" fillId="7" borderId="1" xfId="0" applyNumberFormat="1" applyFont="1" applyFill="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wrapText="1"/>
    </xf>
    <xf numFmtId="0" fontId="1" fillId="0" borderId="1" xfId="0" applyFont="1" applyBorder="1" applyAlignment="1">
      <alignment horizontal="left" vertical="top" wrapText="1"/>
    </xf>
    <xf numFmtId="0" fontId="2" fillId="0" borderId="1" xfId="0" applyFont="1" applyBorder="1" applyAlignment="1">
      <alignment horizontal="center" vertical="center"/>
    </xf>
  </cellXfs>
  <cellStyles count="2">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TRS Quotidien</c:v>
          </c:tx>
          <c:spPr>
            <a:ln w="19050" cap="rnd">
              <a:solidFill>
                <a:schemeClr val="accent1"/>
              </a:solidFill>
              <a:round/>
            </a:ln>
            <a:effectLst/>
          </c:spPr>
          <c:marker>
            <c:symbol val="circle"/>
            <c:size val="5"/>
            <c:spPr>
              <a:solidFill>
                <a:schemeClr val="accent1"/>
              </a:solidFill>
              <a:ln w="9525">
                <a:solidFill>
                  <a:schemeClr val="accent1"/>
                </a:solidFill>
              </a:ln>
              <a:effectLst/>
            </c:spPr>
          </c:marker>
          <c:dPt>
            <c:idx val="12"/>
            <c:marker>
              <c:symbol val="circle"/>
              <c:size val="5"/>
              <c:spPr>
                <a:solidFill>
                  <a:srgbClr val="C00000"/>
                </a:solidFill>
                <a:ln w="9525">
                  <a:solidFill>
                    <a:schemeClr val="accent1"/>
                  </a:solidFill>
                </a:ln>
                <a:effectLst/>
              </c:spPr>
            </c:marker>
            <c:bubble3D val="0"/>
            <c:extLst>
              <c:ext xmlns:c16="http://schemas.microsoft.com/office/drawing/2014/chart" uri="{C3380CC4-5D6E-409C-BE32-E72D297353CC}">
                <c16:uniqueId val="{00000003-C944-4E21-A1CA-DF16B22A7F40}"/>
              </c:ext>
            </c:extLst>
          </c:dPt>
          <c:dPt>
            <c:idx val="13"/>
            <c:marker>
              <c:symbol val="circle"/>
              <c:size val="5"/>
              <c:spPr>
                <a:solidFill>
                  <a:srgbClr val="FF0000"/>
                </a:solidFill>
                <a:ln w="9525">
                  <a:solidFill>
                    <a:schemeClr val="accent1"/>
                  </a:solidFill>
                </a:ln>
                <a:effectLst/>
              </c:spPr>
            </c:marker>
            <c:bubble3D val="0"/>
            <c:extLst>
              <c:ext xmlns:c16="http://schemas.microsoft.com/office/drawing/2014/chart" uri="{C3380CC4-5D6E-409C-BE32-E72D297353CC}">
                <c16:uniqueId val="{00000004-C944-4E21-A1CA-DF16B22A7F40}"/>
              </c:ext>
            </c:extLst>
          </c:dPt>
          <c:dPt>
            <c:idx val="20"/>
            <c:marker>
              <c:symbol val="circle"/>
              <c:size val="5"/>
              <c:spPr>
                <a:solidFill>
                  <a:srgbClr val="FF0000"/>
                </a:solidFill>
                <a:ln w="9525">
                  <a:solidFill>
                    <a:schemeClr val="accent1"/>
                  </a:solidFill>
                </a:ln>
                <a:effectLst/>
              </c:spPr>
            </c:marker>
            <c:bubble3D val="0"/>
            <c:extLst>
              <c:ext xmlns:c16="http://schemas.microsoft.com/office/drawing/2014/chart" uri="{C3380CC4-5D6E-409C-BE32-E72D297353CC}">
                <c16:uniqueId val="{00000005-C944-4E21-A1CA-DF16B22A7F40}"/>
              </c:ext>
            </c:extLst>
          </c:dPt>
          <c:xVal>
            <c:numRef>
              <c:f>TRS!$B$25:$W$25</c:f>
              <c:numCache>
                <c:formatCode>d\-mmm</c:formatCode>
                <c:ptCount val="22"/>
                <c:pt idx="0">
                  <c:v>44166</c:v>
                </c:pt>
                <c:pt idx="1">
                  <c:v>44167</c:v>
                </c:pt>
                <c:pt idx="2">
                  <c:v>44170</c:v>
                </c:pt>
                <c:pt idx="3">
                  <c:v>44171</c:v>
                </c:pt>
                <c:pt idx="4">
                  <c:v>44172</c:v>
                </c:pt>
                <c:pt idx="5">
                  <c:v>44173</c:v>
                </c:pt>
                <c:pt idx="6">
                  <c:v>44174</c:v>
                </c:pt>
                <c:pt idx="7">
                  <c:v>44177</c:v>
                </c:pt>
                <c:pt idx="8">
                  <c:v>44178</c:v>
                </c:pt>
                <c:pt idx="9">
                  <c:v>44179</c:v>
                </c:pt>
                <c:pt idx="10">
                  <c:v>44180</c:v>
                </c:pt>
                <c:pt idx="11">
                  <c:v>44181</c:v>
                </c:pt>
                <c:pt idx="12">
                  <c:v>44184</c:v>
                </c:pt>
                <c:pt idx="13">
                  <c:v>44185</c:v>
                </c:pt>
                <c:pt idx="14">
                  <c:v>44186</c:v>
                </c:pt>
                <c:pt idx="15">
                  <c:v>44187</c:v>
                </c:pt>
                <c:pt idx="16">
                  <c:v>44188</c:v>
                </c:pt>
                <c:pt idx="17">
                  <c:v>44191</c:v>
                </c:pt>
                <c:pt idx="18">
                  <c:v>44192</c:v>
                </c:pt>
                <c:pt idx="19">
                  <c:v>44193</c:v>
                </c:pt>
                <c:pt idx="20">
                  <c:v>44194</c:v>
                </c:pt>
                <c:pt idx="21">
                  <c:v>44195</c:v>
                </c:pt>
              </c:numCache>
            </c:numRef>
          </c:xVal>
          <c:yVal>
            <c:numRef>
              <c:f>TRS!$B$36:$W$36</c:f>
              <c:numCache>
                <c:formatCode>0.0%</c:formatCode>
                <c:ptCount val="22"/>
                <c:pt idx="0">
                  <c:v>0.58139534883720922</c:v>
                </c:pt>
                <c:pt idx="1">
                  <c:v>0.86794019933554811</c:v>
                </c:pt>
                <c:pt idx="2">
                  <c:v>0.89285714285714279</c:v>
                </c:pt>
                <c:pt idx="3">
                  <c:v>0.35299003322259137</c:v>
                </c:pt>
                <c:pt idx="4">
                  <c:v>0.95514950166112955</c:v>
                </c:pt>
                <c:pt idx="5">
                  <c:v>0.78903654485049834</c:v>
                </c:pt>
                <c:pt idx="6">
                  <c:v>0.88870431893687707</c:v>
                </c:pt>
                <c:pt idx="7">
                  <c:v>0.59800664451827235</c:v>
                </c:pt>
                <c:pt idx="8">
                  <c:v>0.72259136212624586</c:v>
                </c:pt>
                <c:pt idx="9">
                  <c:v>0.59385382059800662</c:v>
                </c:pt>
                <c:pt idx="10">
                  <c:v>0.97176079734219267</c:v>
                </c:pt>
                <c:pt idx="11">
                  <c:v>0.87624584717607967</c:v>
                </c:pt>
                <c:pt idx="12">
                  <c:v>0</c:v>
                </c:pt>
                <c:pt idx="13">
                  <c:v>0</c:v>
                </c:pt>
                <c:pt idx="14">
                  <c:v>0.98421926910298996</c:v>
                </c:pt>
                <c:pt idx="15">
                  <c:v>0.58970099667774079</c:v>
                </c:pt>
                <c:pt idx="16">
                  <c:v>0.88039867109634551</c:v>
                </c:pt>
                <c:pt idx="17">
                  <c:v>0.47757475083056478</c:v>
                </c:pt>
                <c:pt idx="18">
                  <c:v>0.71843853820598003</c:v>
                </c:pt>
                <c:pt idx="19">
                  <c:v>0.95930232558139528</c:v>
                </c:pt>
                <c:pt idx="20">
                  <c:v>0</c:v>
                </c:pt>
                <c:pt idx="21">
                  <c:v>0.59385382059800662</c:v>
                </c:pt>
              </c:numCache>
            </c:numRef>
          </c:yVal>
          <c:smooth val="0"/>
          <c:extLst>
            <c:ext xmlns:c16="http://schemas.microsoft.com/office/drawing/2014/chart" uri="{C3380CC4-5D6E-409C-BE32-E72D297353CC}">
              <c16:uniqueId val="{00000000-9D9C-4F83-9094-EA826D2A9E6B}"/>
            </c:ext>
          </c:extLst>
        </c:ser>
        <c:ser>
          <c:idx val="1"/>
          <c:order val="1"/>
          <c:tx>
            <c:v>Objectif</c:v>
          </c:tx>
          <c:spPr>
            <a:ln w="19050" cap="rnd">
              <a:solidFill>
                <a:schemeClr val="accent2"/>
              </a:solidFill>
              <a:round/>
            </a:ln>
            <a:effectLst/>
          </c:spPr>
          <c:marker>
            <c:symbol val="circle"/>
            <c:size val="5"/>
            <c:spPr>
              <a:solidFill>
                <a:schemeClr val="accent2"/>
              </a:solidFill>
              <a:ln w="9525">
                <a:solidFill>
                  <a:schemeClr val="accent2"/>
                </a:solidFill>
              </a:ln>
              <a:effectLst/>
            </c:spPr>
          </c:marker>
          <c:dLbls>
            <c:dLbl>
              <c:idx val="0"/>
              <c:layout>
                <c:manualLayout>
                  <c:x val="-1.0081300529046059E-3"/>
                  <c:y val="-0.120028146901163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944-4E21-A1CA-DF16B22A7F40}"/>
                </c:ext>
              </c:extLst>
            </c:dLbl>
            <c:dLbl>
              <c:idx val="1"/>
              <c:layout>
                <c:manualLayout>
                  <c:x val="-1.6130080846473768E-2"/>
                  <c:y val="-9.82048474645879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944-4E21-A1CA-DF16B22A7F4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Lit>
              <c:formatCode>General</c:formatCode>
              <c:ptCount val="2"/>
              <c:pt idx="0">
                <c:v>44166</c:v>
              </c:pt>
              <c:pt idx="1">
                <c:v>44195</c:v>
              </c:pt>
            </c:numLit>
          </c:xVal>
          <c:yVal>
            <c:numLit>
              <c:formatCode>General</c:formatCode>
              <c:ptCount val="2"/>
              <c:pt idx="0">
                <c:v>0.75</c:v>
              </c:pt>
              <c:pt idx="1">
                <c:v>0.75</c:v>
              </c:pt>
            </c:numLit>
          </c:yVal>
          <c:smooth val="0"/>
          <c:extLst>
            <c:ext xmlns:c16="http://schemas.microsoft.com/office/drawing/2014/chart" uri="{C3380CC4-5D6E-409C-BE32-E72D297353CC}">
              <c16:uniqueId val="{00000000-C944-4E21-A1CA-DF16B22A7F40}"/>
            </c:ext>
          </c:extLst>
        </c:ser>
        <c:ser>
          <c:idx val="2"/>
          <c:order val="2"/>
          <c:tx>
            <c:v>TxQ</c:v>
          </c:tx>
          <c:spPr>
            <a:ln w="19050" cap="rnd">
              <a:solidFill>
                <a:srgbClr val="00B050"/>
              </a:solidFill>
              <a:round/>
            </a:ln>
            <a:effectLst/>
          </c:spPr>
          <c:marker>
            <c:symbol val="circle"/>
            <c:size val="5"/>
            <c:spPr>
              <a:solidFill>
                <a:srgbClr val="00B050"/>
              </a:solidFill>
              <a:ln w="9525">
                <a:solidFill>
                  <a:srgbClr val="00B050"/>
                </a:solidFill>
              </a:ln>
              <a:effectLst/>
            </c:spPr>
          </c:marker>
          <c:xVal>
            <c:numRef>
              <c:f>TRS!$B$25:$W$25</c:f>
              <c:numCache>
                <c:formatCode>d\-mmm</c:formatCode>
                <c:ptCount val="22"/>
                <c:pt idx="0">
                  <c:v>44166</c:v>
                </c:pt>
                <c:pt idx="1">
                  <c:v>44167</c:v>
                </c:pt>
                <c:pt idx="2">
                  <c:v>44170</c:v>
                </c:pt>
                <c:pt idx="3">
                  <c:v>44171</c:v>
                </c:pt>
                <c:pt idx="4">
                  <c:v>44172</c:v>
                </c:pt>
                <c:pt idx="5">
                  <c:v>44173</c:v>
                </c:pt>
                <c:pt idx="6">
                  <c:v>44174</c:v>
                </c:pt>
                <c:pt idx="7">
                  <c:v>44177</c:v>
                </c:pt>
                <c:pt idx="8">
                  <c:v>44178</c:v>
                </c:pt>
                <c:pt idx="9">
                  <c:v>44179</c:v>
                </c:pt>
                <c:pt idx="10">
                  <c:v>44180</c:v>
                </c:pt>
                <c:pt idx="11">
                  <c:v>44181</c:v>
                </c:pt>
                <c:pt idx="12">
                  <c:v>44184</c:v>
                </c:pt>
                <c:pt idx="13">
                  <c:v>44185</c:v>
                </c:pt>
                <c:pt idx="14">
                  <c:v>44186</c:v>
                </c:pt>
                <c:pt idx="15">
                  <c:v>44187</c:v>
                </c:pt>
                <c:pt idx="16">
                  <c:v>44188</c:v>
                </c:pt>
                <c:pt idx="17">
                  <c:v>44191</c:v>
                </c:pt>
                <c:pt idx="18">
                  <c:v>44192</c:v>
                </c:pt>
                <c:pt idx="19">
                  <c:v>44193</c:v>
                </c:pt>
                <c:pt idx="20">
                  <c:v>44194</c:v>
                </c:pt>
                <c:pt idx="21">
                  <c:v>44195</c:v>
                </c:pt>
              </c:numCache>
            </c:numRef>
          </c:xVal>
          <c:yVal>
            <c:numRef>
              <c:f>TRS!$B$38:$W$38</c:f>
              <c:numCache>
                <c:formatCode>0.00%</c:formatCode>
                <c:ptCount val="22"/>
                <c:pt idx="0">
                  <c:v>0.97902097902097907</c:v>
                </c:pt>
                <c:pt idx="1">
                  <c:v>0.95871559633027525</c:v>
                </c:pt>
                <c:pt idx="2">
                  <c:v>0.99537037037037035</c:v>
                </c:pt>
                <c:pt idx="3">
                  <c:v>0.97701149425287359</c:v>
                </c:pt>
                <c:pt idx="4">
                  <c:v>0.97046413502109707</c:v>
                </c:pt>
                <c:pt idx="5">
                  <c:v>1</c:v>
                </c:pt>
                <c:pt idx="6">
                  <c:v>0.97272727272727277</c:v>
                </c:pt>
                <c:pt idx="7">
                  <c:v>0.97959183673469385</c:v>
                </c:pt>
                <c:pt idx="8">
                  <c:v>0.98305084745762716</c:v>
                </c:pt>
                <c:pt idx="9">
                  <c:v>1</c:v>
                </c:pt>
                <c:pt idx="10">
                  <c:v>0.99152542372881358</c:v>
                </c:pt>
                <c:pt idx="11">
                  <c:v>0.99061032863849763</c:v>
                </c:pt>
                <c:pt idx="12">
                  <c:v>0</c:v>
                </c:pt>
                <c:pt idx="13">
                  <c:v>0</c:v>
                </c:pt>
                <c:pt idx="14">
                  <c:v>1</c:v>
                </c:pt>
                <c:pt idx="15">
                  <c:v>0.98611111111111116</c:v>
                </c:pt>
                <c:pt idx="16">
                  <c:v>0.99530516431924887</c:v>
                </c:pt>
                <c:pt idx="17">
                  <c:v>1</c:v>
                </c:pt>
                <c:pt idx="18">
                  <c:v>0.98857142857142855</c:v>
                </c:pt>
                <c:pt idx="19">
                  <c:v>0.99568965517241381</c:v>
                </c:pt>
                <c:pt idx="20">
                  <c:v>0</c:v>
                </c:pt>
                <c:pt idx="21">
                  <c:v>0.98620689655172411</c:v>
                </c:pt>
              </c:numCache>
            </c:numRef>
          </c:yVal>
          <c:smooth val="0"/>
          <c:extLst>
            <c:ext xmlns:c16="http://schemas.microsoft.com/office/drawing/2014/chart" uri="{C3380CC4-5D6E-409C-BE32-E72D297353CC}">
              <c16:uniqueId val="{00000006-C944-4E21-A1CA-DF16B22A7F40}"/>
            </c:ext>
          </c:extLst>
        </c:ser>
        <c:ser>
          <c:idx val="3"/>
          <c:order val="3"/>
          <c:tx>
            <c:v>TxPerf</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TRS!$B$25:$W$25</c:f>
              <c:numCache>
                <c:formatCode>d\-mmm</c:formatCode>
                <c:ptCount val="22"/>
                <c:pt idx="0">
                  <c:v>44166</c:v>
                </c:pt>
                <c:pt idx="1">
                  <c:v>44167</c:v>
                </c:pt>
                <c:pt idx="2">
                  <c:v>44170</c:v>
                </c:pt>
                <c:pt idx="3">
                  <c:v>44171</c:v>
                </c:pt>
                <c:pt idx="4">
                  <c:v>44172</c:v>
                </c:pt>
                <c:pt idx="5">
                  <c:v>44173</c:v>
                </c:pt>
                <c:pt idx="6">
                  <c:v>44174</c:v>
                </c:pt>
                <c:pt idx="7">
                  <c:v>44177</c:v>
                </c:pt>
                <c:pt idx="8">
                  <c:v>44178</c:v>
                </c:pt>
                <c:pt idx="9">
                  <c:v>44179</c:v>
                </c:pt>
                <c:pt idx="10">
                  <c:v>44180</c:v>
                </c:pt>
                <c:pt idx="11">
                  <c:v>44181</c:v>
                </c:pt>
                <c:pt idx="12">
                  <c:v>44184</c:v>
                </c:pt>
                <c:pt idx="13">
                  <c:v>44185</c:v>
                </c:pt>
                <c:pt idx="14">
                  <c:v>44186</c:v>
                </c:pt>
                <c:pt idx="15">
                  <c:v>44187</c:v>
                </c:pt>
                <c:pt idx="16">
                  <c:v>44188</c:v>
                </c:pt>
                <c:pt idx="17">
                  <c:v>44191</c:v>
                </c:pt>
                <c:pt idx="18">
                  <c:v>44192</c:v>
                </c:pt>
                <c:pt idx="19">
                  <c:v>44193</c:v>
                </c:pt>
                <c:pt idx="20">
                  <c:v>44194</c:v>
                </c:pt>
                <c:pt idx="21">
                  <c:v>44195</c:v>
                </c:pt>
              </c:numCache>
            </c:numRef>
          </c:xVal>
          <c:yVal>
            <c:numRef>
              <c:f>TRS!$B$39:$W$39</c:f>
              <c:numCache>
                <c:formatCode>0.00%</c:formatCode>
                <c:ptCount val="22"/>
                <c:pt idx="0">
                  <c:v>0.95016611295681064</c:v>
                </c:pt>
                <c:pt idx="1">
                  <c:v>0.96566998892580291</c:v>
                </c:pt>
                <c:pt idx="2">
                  <c:v>0.95681063122923582</c:v>
                </c:pt>
                <c:pt idx="3">
                  <c:v>0.96345514950166111</c:v>
                </c:pt>
                <c:pt idx="4">
                  <c:v>0.98421926910298996</c:v>
                </c:pt>
                <c:pt idx="5">
                  <c:v>0.97112190135445953</c:v>
                </c:pt>
                <c:pt idx="6">
                  <c:v>0.9745293466223699</c:v>
                </c:pt>
                <c:pt idx="7">
                  <c:v>0.97674418604651159</c:v>
                </c:pt>
                <c:pt idx="8">
                  <c:v>0.98006644518272423</c:v>
                </c:pt>
                <c:pt idx="9">
                  <c:v>0.86378737541528239</c:v>
                </c:pt>
                <c:pt idx="10">
                  <c:v>0.98006644518272423</c:v>
                </c:pt>
                <c:pt idx="11">
                  <c:v>0.94352159468438535</c:v>
                </c:pt>
                <c:pt idx="12">
                  <c:v>0</c:v>
                </c:pt>
                <c:pt idx="13">
                  <c:v>0</c:v>
                </c:pt>
                <c:pt idx="14">
                  <c:v>0.98421926910298996</c:v>
                </c:pt>
                <c:pt idx="15">
                  <c:v>0.95681063122923571</c:v>
                </c:pt>
                <c:pt idx="16">
                  <c:v>0.88455149501661123</c:v>
                </c:pt>
                <c:pt idx="17">
                  <c:v>0.95514950166112955</c:v>
                </c:pt>
                <c:pt idx="18">
                  <c:v>0.96899224806201545</c:v>
                </c:pt>
                <c:pt idx="19">
                  <c:v>0.96345514950166111</c:v>
                </c:pt>
                <c:pt idx="20">
                  <c:v>0</c:v>
                </c:pt>
                <c:pt idx="21">
                  <c:v>0.96345514950166111</c:v>
                </c:pt>
              </c:numCache>
            </c:numRef>
          </c:yVal>
          <c:smooth val="0"/>
          <c:extLst>
            <c:ext xmlns:c16="http://schemas.microsoft.com/office/drawing/2014/chart" uri="{C3380CC4-5D6E-409C-BE32-E72D297353CC}">
              <c16:uniqueId val="{00000007-C944-4E21-A1CA-DF16B22A7F40}"/>
            </c:ext>
          </c:extLst>
        </c:ser>
        <c:ser>
          <c:idx val="4"/>
          <c:order val="4"/>
          <c:tx>
            <c:v>DO</c:v>
          </c:tx>
          <c:spPr>
            <a:ln w="19050" cap="rnd">
              <a:solidFill>
                <a:srgbClr val="FF0000"/>
              </a:solidFill>
              <a:round/>
            </a:ln>
            <a:effectLst/>
          </c:spPr>
          <c:marker>
            <c:symbol val="circle"/>
            <c:size val="5"/>
            <c:spPr>
              <a:solidFill>
                <a:srgbClr val="FF0000"/>
              </a:solidFill>
              <a:ln w="9525">
                <a:solidFill>
                  <a:srgbClr val="FF0000"/>
                </a:solidFill>
              </a:ln>
              <a:effectLst/>
            </c:spPr>
          </c:marker>
          <c:xVal>
            <c:numRef>
              <c:f>TRS!$B$25:$W$25</c:f>
              <c:numCache>
                <c:formatCode>d\-mmm</c:formatCode>
                <c:ptCount val="22"/>
                <c:pt idx="0">
                  <c:v>44166</c:v>
                </c:pt>
                <c:pt idx="1">
                  <c:v>44167</c:v>
                </c:pt>
                <c:pt idx="2">
                  <c:v>44170</c:v>
                </c:pt>
                <c:pt idx="3">
                  <c:v>44171</c:v>
                </c:pt>
                <c:pt idx="4">
                  <c:v>44172</c:v>
                </c:pt>
                <c:pt idx="5">
                  <c:v>44173</c:v>
                </c:pt>
                <c:pt idx="6">
                  <c:v>44174</c:v>
                </c:pt>
                <c:pt idx="7">
                  <c:v>44177</c:v>
                </c:pt>
                <c:pt idx="8">
                  <c:v>44178</c:v>
                </c:pt>
                <c:pt idx="9">
                  <c:v>44179</c:v>
                </c:pt>
                <c:pt idx="10">
                  <c:v>44180</c:v>
                </c:pt>
                <c:pt idx="11">
                  <c:v>44181</c:v>
                </c:pt>
                <c:pt idx="12">
                  <c:v>44184</c:v>
                </c:pt>
                <c:pt idx="13">
                  <c:v>44185</c:v>
                </c:pt>
                <c:pt idx="14">
                  <c:v>44186</c:v>
                </c:pt>
                <c:pt idx="15">
                  <c:v>44187</c:v>
                </c:pt>
                <c:pt idx="16">
                  <c:v>44188</c:v>
                </c:pt>
                <c:pt idx="17">
                  <c:v>44191</c:v>
                </c:pt>
                <c:pt idx="18">
                  <c:v>44192</c:v>
                </c:pt>
                <c:pt idx="19">
                  <c:v>44193</c:v>
                </c:pt>
                <c:pt idx="20">
                  <c:v>44194</c:v>
                </c:pt>
                <c:pt idx="21">
                  <c:v>44195</c:v>
                </c:pt>
              </c:numCache>
            </c:numRef>
          </c:xVal>
          <c:yVal>
            <c:numRef>
              <c:f>TRS!$B$40:$W$40</c:f>
              <c:numCache>
                <c:formatCode>0.00%</c:formatCode>
                <c:ptCount val="22"/>
                <c:pt idx="0">
                  <c:v>0.625</c:v>
                </c:pt>
                <c:pt idx="1">
                  <c:v>0.9375</c:v>
                </c:pt>
                <c:pt idx="2">
                  <c:v>0.9375</c:v>
                </c:pt>
                <c:pt idx="3">
                  <c:v>0.375</c:v>
                </c:pt>
                <c:pt idx="4">
                  <c:v>1</c:v>
                </c:pt>
                <c:pt idx="5">
                  <c:v>0.8125</c:v>
                </c:pt>
                <c:pt idx="6">
                  <c:v>0.9375</c:v>
                </c:pt>
                <c:pt idx="7">
                  <c:v>0.625</c:v>
                </c:pt>
                <c:pt idx="8">
                  <c:v>0.75</c:v>
                </c:pt>
                <c:pt idx="9">
                  <c:v>0.6875</c:v>
                </c:pt>
                <c:pt idx="10">
                  <c:v>1</c:v>
                </c:pt>
                <c:pt idx="11">
                  <c:v>0.9375</c:v>
                </c:pt>
                <c:pt idx="12">
                  <c:v>0</c:v>
                </c:pt>
                <c:pt idx="13">
                  <c:v>0</c:v>
                </c:pt>
                <c:pt idx="14">
                  <c:v>1</c:v>
                </c:pt>
                <c:pt idx="15">
                  <c:v>0.625</c:v>
                </c:pt>
                <c:pt idx="16">
                  <c:v>1</c:v>
                </c:pt>
                <c:pt idx="17">
                  <c:v>0.5</c:v>
                </c:pt>
                <c:pt idx="18">
                  <c:v>0.75</c:v>
                </c:pt>
                <c:pt idx="19">
                  <c:v>1</c:v>
                </c:pt>
                <c:pt idx="20">
                  <c:v>0</c:v>
                </c:pt>
                <c:pt idx="21">
                  <c:v>0.625</c:v>
                </c:pt>
              </c:numCache>
            </c:numRef>
          </c:yVal>
          <c:smooth val="0"/>
          <c:extLst>
            <c:ext xmlns:c16="http://schemas.microsoft.com/office/drawing/2014/chart" uri="{C3380CC4-5D6E-409C-BE32-E72D297353CC}">
              <c16:uniqueId val="{00000008-C944-4E21-A1CA-DF16B22A7F40}"/>
            </c:ext>
          </c:extLst>
        </c:ser>
        <c:dLbls>
          <c:showLegendKey val="0"/>
          <c:showVal val="0"/>
          <c:showCatName val="0"/>
          <c:showSerName val="0"/>
          <c:showPercent val="0"/>
          <c:showBubbleSize val="0"/>
        </c:dLbls>
        <c:axId val="733353208"/>
        <c:axId val="733351240"/>
      </c:scatterChart>
      <c:valAx>
        <c:axId val="733353208"/>
        <c:scaling>
          <c:orientation val="minMax"/>
          <c:max val="44195"/>
          <c:min val="44166"/>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33351240"/>
        <c:crosses val="autoZero"/>
        <c:crossBetween val="midCat"/>
        <c:majorUnit val="1"/>
      </c:valAx>
      <c:valAx>
        <c:axId val="73335124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3335320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rich>
          <a:bodyPr spcFirstLastPara="1" vertOverflow="ellipsis" horzOverflow="overflow" wrap="square" lIns="0" tIns="0" rIns="0" bIns="0" anchor="ctr" anchorCtr="1"/>
          <a:lstStyle/>
          <a:p>
            <a:pPr algn="ctr" rtl="0">
              <a:defRPr/>
            </a:pPr>
            <a:r>
              <a:rPr lang="fr-FR" sz="1400" b="0" i="0" u="none" strike="noStrike" baseline="0">
                <a:solidFill>
                  <a:sysClr val="windowText" lastClr="000000">
                    <a:lumMod val="65000"/>
                    <a:lumOff val="35000"/>
                  </a:sysClr>
                </a:solidFill>
                <a:latin typeface="Calibri" panose="020F0502020204030204"/>
              </a:rPr>
              <a:t>Pareto</a:t>
            </a:r>
          </a:p>
          <a:p>
            <a:pPr algn="ctr" rtl="0">
              <a:defRPr/>
            </a:pPr>
            <a:endParaRPr lang="fr-FR" sz="1400" b="0" i="0" u="none" strike="noStrike" baseline="0">
              <a:solidFill>
                <a:sysClr val="windowText" lastClr="000000">
                  <a:lumMod val="65000"/>
                  <a:lumOff val="35000"/>
                </a:sysClr>
              </a:solidFill>
              <a:latin typeface="Calibri" panose="020F0502020204030204"/>
            </a:endParaRPr>
          </a:p>
        </cx:rich>
      </cx:tx>
    </cx:title>
    <cx:plotArea>
      <cx:plotAreaRegion>
        <cx:series layoutId="clusteredColumn" uniqueId="{F2708970-0DDF-49EB-A344-9AD87914C6A2}">
          <cx:dataId val="0"/>
          <cx:layoutPr>
            <cx:aggregation/>
          </cx:layoutPr>
          <cx:axisId val="1"/>
        </cx:series>
        <cx:series layoutId="paretoLine" ownerIdx="0" uniqueId="{009890F9-9C78-4AF0-9E65-F4CD8F48C91C}">
          <cx:axisId val="2"/>
        </cx:series>
      </cx:plotAreaRegion>
      <cx:axis id="0">
        <cx:catScaling gapWidth="0.0399999991"/>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1259758</xdr:colOff>
      <xdr:row>44</xdr:row>
      <xdr:rowOff>52029</xdr:rowOff>
    </xdr:from>
    <xdr:to>
      <xdr:col>23</xdr:col>
      <xdr:colOff>727178</xdr:colOff>
      <xdr:row>62</xdr:row>
      <xdr:rowOff>40968</xdr:rowOff>
    </xdr:to>
    <xdr:graphicFrame macro="">
      <xdr:nvGraphicFramePr>
        <xdr:cNvPr id="2" name="Graphique 1">
          <a:extLst>
            <a:ext uri="{FF2B5EF4-FFF2-40B4-BE49-F238E27FC236}">
              <a16:creationId xmlns:a16="http://schemas.microsoft.com/office/drawing/2014/main" id="{EF72AD83-7161-4042-897D-4BD442A60F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752475</xdr:colOff>
      <xdr:row>31</xdr:row>
      <xdr:rowOff>23812</xdr:rowOff>
    </xdr:from>
    <xdr:to>
      <xdr:col>19</xdr:col>
      <xdr:colOff>1390650</xdr:colOff>
      <xdr:row>49</xdr:row>
      <xdr:rowOff>47625</xdr:rowOff>
    </xdr:to>
    <mc:AlternateContent xmlns:mc="http://schemas.openxmlformats.org/markup-compatibility/2006">
      <mc:Choice xmlns:cx1="http://schemas.microsoft.com/office/drawing/2015/9/8/chartex" Requires="cx1">
        <xdr:graphicFrame macro="">
          <xdr:nvGraphicFramePr>
            <xdr:cNvPr id="2" name="Graphique 1">
              <a:extLst>
                <a:ext uri="{FF2B5EF4-FFF2-40B4-BE49-F238E27FC236}">
                  <a16:creationId xmlns:a16="http://schemas.microsoft.com/office/drawing/2014/main" id="{0D78DA6F-E15A-42D4-B443-B954E3BFDD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353425" y="6300787"/>
              <a:ext cx="7677150" cy="3595688"/>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368A5-3BBC-48BD-A4CF-04033307A40A}">
  <sheetPr>
    <pageSetUpPr fitToPage="1"/>
  </sheetPr>
  <dimension ref="A1:Y70"/>
  <sheetViews>
    <sheetView tabSelected="1" topLeftCell="A44" zoomScale="93" zoomScaleNormal="79" workbookViewId="0">
      <selection activeCell="D76" sqref="D76"/>
    </sheetView>
  </sheetViews>
  <sheetFormatPr baseColWidth="10" defaultRowHeight="15" x14ac:dyDescent="0.25"/>
  <cols>
    <col min="1" max="1" width="23" customWidth="1"/>
    <col min="2" max="23" width="12.5703125" customWidth="1"/>
    <col min="24" max="24" width="16.42578125" bestFit="1" customWidth="1"/>
    <col min="25" max="25" width="16" customWidth="1"/>
  </cols>
  <sheetData>
    <row r="1" spans="1:10" ht="35.25" customHeight="1" x14ac:dyDescent="0.25">
      <c r="A1" s="11" t="s">
        <v>19</v>
      </c>
      <c r="B1" s="27"/>
      <c r="C1" s="27"/>
      <c r="D1" s="27"/>
      <c r="E1" s="27"/>
      <c r="F1" s="27"/>
      <c r="G1" s="27"/>
      <c r="H1" s="27"/>
    </row>
    <row r="3" spans="1:10" x14ac:dyDescent="0.25">
      <c r="A3" s="28" t="s">
        <v>84</v>
      </c>
      <c r="B3" s="28"/>
      <c r="C3" s="28"/>
      <c r="D3" s="28"/>
      <c r="E3" s="28"/>
      <c r="F3" s="28"/>
      <c r="G3" s="28"/>
      <c r="H3" s="28"/>
      <c r="I3" s="28"/>
      <c r="J3" s="28"/>
    </row>
    <row r="4" spans="1:10" x14ac:dyDescent="0.25">
      <c r="A4" s="28"/>
      <c r="B4" s="28"/>
      <c r="C4" s="28"/>
      <c r="D4" s="28"/>
      <c r="E4" s="28"/>
      <c r="F4" s="28"/>
      <c r="G4" s="28"/>
      <c r="H4" s="28"/>
      <c r="I4" s="28"/>
      <c r="J4" s="28"/>
    </row>
    <row r="6" spans="1:10" x14ac:dyDescent="0.25">
      <c r="B6" t="s">
        <v>11</v>
      </c>
    </row>
    <row r="7" spans="1:10" x14ac:dyDescent="0.25">
      <c r="B7" t="s">
        <v>12</v>
      </c>
    </row>
    <row r="8" spans="1:10" x14ac:dyDescent="0.25">
      <c r="B8" t="s">
        <v>13</v>
      </c>
    </row>
    <row r="10" spans="1:10" x14ac:dyDescent="0.25">
      <c r="B10" t="s">
        <v>14</v>
      </c>
    </row>
    <row r="11" spans="1:10" x14ac:dyDescent="0.25">
      <c r="B11" t="s">
        <v>15</v>
      </c>
    </row>
    <row r="12" spans="1:10" x14ac:dyDescent="0.25">
      <c r="B12" t="s">
        <v>16</v>
      </c>
    </row>
    <row r="14" spans="1:10" x14ac:dyDescent="0.25">
      <c r="B14" s="9" t="s">
        <v>17</v>
      </c>
    </row>
    <row r="15" spans="1:10" x14ac:dyDescent="0.25">
      <c r="B15" s="9" t="s">
        <v>18</v>
      </c>
    </row>
    <row r="16" spans="1:10" x14ac:dyDescent="0.25">
      <c r="B16" s="9"/>
    </row>
    <row r="17" spans="1:25" x14ac:dyDescent="0.25">
      <c r="B17" s="19" t="s">
        <v>24</v>
      </c>
      <c r="C17" s="20"/>
      <c r="D17" s="20"/>
      <c r="E17" s="20"/>
      <c r="F17" s="20"/>
      <c r="G17" s="20"/>
      <c r="H17" s="20"/>
      <c r="I17" s="20"/>
      <c r="J17" s="20"/>
      <c r="K17" s="20"/>
      <c r="L17" s="20"/>
      <c r="M17" s="20"/>
    </row>
    <row r="18" spans="1:25" x14ac:dyDescent="0.25">
      <c r="B18" s="19" t="s">
        <v>23</v>
      </c>
      <c r="C18" s="20"/>
      <c r="D18" s="20"/>
      <c r="E18" s="20"/>
      <c r="F18" s="20"/>
      <c r="G18" s="20"/>
      <c r="H18" s="20"/>
      <c r="I18" s="20"/>
      <c r="J18" s="20"/>
      <c r="K18" s="20"/>
      <c r="L18" s="20"/>
      <c r="M18" s="20"/>
    </row>
    <row r="19" spans="1:25" x14ac:dyDescent="0.25">
      <c r="B19" s="9"/>
    </row>
    <row r="20" spans="1:25" x14ac:dyDescent="0.25">
      <c r="B20" s="9" t="s">
        <v>20</v>
      </c>
    </row>
    <row r="21" spans="1:25" x14ac:dyDescent="0.25">
      <c r="B21" s="9" t="s">
        <v>21</v>
      </c>
    </row>
    <row r="22" spans="1:25" x14ac:dyDescent="0.25">
      <c r="B22" s="9" t="s">
        <v>22</v>
      </c>
    </row>
    <row r="23" spans="1:25" x14ac:dyDescent="0.25">
      <c r="B23" s="9" t="s">
        <v>87</v>
      </c>
    </row>
    <row r="25" spans="1:25" x14ac:dyDescent="0.25">
      <c r="A25" s="2"/>
      <c r="B25" s="5">
        <v>44166</v>
      </c>
      <c r="C25" s="5">
        <v>44167</v>
      </c>
      <c r="D25" s="5">
        <v>44170</v>
      </c>
      <c r="E25" s="5">
        <v>44171</v>
      </c>
      <c r="F25" s="5">
        <v>44172</v>
      </c>
      <c r="G25" s="5">
        <v>44173</v>
      </c>
      <c r="H25" s="5">
        <v>44174</v>
      </c>
      <c r="I25" s="5">
        <v>44177</v>
      </c>
      <c r="J25" s="5">
        <v>44178</v>
      </c>
      <c r="K25" s="5">
        <v>44179</v>
      </c>
      <c r="L25" s="5">
        <v>44180</v>
      </c>
      <c r="M25" s="5">
        <v>44181</v>
      </c>
      <c r="N25" s="5">
        <v>44184</v>
      </c>
      <c r="O25" s="5">
        <v>44185</v>
      </c>
      <c r="P25" s="5">
        <v>44186</v>
      </c>
      <c r="Q25" s="5">
        <v>44187</v>
      </c>
      <c r="R25" s="5">
        <v>44188</v>
      </c>
      <c r="S25" s="5">
        <v>44191</v>
      </c>
      <c r="T25" s="5">
        <v>44192</v>
      </c>
      <c r="U25" s="5">
        <v>44193</v>
      </c>
      <c r="V25" s="5">
        <v>44194</v>
      </c>
      <c r="W25" s="5">
        <v>44195</v>
      </c>
    </row>
    <row r="26" spans="1:25" s="1" customFormat="1" ht="30" customHeight="1" x14ac:dyDescent="0.25">
      <c r="A26" s="4" t="s">
        <v>8</v>
      </c>
      <c r="B26" s="6">
        <v>8</v>
      </c>
      <c r="C26" s="6">
        <v>8</v>
      </c>
      <c r="D26" s="6">
        <v>8</v>
      </c>
      <c r="E26" s="6">
        <v>8</v>
      </c>
      <c r="F26" s="6">
        <v>8</v>
      </c>
      <c r="G26" s="6">
        <v>8</v>
      </c>
      <c r="H26" s="6">
        <v>8</v>
      </c>
      <c r="I26" s="6">
        <v>8</v>
      </c>
      <c r="J26" s="6">
        <v>8</v>
      </c>
      <c r="K26" s="6">
        <v>8</v>
      </c>
      <c r="L26" s="6">
        <v>8</v>
      </c>
      <c r="M26" s="6">
        <v>8</v>
      </c>
      <c r="N26" s="6">
        <v>8</v>
      </c>
      <c r="O26" s="6">
        <v>8</v>
      </c>
      <c r="P26" s="6">
        <v>8</v>
      </c>
      <c r="Q26" s="6">
        <v>8</v>
      </c>
      <c r="R26" s="6">
        <v>8</v>
      </c>
      <c r="S26" s="6">
        <v>8</v>
      </c>
      <c r="T26" s="6">
        <v>8</v>
      </c>
      <c r="U26" s="6">
        <v>8</v>
      </c>
      <c r="V26" s="6">
        <v>8</v>
      </c>
      <c r="W26" s="6">
        <v>8</v>
      </c>
    </row>
    <row r="27" spans="1:25" s="1" customFormat="1" ht="30" customHeight="1" x14ac:dyDescent="0.25">
      <c r="A27" s="4" t="s">
        <v>0</v>
      </c>
      <c r="B27" s="6">
        <v>3</v>
      </c>
      <c r="C27" s="6">
        <v>0.5</v>
      </c>
      <c r="D27" s="6">
        <v>0.5</v>
      </c>
      <c r="E27" s="6">
        <v>5</v>
      </c>
      <c r="F27" s="6">
        <v>0</v>
      </c>
      <c r="G27" s="6">
        <v>1.5</v>
      </c>
      <c r="H27" s="6">
        <v>0.5</v>
      </c>
      <c r="I27" s="6">
        <v>3</v>
      </c>
      <c r="J27" s="6">
        <v>2</v>
      </c>
      <c r="K27" s="6">
        <v>2.5</v>
      </c>
      <c r="L27" s="6">
        <v>0</v>
      </c>
      <c r="M27" s="6">
        <v>0.5</v>
      </c>
      <c r="N27" s="6">
        <v>8</v>
      </c>
      <c r="O27" s="6">
        <v>8</v>
      </c>
      <c r="P27" s="6">
        <v>0</v>
      </c>
      <c r="Q27" s="6">
        <v>3</v>
      </c>
      <c r="R27" s="6">
        <v>0</v>
      </c>
      <c r="S27" s="6">
        <v>4</v>
      </c>
      <c r="T27" s="6">
        <v>2</v>
      </c>
      <c r="U27" s="6">
        <v>0</v>
      </c>
      <c r="V27" s="6">
        <v>8</v>
      </c>
      <c r="W27" s="6">
        <v>3</v>
      </c>
    </row>
    <row r="28" spans="1:25" s="1" customFormat="1" ht="30" customHeight="1" thickBot="1" x14ac:dyDescent="0.3">
      <c r="A28" s="4" t="s">
        <v>4</v>
      </c>
      <c r="B28" s="6">
        <f>B26</f>
        <v>8</v>
      </c>
      <c r="C28" s="6">
        <f t="shared" ref="C28:W28" si="0">C26</f>
        <v>8</v>
      </c>
      <c r="D28" s="6">
        <f t="shared" si="0"/>
        <v>8</v>
      </c>
      <c r="E28" s="6">
        <f t="shared" si="0"/>
        <v>8</v>
      </c>
      <c r="F28" s="6">
        <f t="shared" si="0"/>
        <v>8</v>
      </c>
      <c r="G28" s="6">
        <f t="shared" si="0"/>
        <v>8</v>
      </c>
      <c r="H28" s="6">
        <f t="shared" si="0"/>
        <v>8</v>
      </c>
      <c r="I28" s="6">
        <f t="shared" si="0"/>
        <v>8</v>
      </c>
      <c r="J28" s="6">
        <f t="shared" si="0"/>
        <v>8</v>
      </c>
      <c r="K28" s="6">
        <f t="shared" si="0"/>
        <v>8</v>
      </c>
      <c r="L28" s="6">
        <f t="shared" si="0"/>
        <v>8</v>
      </c>
      <c r="M28" s="6">
        <f t="shared" si="0"/>
        <v>8</v>
      </c>
      <c r="N28" s="6">
        <f t="shared" si="0"/>
        <v>8</v>
      </c>
      <c r="O28" s="6">
        <f t="shared" si="0"/>
        <v>8</v>
      </c>
      <c r="P28" s="6">
        <f t="shared" si="0"/>
        <v>8</v>
      </c>
      <c r="Q28" s="6">
        <f t="shared" si="0"/>
        <v>8</v>
      </c>
      <c r="R28" s="6">
        <f t="shared" si="0"/>
        <v>8</v>
      </c>
      <c r="S28" s="6">
        <f t="shared" si="0"/>
        <v>8</v>
      </c>
      <c r="T28" s="6">
        <f t="shared" si="0"/>
        <v>8</v>
      </c>
      <c r="U28" s="6">
        <f t="shared" si="0"/>
        <v>8</v>
      </c>
      <c r="V28" s="6">
        <f t="shared" si="0"/>
        <v>8</v>
      </c>
      <c r="W28" s="6">
        <f t="shared" si="0"/>
        <v>8</v>
      </c>
    </row>
    <row r="29" spans="1:25" s="1" customFormat="1" ht="47.25" customHeight="1" thickBot="1" x14ac:dyDescent="0.3">
      <c r="A29" s="4" t="s">
        <v>5</v>
      </c>
      <c r="B29" s="6">
        <f>8*15.7+8*14.4</f>
        <v>240.8</v>
      </c>
      <c r="C29" s="6">
        <f t="shared" ref="C29:W29" si="1">8*15.7+8*14.4</f>
        <v>240.8</v>
      </c>
      <c r="D29" s="6">
        <f t="shared" si="1"/>
        <v>240.8</v>
      </c>
      <c r="E29" s="6">
        <f t="shared" si="1"/>
        <v>240.8</v>
      </c>
      <c r="F29" s="6">
        <f t="shared" si="1"/>
        <v>240.8</v>
      </c>
      <c r="G29" s="6">
        <f t="shared" si="1"/>
        <v>240.8</v>
      </c>
      <c r="H29" s="6">
        <f t="shared" si="1"/>
        <v>240.8</v>
      </c>
      <c r="I29" s="6">
        <f t="shared" si="1"/>
        <v>240.8</v>
      </c>
      <c r="J29" s="6">
        <f t="shared" si="1"/>
        <v>240.8</v>
      </c>
      <c r="K29" s="6">
        <f t="shared" si="1"/>
        <v>240.8</v>
      </c>
      <c r="L29" s="6">
        <f t="shared" si="1"/>
        <v>240.8</v>
      </c>
      <c r="M29" s="6">
        <f t="shared" si="1"/>
        <v>240.8</v>
      </c>
      <c r="N29" s="6">
        <f t="shared" si="1"/>
        <v>240.8</v>
      </c>
      <c r="O29" s="6">
        <f t="shared" si="1"/>
        <v>240.8</v>
      </c>
      <c r="P29" s="6">
        <f t="shared" si="1"/>
        <v>240.8</v>
      </c>
      <c r="Q29" s="6">
        <f t="shared" si="1"/>
        <v>240.8</v>
      </c>
      <c r="R29" s="6">
        <f t="shared" si="1"/>
        <v>240.8</v>
      </c>
      <c r="S29" s="6">
        <f t="shared" si="1"/>
        <v>240.8</v>
      </c>
      <c r="T29" s="6">
        <f t="shared" si="1"/>
        <v>240.8</v>
      </c>
      <c r="U29" s="6">
        <f t="shared" si="1"/>
        <v>240.8</v>
      </c>
      <c r="V29" s="6">
        <f t="shared" si="1"/>
        <v>240.8</v>
      </c>
      <c r="W29" s="24">
        <f t="shared" si="1"/>
        <v>240.8</v>
      </c>
      <c r="X29" s="25">
        <f>SUM(B29:W29)</f>
        <v>5297.6000000000022</v>
      </c>
      <c r="Y29" s="26" t="s">
        <v>96</v>
      </c>
    </row>
    <row r="30" spans="1:25" s="1" customFormat="1" ht="30" customHeight="1" x14ac:dyDescent="0.25">
      <c r="A30" s="4" t="s">
        <v>1</v>
      </c>
      <c r="B30" s="6">
        <v>73</v>
      </c>
      <c r="C30" s="6">
        <v>113</v>
      </c>
      <c r="D30" s="6">
        <v>115</v>
      </c>
      <c r="E30" s="6">
        <v>45</v>
      </c>
      <c r="F30" s="6">
        <v>125</v>
      </c>
      <c r="G30" s="6">
        <v>100</v>
      </c>
      <c r="H30" s="6">
        <v>115</v>
      </c>
      <c r="I30" s="6">
        <v>77</v>
      </c>
      <c r="J30" s="6">
        <v>93</v>
      </c>
      <c r="K30" s="6">
        <v>78</v>
      </c>
      <c r="L30" s="6">
        <v>123</v>
      </c>
      <c r="M30" s="6">
        <v>110</v>
      </c>
      <c r="N30" s="6">
        <v>0</v>
      </c>
      <c r="O30" s="6">
        <v>0</v>
      </c>
      <c r="P30" s="6">
        <v>122</v>
      </c>
      <c r="Q30" s="6">
        <v>75</v>
      </c>
      <c r="R30" s="6">
        <v>118</v>
      </c>
      <c r="S30" s="6">
        <v>60</v>
      </c>
      <c r="T30" s="6">
        <v>89</v>
      </c>
      <c r="U30" s="6">
        <v>125</v>
      </c>
      <c r="V30" s="6">
        <v>0</v>
      </c>
      <c r="W30" s="6">
        <v>78</v>
      </c>
    </row>
    <row r="31" spans="1:25" s="1" customFormat="1" ht="30" customHeight="1" x14ac:dyDescent="0.25">
      <c r="A31" s="4" t="s">
        <v>2</v>
      </c>
      <c r="B31" s="6">
        <v>70</v>
      </c>
      <c r="C31" s="6">
        <v>105</v>
      </c>
      <c r="D31" s="6">
        <v>101</v>
      </c>
      <c r="E31" s="6">
        <v>42</v>
      </c>
      <c r="F31" s="6">
        <v>112</v>
      </c>
      <c r="G31" s="6">
        <v>90</v>
      </c>
      <c r="H31" s="6">
        <v>105</v>
      </c>
      <c r="I31" s="6">
        <v>70</v>
      </c>
      <c r="J31" s="6">
        <v>84</v>
      </c>
      <c r="K31" s="6">
        <v>65</v>
      </c>
      <c r="L31" s="6">
        <v>113</v>
      </c>
      <c r="M31" s="6">
        <v>103</v>
      </c>
      <c r="N31" s="6">
        <v>0</v>
      </c>
      <c r="O31" s="6">
        <v>0</v>
      </c>
      <c r="P31" s="6">
        <v>115</v>
      </c>
      <c r="Q31" s="6">
        <v>69</v>
      </c>
      <c r="R31" s="6">
        <v>95</v>
      </c>
      <c r="S31" s="6">
        <v>55</v>
      </c>
      <c r="T31" s="6">
        <v>86</v>
      </c>
      <c r="U31" s="6">
        <v>107</v>
      </c>
      <c r="V31" s="6">
        <v>0</v>
      </c>
      <c r="W31" s="6">
        <v>67</v>
      </c>
    </row>
    <row r="32" spans="1:25" s="1" customFormat="1" ht="30" customHeight="1" x14ac:dyDescent="0.25">
      <c r="A32" s="4" t="s">
        <v>3</v>
      </c>
      <c r="B32" s="6">
        <f>B30+B31</f>
        <v>143</v>
      </c>
      <c r="C32" s="6">
        <f t="shared" ref="C32:W32" si="2">C30+C31</f>
        <v>218</v>
      </c>
      <c r="D32" s="6">
        <f t="shared" si="2"/>
        <v>216</v>
      </c>
      <c r="E32" s="6">
        <f t="shared" si="2"/>
        <v>87</v>
      </c>
      <c r="F32" s="6">
        <f t="shared" si="2"/>
        <v>237</v>
      </c>
      <c r="G32" s="6">
        <f t="shared" si="2"/>
        <v>190</v>
      </c>
      <c r="H32" s="6">
        <f t="shared" si="2"/>
        <v>220</v>
      </c>
      <c r="I32" s="6">
        <f t="shared" si="2"/>
        <v>147</v>
      </c>
      <c r="J32" s="6">
        <f t="shared" si="2"/>
        <v>177</v>
      </c>
      <c r="K32" s="6">
        <f t="shared" si="2"/>
        <v>143</v>
      </c>
      <c r="L32" s="6">
        <f t="shared" si="2"/>
        <v>236</v>
      </c>
      <c r="M32" s="6">
        <f t="shared" si="2"/>
        <v>213</v>
      </c>
      <c r="N32" s="6">
        <f t="shared" si="2"/>
        <v>0</v>
      </c>
      <c r="O32" s="6">
        <f t="shared" si="2"/>
        <v>0</v>
      </c>
      <c r="P32" s="6">
        <f t="shared" si="2"/>
        <v>237</v>
      </c>
      <c r="Q32" s="6">
        <f t="shared" si="2"/>
        <v>144</v>
      </c>
      <c r="R32" s="6">
        <f t="shared" si="2"/>
        <v>213</v>
      </c>
      <c r="S32" s="6">
        <f t="shared" si="2"/>
        <v>115</v>
      </c>
      <c r="T32" s="6">
        <f t="shared" si="2"/>
        <v>175</v>
      </c>
      <c r="U32" s="6">
        <f t="shared" si="2"/>
        <v>232</v>
      </c>
      <c r="V32" s="6">
        <f t="shared" si="2"/>
        <v>0</v>
      </c>
      <c r="W32" s="6">
        <f t="shared" si="2"/>
        <v>145</v>
      </c>
    </row>
    <row r="33" spans="1:25" s="1" customFormat="1" ht="30" customHeight="1" x14ac:dyDescent="0.25">
      <c r="A33" s="4" t="s">
        <v>6</v>
      </c>
      <c r="B33" s="6">
        <v>71</v>
      </c>
      <c r="C33" s="6">
        <v>108</v>
      </c>
      <c r="D33" s="6">
        <v>115</v>
      </c>
      <c r="E33" s="6">
        <v>45</v>
      </c>
      <c r="F33" s="6">
        <v>120</v>
      </c>
      <c r="G33" s="6">
        <v>100</v>
      </c>
      <c r="H33" s="6">
        <v>114</v>
      </c>
      <c r="I33" s="6">
        <v>75</v>
      </c>
      <c r="J33" s="6">
        <v>90</v>
      </c>
      <c r="K33" s="6">
        <v>78</v>
      </c>
      <c r="L33" s="6">
        <v>122</v>
      </c>
      <c r="M33" s="6">
        <v>110</v>
      </c>
      <c r="N33" s="6">
        <v>0</v>
      </c>
      <c r="O33" s="6">
        <v>0</v>
      </c>
      <c r="P33" s="6">
        <v>122</v>
      </c>
      <c r="Q33" s="6">
        <v>73</v>
      </c>
      <c r="R33" s="6">
        <v>118</v>
      </c>
      <c r="S33" s="6">
        <v>60</v>
      </c>
      <c r="T33" s="6">
        <v>88</v>
      </c>
      <c r="U33" s="6">
        <v>125</v>
      </c>
      <c r="V33" s="6">
        <v>0</v>
      </c>
      <c r="W33" s="6">
        <v>76</v>
      </c>
    </row>
    <row r="34" spans="1:25" s="1" customFormat="1" ht="30" customHeight="1" thickBot="1" x14ac:dyDescent="0.3">
      <c r="A34" s="4" t="s">
        <v>7</v>
      </c>
      <c r="B34" s="6">
        <v>69</v>
      </c>
      <c r="C34" s="6">
        <v>101</v>
      </c>
      <c r="D34" s="6">
        <v>100</v>
      </c>
      <c r="E34" s="6">
        <v>40</v>
      </c>
      <c r="F34" s="6">
        <v>110</v>
      </c>
      <c r="G34" s="6">
        <v>90</v>
      </c>
      <c r="H34" s="6">
        <v>100</v>
      </c>
      <c r="I34" s="6">
        <v>69</v>
      </c>
      <c r="J34" s="6">
        <v>84</v>
      </c>
      <c r="K34" s="6">
        <v>65</v>
      </c>
      <c r="L34" s="6">
        <v>112</v>
      </c>
      <c r="M34" s="6">
        <v>101</v>
      </c>
      <c r="N34" s="6">
        <v>0</v>
      </c>
      <c r="O34" s="6">
        <v>0</v>
      </c>
      <c r="P34" s="6">
        <v>115</v>
      </c>
      <c r="Q34" s="6">
        <v>69</v>
      </c>
      <c r="R34" s="6">
        <v>94</v>
      </c>
      <c r="S34" s="6">
        <v>55</v>
      </c>
      <c r="T34" s="6">
        <v>85</v>
      </c>
      <c r="U34" s="6">
        <v>106</v>
      </c>
      <c r="V34" s="6">
        <v>0</v>
      </c>
      <c r="W34" s="6">
        <v>67</v>
      </c>
    </row>
    <row r="35" spans="1:25" s="1" customFormat="1" ht="30" customHeight="1" x14ac:dyDescent="0.25">
      <c r="A35" s="4" t="s">
        <v>9</v>
      </c>
      <c r="B35" s="6">
        <f>B33+B34</f>
        <v>140</v>
      </c>
      <c r="C35" s="6">
        <f t="shared" ref="C35:W35" si="3">C33+C34</f>
        <v>209</v>
      </c>
      <c r="D35" s="6">
        <f t="shared" si="3"/>
        <v>215</v>
      </c>
      <c r="E35" s="6">
        <f t="shared" si="3"/>
        <v>85</v>
      </c>
      <c r="F35" s="6">
        <f t="shared" si="3"/>
        <v>230</v>
      </c>
      <c r="G35" s="6">
        <f t="shared" si="3"/>
        <v>190</v>
      </c>
      <c r="H35" s="6">
        <f t="shared" si="3"/>
        <v>214</v>
      </c>
      <c r="I35" s="6">
        <f t="shared" si="3"/>
        <v>144</v>
      </c>
      <c r="J35" s="6">
        <f t="shared" si="3"/>
        <v>174</v>
      </c>
      <c r="K35" s="6">
        <f t="shared" si="3"/>
        <v>143</v>
      </c>
      <c r="L35" s="6">
        <f t="shared" si="3"/>
        <v>234</v>
      </c>
      <c r="M35" s="6">
        <f t="shared" si="3"/>
        <v>211</v>
      </c>
      <c r="N35" s="6">
        <f t="shared" si="3"/>
        <v>0</v>
      </c>
      <c r="O35" s="6">
        <f t="shared" si="3"/>
        <v>0</v>
      </c>
      <c r="P35" s="6">
        <f t="shared" si="3"/>
        <v>237</v>
      </c>
      <c r="Q35" s="6">
        <f t="shared" si="3"/>
        <v>142</v>
      </c>
      <c r="R35" s="6">
        <f t="shared" si="3"/>
        <v>212</v>
      </c>
      <c r="S35" s="6">
        <f t="shared" si="3"/>
        <v>115</v>
      </c>
      <c r="T35" s="6">
        <f t="shared" si="3"/>
        <v>173</v>
      </c>
      <c r="U35" s="6">
        <f t="shared" si="3"/>
        <v>231</v>
      </c>
      <c r="V35" s="6">
        <f t="shared" si="3"/>
        <v>0</v>
      </c>
      <c r="W35" s="24">
        <f t="shared" si="3"/>
        <v>143</v>
      </c>
      <c r="X35" s="35">
        <f>SUM(B35:W35)</f>
        <v>3442</v>
      </c>
      <c r="Y35" s="33" t="s">
        <v>96</v>
      </c>
    </row>
    <row r="36" spans="1:25" ht="37.5" customHeight="1" x14ac:dyDescent="0.25">
      <c r="A36" s="8" t="s">
        <v>10</v>
      </c>
      <c r="B36" s="32">
        <f>B35/B29</f>
        <v>0.58139534883720922</v>
      </c>
      <c r="C36" s="32">
        <f t="shared" ref="C36:W36" si="4">C35/C29</f>
        <v>0.86794019933554811</v>
      </c>
      <c r="D36" s="32">
        <f t="shared" si="4"/>
        <v>0.89285714285714279</v>
      </c>
      <c r="E36" s="32">
        <f t="shared" si="4"/>
        <v>0.35299003322259137</v>
      </c>
      <c r="F36" s="32">
        <f t="shared" si="4"/>
        <v>0.95514950166112955</v>
      </c>
      <c r="G36" s="32">
        <f t="shared" si="4"/>
        <v>0.78903654485049834</v>
      </c>
      <c r="H36" s="32">
        <f t="shared" si="4"/>
        <v>0.88870431893687707</v>
      </c>
      <c r="I36" s="32">
        <f t="shared" si="4"/>
        <v>0.59800664451827235</v>
      </c>
      <c r="J36" s="32">
        <f t="shared" si="4"/>
        <v>0.72259136212624586</v>
      </c>
      <c r="K36" s="32">
        <f t="shared" si="4"/>
        <v>0.59385382059800662</v>
      </c>
      <c r="L36" s="32">
        <f t="shared" si="4"/>
        <v>0.97176079734219267</v>
      </c>
      <c r="M36" s="32">
        <f t="shared" si="4"/>
        <v>0.87624584717607967</v>
      </c>
      <c r="N36" s="39">
        <f t="shared" si="4"/>
        <v>0</v>
      </c>
      <c r="O36" s="39">
        <f t="shared" si="4"/>
        <v>0</v>
      </c>
      <c r="P36" s="32">
        <f t="shared" si="4"/>
        <v>0.98421926910298996</v>
      </c>
      <c r="Q36" s="32">
        <f t="shared" si="4"/>
        <v>0.58970099667774079</v>
      </c>
      <c r="R36" s="32">
        <f t="shared" si="4"/>
        <v>0.88039867109634551</v>
      </c>
      <c r="S36" s="32">
        <f t="shared" si="4"/>
        <v>0.47757475083056478</v>
      </c>
      <c r="T36" s="32">
        <f t="shared" si="4"/>
        <v>0.71843853820598003</v>
      </c>
      <c r="U36" s="32">
        <f t="shared" si="4"/>
        <v>0.95930232558139528</v>
      </c>
      <c r="V36" s="39">
        <f t="shared" si="4"/>
        <v>0</v>
      </c>
      <c r="W36" s="32">
        <f t="shared" si="4"/>
        <v>0.59385382059800662</v>
      </c>
      <c r="X36" s="36">
        <f>AVERAGE(B36:W36)</f>
        <v>0.6497281787979462</v>
      </c>
      <c r="Y36" s="37" t="s">
        <v>98</v>
      </c>
    </row>
    <row r="37" spans="1:25" x14ac:dyDescent="0.25">
      <c r="A37" s="4" t="s">
        <v>89</v>
      </c>
      <c r="B37" s="2">
        <f>B26-B27</f>
        <v>5</v>
      </c>
      <c r="C37" s="2">
        <f t="shared" ref="C37:W37" si="5">C26-C27</f>
        <v>7.5</v>
      </c>
      <c r="D37" s="2">
        <f t="shared" si="5"/>
        <v>7.5</v>
      </c>
      <c r="E37" s="2">
        <f t="shared" si="5"/>
        <v>3</v>
      </c>
      <c r="F37" s="2">
        <f t="shared" si="5"/>
        <v>8</v>
      </c>
      <c r="G37" s="2">
        <f t="shared" si="5"/>
        <v>6.5</v>
      </c>
      <c r="H37" s="2">
        <f t="shared" si="5"/>
        <v>7.5</v>
      </c>
      <c r="I37" s="2">
        <f t="shared" si="5"/>
        <v>5</v>
      </c>
      <c r="J37" s="2">
        <f t="shared" si="5"/>
        <v>6</v>
      </c>
      <c r="K37" s="2">
        <f t="shared" si="5"/>
        <v>5.5</v>
      </c>
      <c r="L37" s="2">
        <f t="shared" si="5"/>
        <v>8</v>
      </c>
      <c r="M37" s="2">
        <f t="shared" si="5"/>
        <v>7.5</v>
      </c>
      <c r="N37" s="41">
        <f t="shared" si="5"/>
        <v>0</v>
      </c>
      <c r="O37" s="41">
        <f t="shared" si="5"/>
        <v>0</v>
      </c>
      <c r="P37" s="2">
        <f t="shared" si="5"/>
        <v>8</v>
      </c>
      <c r="Q37" s="2">
        <f t="shared" si="5"/>
        <v>5</v>
      </c>
      <c r="R37" s="2">
        <f t="shared" si="5"/>
        <v>8</v>
      </c>
      <c r="S37" s="2">
        <f t="shared" si="5"/>
        <v>4</v>
      </c>
      <c r="T37" s="2">
        <f t="shared" si="5"/>
        <v>6</v>
      </c>
      <c r="U37" s="2">
        <f t="shared" si="5"/>
        <v>8</v>
      </c>
      <c r="V37" s="41">
        <f t="shared" si="5"/>
        <v>0</v>
      </c>
      <c r="W37" s="2">
        <f t="shared" si="5"/>
        <v>5</v>
      </c>
    </row>
    <row r="38" spans="1:25" x14ac:dyDescent="0.25">
      <c r="A38" s="4" t="s">
        <v>88</v>
      </c>
      <c r="B38" s="22">
        <f>B35/(B30+B31)</f>
        <v>0.97902097902097907</v>
      </c>
      <c r="C38" s="22">
        <f t="shared" ref="C38:W38" si="6">C35/(C30+C31)</f>
        <v>0.95871559633027525</v>
      </c>
      <c r="D38" s="22">
        <f t="shared" si="6"/>
        <v>0.99537037037037035</v>
      </c>
      <c r="E38" s="22">
        <f t="shared" si="6"/>
        <v>0.97701149425287359</v>
      </c>
      <c r="F38" s="22">
        <f t="shared" si="6"/>
        <v>0.97046413502109707</v>
      </c>
      <c r="G38" s="22">
        <f t="shared" si="6"/>
        <v>1</v>
      </c>
      <c r="H38" s="22">
        <f t="shared" si="6"/>
        <v>0.97272727272727277</v>
      </c>
      <c r="I38" s="22">
        <f t="shared" si="6"/>
        <v>0.97959183673469385</v>
      </c>
      <c r="J38" s="22">
        <f t="shared" si="6"/>
        <v>0.98305084745762716</v>
      </c>
      <c r="K38" s="22">
        <f t="shared" si="6"/>
        <v>1</v>
      </c>
      <c r="L38" s="22">
        <f t="shared" si="6"/>
        <v>0.99152542372881358</v>
      </c>
      <c r="M38" s="22">
        <f t="shared" si="6"/>
        <v>0.99061032863849763</v>
      </c>
      <c r="N38" s="42" t="e">
        <f t="shared" si="6"/>
        <v>#DIV/0!</v>
      </c>
      <c r="O38" s="42" t="e">
        <f t="shared" si="6"/>
        <v>#DIV/0!</v>
      </c>
      <c r="P38" s="22">
        <f t="shared" si="6"/>
        <v>1</v>
      </c>
      <c r="Q38" s="22">
        <f t="shared" si="6"/>
        <v>0.98611111111111116</v>
      </c>
      <c r="R38" s="22">
        <f t="shared" si="6"/>
        <v>0.99530516431924887</v>
      </c>
      <c r="S38" s="22">
        <f t="shared" si="6"/>
        <v>1</v>
      </c>
      <c r="T38" s="22">
        <f t="shared" si="6"/>
        <v>0.98857142857142855</v>
      </c>
      <c r="U38" s="22">
        <f t="shared" si="6"/>
        <v>0.99568965517241381</v>
      </c>
      <c r="V38" s="42" t="e">
        <f t="shared" si="6"/>
        <v>#DIV/0!</v>
      </c>
      <c r="W38" s="22">
        <f t="shared" si="6"/>
        <v>0.98620689655172411</v>
      </c>
    </row>
    <row r="39" spans="1:25" x14ac:dyDescent="0.25">
      <c r="A39" s="4" t="s">
        <v>90</v>
      </c>
      <c r="B39" s="22">
        <f t="shared" ref="B39:W39" si="7">(B32/30.1)/(B28-B27)</f>
        <v>0.95016611295681064</v>
      </c>
      <c r="C39" s="22">
        <f t="shared" si="7"/>
        <v>0.96566998892580291</v>
      </c>
      <c r="D39" s="22">
        <f t="shared" si="7"/>
        <v>0.95681063122923582</v>
      </c>
      <c r="E39" s="22">
        <f t="shared" si="7"/>
        <v>0.96345514950166111</v>
      </c>
      <c r="F39" s="22">
        <f t="shared" si="7"/>
        <v>0.98421926910298996</v>
      </c>
      <c r="G39" s="22">
        <f t="shared" si="7"/>
        <v>0.97112190135445953</v>
      </c>
      <c r="H39" s="22">
        <f t="shared" si="7"/>
        <v>0.9745293466223699</v>
      </c>
      <c r="I39" s="22">
        <f t="shared" si="7"/>
        <v>0.97674418604651159</v>
      </c>
      <c r="J39" s="22">
        <f t="shared" si="7"/>
        <v>0.98006644518272423</v>
      </c>
      <c r="K39" s="22">
        <f t="shared" si="7"/>
        <v>0.86378737541528239</v>
      </c>
      <c r="L39" s="22">
        <f t="shared" si="7"/>
        <v>0.98006644518272423</v>
      </c>
      <c r="M39" s="22">
        <f t="shared" si="7"/>
        <v>0.94352159468438535</v>
      </c>
      <c r="N39" s="42" t="e">
        <f t="shared" si="7"/>
        <v>#DIV/0!</v>
      </c>
      <c r="O39" s="42" t="e">
        <f t="shared" si="7"/>
        <v>#DIV/0!</v>
      </c>
      <c r="P39" s="22">
        <f t="shared" si="7"/>
        <v>0.98421926910298996</v>
      </c>
      <c r="Q39" s="22">
        <f t="shared" si="7"/>
        <v>0.95681063122923571</v>
      </c>
      <c r="R39" s="22">
        <f t="shared" si="7"/>
        <v>0.88455149501661123</v>
      </c>
      <c r="S39" s="22">
        <f t="shared" si="7"/>
        <v>0.95514950166112955</v>
      </c>
      <c r="T39" s="22">
        <f t="shared" si="7"/>
        <v>0.96899224806201545</v>
      </c>
      <c r="U39" s="22">
        <f t="shared" si="7"/>
        <v>0.96345514950166111</v>
      </c>
      <c r="V39" s="42" t="e">
        <f t="shared" si="7"/>
        <v>#DIV/0!</v>
      </c>
      <c r="W39" s="22">
        <f t="shared" si="7"/>
        <v>0.96345514950166111</v>
      </c>
    </row>
    <row r="40" spans="1:25" x14ac:dyDescent="0.25">
      <c r="A40" s="4" t="s">
        <v>91</v>
      </c>
      <c r="B40" s="22">
        <f>(B28-B27)/B26</f>
        <v>0.625</v>
      </c>
      <c r="C40" s="22">
        <f t="shared" ref="C40:W40" si="8">(C28-C27)/C26</f>
        <v>0.9375</v>
      </c>
      <c r="D40" s="22">
        <f t="shared" si="8"/>
        <v>0.9375</v>
      </c>
      <c r="E40" s="22">
        <f t="shared" si="8"/>
        <v>0.375</v>
      </c>
      <c r="F40" s="22">
        <f t="shared" si="8"/>
        <v>1</v>
      </c>
      <c r="G40" s="22">
        <f t="shared" si="8"/>
        <v>0.8125</v>
      </c>
      <c r="H40" s="22">
        <f t="shared" si="8"/>
        <v>0.9375</v>
      </c>
      <c r="I40" s="22">
        <f t="shared" si="8"/>
        <v>0.625</v>
      </c>
      <c r="J40" s="22">
        <f t="shared" si="8"/>
        <v>0.75</v>
      </c>
      <c r="K40" s="22">
        <f t="shared" si="8"/>
        <v>0.6875</v>
      </c>
      <c r="L40" s="22">
        <f t="shared" si="8"/>
        <v>1</v>
      </c>
      <c r="M40" s="22">
        <f t="shared" si="8"/>
        <v>0.9375</v>
      </c>
      <c r="N40" s="42">
        <f t="shared" si="8"/>
        <v>0</v>
      </c>
      <c r="O40" s="42">
        <f t="shared" si="8"/>
        <v>0</v>
      </c>
      <c r="P40" s="22">
        <f t="shared" si="8"/>
        <v>1</v>
      </c>
      <c r="Q40" s="22">
        <f t="shared" si="8"/>
        <v>0.625</v>
      </c>
      <c r="R40" s="22">
        <f t="shared" si="8"/>
        <v>1</v>
      </c>
      <c r="S40" s="22">
        <f t="shared" si="8"/>
        <v>0.5</v>
      </c>
      <c r="T40" s="22">
        <f t="shared" si="8"/>
        <v>0.75</v>
      </c>
      <c r="U40" s="22">
        <f t="shared" si="8"/>
        <v>1</v>
      </c>
      <c r="V40" s="42">
        <f t="shared" si="8"/>
        <v>0</v>
      </c>
      <c r="W40" s="22">
        <f t="shared" si="8"/>
        <v>0.625</v>
      </c>
    </row>
    <row r="41" spans="1:25" x14ac:dyDescent="0.25">
      <c r="A41" s="4" t="s">
        <v>10</v>
      </c>
      <c r="B41" s="22">
        <f>B38*B39*B40</f>
        <v>0.58139534883720934</v>
      </c>
      <c r="C41" s="22">
        <f t="shared" ref="C41:W41" si="9">C38*C39*C40</f>
        <v>0.86794019933554822</v>
      </c>
      <c r="D41" s="22">
        <f t="shared" si="9"/>
        <v>0.89285714285714279</v>
      </c>
      <c r="E41" s="22">
        <f t="shared" si="9"/>
        <v>0.35299003322259137</v>
      </c>
      <c r="F41" s="22">
        <f t="shared" si="9"/>
        <v>0.95514950166112955</v>
      </c>
      <c r="G41" s="22">
        <f t="shared" si="9"/>
        <v>0.78903654485049834</v>
      </c>
      <c r="H41" s="22">
        <f t="shared" si="9"/>
        <v>0.88870431893687718</v>
      </c>
      <c r="I41" s="22">
        <f t="shared" si="9"/>
        <v>0.59800664451827235</v>
      </c>
      <c r="J41" s="22">
        <f t="shared" si="9"/>
        <v>0.72259136212624586</v>
      </c>
      <c r="K41" s="22">
        <f t="shared" si="9"/>
        <v>0.59385382059800662</v>
      </c>
      <c r="L41" s="22">
        <f t="shared" si="9"/>
        <v>0.97176079734219267</v>
      </c>
      <c r="M41" s="22">
        <f t="shared" si="9"/>
        <v>0.87624584717607967</v>
      </c>
      <c r="N41" s="42" t="e">
        <f t="shared" si="9"/>
        <v>#DIV/0!</v>
      </c>
      <c r="O41" s="42" t="e">
        <f t="shared" si="9"/>
        <v>#DIV/0!</v>
      </c>
      <c r="P41" s="22">
        <f t="shared" si="9"/>
        <v>0.98421926910298996</v>
      </c>
      <c r="Q41" s="22">
        <f t="shared" si="9"/>
        <v>0.58970099667774079</v>
      </c>
      <c r="R41" s="22">
        <f t="shared" si="9"/>
        <v>0.88039867109634551</v>
      </c>
      <c r="S41" s="22">
        <f t="shared" si="9"/>
        <v>0.47757475083056478</v>
      </c>
      <c r="T41" s="22">
        <f t="shared" si="9"/>
        <v>0.71843853820598003</v>
      </c>
      <c r="U41" s="22">
        <f t="shared" si="9"/>
        <v>0.95930232558139539</v>
      </c>
      <c r="V41" s="42" t="e">
        <f t="shared" si="9"/>
        <v>#DIV/0!</v>
      </c>
      <c r="W41" s="22">
        <f t="shared" si="9"/>
        <v>0.59385382059800662</v>
      </c>
    </row>
    <row r="43" spans="1:25" ht="15.75" thickBot="1" x14ac:dyDescent="0.3"/>
    <row r="44" spans="1:25" ht="60.75" customHeight="1" thickBot="1" x14ac:dyDescent="0.3">
      <c r="A44" s="23" t="s">
        <v>97</v>
      </c>
      <c r="B44" s="34">
        <f>X35/X29</f>
        <v>0.64972817879794598</v>
      </c>
      <c r="C44" s="38" t="s">
        <v>99</v>
      </c>
      <c r="D44" s="40"/>
      <c r="E44" s="40"/>
      <c r="F44" s="40"/>
      <c r="G44" s="40"/>
      <c r="H44" s="40"/>
      <c r="I44" s="40"/>
      <c r="J44" s="40"/>
    </row>
    <row r="64" spans="9:14" x14ac:dyDescent="0.25">
      <c r="I64" s="47" t="s">
        <v>103</v>
      </c>
      <c r="J64" s="47"/>
      <c r="K64" s="47"/>
      <c r="L64" s="47"/>
      <c r="M64" s="47"/>
      <c r="N64" s="47"/>
    </row>
    <row r="65" spans="1:14" x14ac:dyDescent="0.25">
      <c r="C65" s="46" t="s">
        <v>100</v>
      </c>
      <c r="D65" s="46"/>
      <c r="E65" s="46"/>
      <c r="F65" s="46"/>
      <c r="G65" s="46"/>
      <c r="I65" s="47"/>
      <c r="J65" s="47"/>
      <c r="K65" s="47"/>
      <c r="L65" s="47"/>
      <c r="M65" s="47"/>
      <c r="N65" s="47"/>
    </row>
    <row r="66" spans="1:14" x14ac:dyDescent="0.25">
      <c r="C66" s="46"/>
      <c r="D66" s="46"/>
      <c r="E66" s="46"/>
      <c r="F66" s="46"/>
      <c r="G66" s="46"/>
    </row>
    <row r="68" spans="1:14" ht="15" customHeight="1" x14ac:dyDescent="0.25">
      <c r="A68" s="44" t="s">
        <v>101</v>
      </c>
      <c r="B68" s="44"/>
      <c r="C68" s="43">
        <f>AVERAGE(B36:M36,P36:U36,W36)</f>
        <v>0.75231683860814824</v>
      </c>
      <c r="D68" s="45" t="s">
        <v>102</v>
      </c>
      <c r="E68" s="45"/>
      <c r="F68" s="45"/>
      <c r="G68" s="45"/>
      <c r="H68" s="45"/>
      <c r="I68" s="45"/>
      <c r="J68" s="45"/>
    </row>
    <row r="69" spans="1:14" ht="15" customHeight="1" x14ac:dyDescent="0.25">
      <c r="A69" s="44"/>
      <c r="B69" s="44"/>
      <c r="C69" s="43"/>
      <c r="D69" s="45"/>
      <c r="E69" s="45"/>
      <c r="F69" s="45"/>
      <c r="G69" s="45"/>
      <c r="H69" s="45"/>
      <c r="I69" s="45"/>
      <c r="J69" s="45"/>
    </row>
    <row r="70" spans="1:14" x14ac:dyDescent="0.25">
      <c r="A70" s="44"/>
      <c r="B70" s="44"/>
      <c r="C70" s="43"/>
      <c r="D70" s="45"/>
      <c r="E70" s="45"/>
      <c r="F70" s="45"/>
      <c r="G70" s="45"/>
      <c r="H70" s="45"/>
      <c r="I70" s="45"/>
      <c r="J70" s="45"/>
    </row>
  </sheetData>
  <mergeCells count="8">
    <mergeCell ref="D68:J70"/>
    <mergeCell ref="C68:C70"/>
    <mergeCell ref="A68:B70"/>
    <mergeCell ref="B1:H1"/>
    <mergeCell ref="A3:J4"/>
    <mergeCell ref="C44:J44"/>
    <mergeCell ref="C65:G66"/>
    <mergeCell ref="I64:N65"/>
  </mergeCells>
  <pageMargins left="0.7" right="0.7" top="0.75" bottom="0.75" header="0.3" footer="0.3"/>
  <pageSetup paperSize="9" scale="4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FA173-BD41-44D7-8C87-F06F15F5F3FB}">
  <sheetPr>
    <pageSetUpPr fitToPage="1"/>
  </sheetPr>
  <dimension ref="A2:U60"/>
  <sheetViews>
    <sheetView topLeftCell="K20" workbookViewId="0">
      <selection activeCell="Q21" sqref="Q21"/>
    </sheetView>
  </sheetViews>
  <sheetFormatPr baseColWidth="10" defaultRowHeight="15" x14ac:dyDescent="0.25"/>
  <cols>
    <col min="2" max="2" width="4.7109375" customWidth="1"/>
    <col min="3" max="3" width="6.28515625" customWidth="1"/>
    <col min="4" max="10" width="4.7109375" customWidth="1"/>
    <col min="11" max="11" width="31" customWidth="1"/>
    <col min="12" max="12" width="9.28515625" customWidth="1"/>
    <col min="13" max="13" width="11.28515625" customWidth="1"/>
    <col min="14" max="14" width="7" customWidth="1"/>
    <col min="17" max="17" width="29.140625" customWidth="1"/>
    <col min="18" max="18" width="29" customWidth="1"/>
    <col min="19" max="19" width="24.5703125" customWidth="1"/>
    <col min="20" max="20" width="21" customWidth="1"/>
  </cols>
  <sheetData>
    <row r="2" spans="2:16" ht="18.75" x14ac:dyDescent="0.3">
      <c r="B2" s="12" t="s">
        <v>25</v>
      </c>
    </row>
    <row r="4" spans="2:16" x14ac:dyDescent="0.25">
      <c r="B4" t="s">
        <v>27</v>
      </c>
    </row>
    <row r="5" spans="2:16" x14ac:dyDescent="0.25">
      <c r="B5" t="s">
        <v>26</v>
      </c>
    </row>
    <row r="8" spans="2:16" ht="15" customHeight="1" x14ac:dyDescent="0.25">
      <c r="B8" s="29" t="s">
        <v>37</v>
      </c>
      <c r="C8" s="29"/>
      <c r="D8" s="29"/>
      <c r="E8" s="29"/>
      <c r="F8" s="29"/>
      <c r="G8" s="29"/>
      <c r="H8" s="29"/>
      <c r="I8" s="29"/>
      <c r="J8" s="29"/>
      <c r="K8" s="30" t="s">
        <v>38</v>
      </c>
      <c r="L8" s="31" t="s">
        <v>39</v>
      </c>
      <c r="M8" s="31" t="s">
        <v>40</v>
      </c>
      <c r="N8" s="13"/>
    </row>
    <row r="9" spans="2:16" ht="26.25" customHeight="1" x14ac:dyDescent="0.25">
      <c r="B9" s="7" t="s">
        <v>28</v>
      </c>
      <c r="C9" s="7" t="s">
        <v>29</v>
      </c>
      <c r="D9" s="7" t="s">
        <v>30</v>
      </c>
      <c r="E9" s="7" t="s">
        <v>31</v>
      </c>
      <c r="F9" s="7" t="s">
        <v>32</v>
      </c>
      <c r="G9" s="7" t="s">
        <v>33</v>
      </c>
      <c r="H9" s="7" t="s">
        <v>34</v>
      </c>
      <c r="I9" s="7" t="s">
        <v>35</v>
      </c>
      <c r="J9" s="7" t="s">
        <v>36</v>
      </c>
      <c r="K9" s="30"/>
      <c r="L9" s="31"/>
      <c r="M9" s="31"/>
      <c r="N9" s="13"/>
    </row>
    <row r="10" spans="2:16" ht="15.75" x14ac:dyDescent="0.25">
      <c r="B10" s="2"/>
      <c r="C10" s="14">
        <v>1</v>
      </c>
      <c r="D10" s="2"/>
      <c r="E10" s="2"/>
      <c r="F10" s="2"/>
      <c r="G10" s="2"/>
      <c r="H10" s="2"/>
      <c r="I10" s="2"/>
      <c r="J10" s="2"/>
      <c r="K10" s="2" t="s">
        <v>41</v>
      </c>
      <c r="L10" s="2">
        <v>1.5</v>
      </c>
      <c r="M10" s="15"/>
      <c r="P10" s="10" t="s">
        <v>74</v>
      </c>
    </row>
    <row r="11" spans="2:16" x14ac:dyDescent="0.25">
      <c r="B11" s="2"/>
      <c r="C11" s="2"/>
      <c r="D11" s="2"/>
      <c r="E11" s="2"/>
      <c r="F11" s="2"/>
      <c r="G11" s="14">
        <v>1</v>
      </c>
      <c r="H11" s="2"/>
      <c r="I11" s="2"/>
      <c r="J11" s="2"/>
      <c r="K11" s="2" t="s">
        <v>42</v>
      </c>
      <c r="L11" s="2">
        <v>1.5</v>
      </c>
      <c r="M11" s="2">
        <v>53</v>
      </c>
      <c r="P11" t="s">
        <v>75</v>
      </c>
    </row>
    <row r="12" spans="2:16" x14ac:dyDescent="0.25">
      <c r="B12" s="21">
        <v>1</v>
      </c>
      <c r="C12" s="2"/>
      <c r="D12" s="2"/>
      <c r="E12" s="2"/>
      <c r="F12" s="2"/>
      <c r="G12" s="2"/>
      <c r="H12" s="2"/>
      <c r="I12" s="2"/>
      <c r="J12" s="2"/>
      <c r="K12" s="2" t="s">
        <v>43</v>
      </c>
      <c r="L12" s="2">
        <v>8</v>
      </c>
      <c r="M12" s="21">
        <v>1296</v>
      </c>
      <c r="P12" t="s">
        <v>86</v>
      </c>
    </row>
    <row r="13" spans="2:16" x14ac:dyDescent="0.25">
      <c r="B13" s="2"/>
      <c r="C13" s="14">
        <v>1</v>
      </c>
      <c r="D13" s="2"/>
      <c r="E13" s="2"/>
      <c r="F13" s="2"/>
      <c r="G13" s="2"/>
      <c r="H13" s="2"/>
      <c r="I13" s="2"/>
      <c r="J13" s="2"/>
      <c r="K13" s="2" t="s">
        <v>44</v>
      </c>
      <c r="L13" s="2">
        <v>1.5</v>
      </c>
      <c r="M13" s="15"/>
      <c r="P13" t="s">
        <v>85</v>
      </c>
    </row>
    <row r="14" spans="2:16" x14ac:dyDescent="0.25">
      <c r="B14" s="2"/>
      <c r="C14" s="2"/>
      <c r="D14" s="2"/>
      <c r="E14" s="2"/>
      <c r="F14" s="2"/>
      <c r="G14" s="2"/>
      <c r="H14" s="14">
        <v>1</v>
      </c>
      <c r="I14" s="2"/>
      <c r="J14" s="2"/>
      <c r="K14" s="2" t="s">
        <v>45</v>
      </c>
      <c r="L14" s="2">
        <v>3</v>
      </c>
      <c r="M14" s="2">
        <v>38</v>
      </c>
      <c r="P14" t="s">
        <v>76</v>
      </c>
    </row>
    <row r="15" spans="2:16" x14ac:dyDescent="0.25">
      <c r="B15" s="2"/>
      <c r="C15" s="2"/>
      <c r="D15" s="2"/>
      <c r="E15" s="2"/>
      <c r="F15" s="2"/>
      <c r="G15" s="2"/>
      <c r="H15" s="2"/>
      <c r="I15" s="2"/>
      <c r="J15" s="14">
        <v>1</v>
      </c>
      <c r="K15" s="2" t="s">
        <v>46</v>
      </c>
      <c r="L15" s="2">
        <v>8</v>
      </c>
      <c r="M15" s="2">
        <v>206</v>
      </c>
      <c r="P15" t="s">
        <v>77</v>
      </c>
    </row>
    <row r="16" spans="2:16" x14ac:dyDescent="0.25">
      <c r="B16" s="2"/>
      <c r="C16" s="2"/>
      <c r="D16" s="14">
        <v>1</v>
      </c>
      <c r="E16" s="2"/>
      <c r="F16" s="2"/>
      <c r="G16" s="2"/>
      <c r="H16" s="2"/>
      <c r="I16" s="2"/>
      <c r="J16" s="2"/>
      <c r="K16" s="2" t="s">
        <v>47</v>
      </c>
      <c r="L16" s="2">
        <v>1.5</v>
      </c>
      <c r="M16" s="2">
        <v>114</v>
      </c>
      <c r="P16" t="s">
        <v>78</v>
      </c>
    </row>
    <row r="17" spans="2:21" x14ac:dyDescent="0.25">
      <c r="B17" s="21">
        <v>1</v>
      </c>
      <c r="C17" s="2"/>
      <c r="D17" s="2"/>
      <c r="E17" s="2"/>
      <c r="F17" s="2"/>
      <c r="G17" s="2"/>
      <c r="H17" s="2"/>
      <c r="I17" s="2"/>
      <c r="J17" s="2"/>
      <c r="K17" s="2" t="s">
        <v>48</v>
      </c>
      <c r="L17" s="2">
        <v>6</v>
      </c>
      <c r="M17" s="21">
        <v>431</v>
      </c>
    </row>
    <row r="18" spans="2:21" x14ac:dyDescent="0.25">
      <c r="B18" s="2"/>
      <c r="C18" s="2"/>
      <c r="D18" s="2"/>
      <c r="E18" s="2"/>
      <c r="F18" s="2"/>
      <c r="G18" s="2"/>
      <c r="H18" s="2"/>
      <c r="I18" s="14">
        <v>1</v>
      </c>
      <c r="J18" s="2"/>
      <c r="K18" s="2" t="s">
        <v>49</v>
      </c>
      <c r="L18" s="2">
        <v>8</v>
      </c>
      <c r="M18" s="2">
        <v>282</v>
      </c>
    </row>
    <row r="19" spans="2:21" x14ac:dyDescent="0.25">
      <c r="B19" s="2"/>
      <c r="C19" s="2"/>
      <c r="D19" s="2"/>
      <c r="E19" s="14">
        <v>1</v>
      </c>
      <c r="F19" s="2"/>
      <c r="G19" s="2"/>
      <c r="H19" s="2"/>
      <c r="I19" s="2"/>
      <c r="J19" s="2"/>
      <c r="K19" s="2" t="s">
        <v>50</v>
      </c>
      <c r="L19" s="2">
        <v>5.5</v>
      </c>
      <c r="M19" s="2">
        <v>381</v>
      </c>
    </row>
    <row r="20" spans="2:21" ht="28.5" customHeight="1" x14ac:dyDescent="0.25">
      <c r="B20" s="2"/>
      <c r="C20" s="2"/>
      <c r="D20" s="2"/>
      <c r="E20" s="2"/>
      <c r="F20" s="2"/>
      <c r="G20" s="2"/>
      <c r="H20" s="14">
        <v>1</v>
      </c>
      <c r="I20" s="2"/>
      <c r="J20" s="2"/>
      <c r="K20" s="3" t="s">
        <v>51</v>
      </c>
      <c r="L20" s="3">
        <v>4.5</v>
      </c>
      <c r="M20" s="2">
        <v>267</v>
      </c>
      <c r="P20" s="18" t="s">
        <v>79</v>
      </c>
      <c r="Q20" s="16" t="s">
        <v>80</v>
      </c>
      <c r="R20" s="17" t="s">
        <v>81</v>
      </c>
      <c r="S20" s="17" t="s">
        <v>82</v>
      </c>
      <c r="T20" s="17" t="s">
        <v>83</v>
      </c>
      <c r="U20" s="17" t="s">
        <v>92</v>
      </c>
    </row>
    <row r="21" spans="2:21" x14ac:dyDescent="0.25">
      <c r="B21" s="21">
        <v>1</v>
      </c>
      <c r="C21" s="2"/>
      <c r="D21" s="2"/>
      <c r="E21" s="2"/>
      <c r="F21" s="2"/>
      <c r="G21" s="2"/>
      <c r="H21" s="2"/>
      <c r="I21" s="2"/>
      <c r="J21" s="2"/>
      <c r="K21" s="2" t="s">
        <v>52</v>
      </c>
      <c r="L21" s="2">
        <v>2</v>
      </c>
      <c r="M21" s="21"/>
      <c r="P21" s="7" t="s">
        <v>28</v>
      </c>
      <c r="Q21" s="2">
        <f>(L12+L21+L24+L29+L34+L39+L42+L44+L49+L55+L57+L17)*38</f>
        <v>1577</v>
      </c>
      <c r="R21" s="2">
        <f>M12+M17+M34+M39+M49+M57</f>
        <v>3795</v>
      </c>
      <c r="S21" s="2">
        <f>(L12+L21+L24+L29+L34+L39+L42+L44+L49+L55+L57+L17)*237</f>
        <v>9835.5</v>
      </c>
      <c r="T21" s="2">
        <f>SUM(Q21:S21)</f>
        <v>15207.5</v>
      </c>
      <c r="U21" s="22">
        <f>T21/$T$30</f>
        <v>0.30773822773539472</v>
      </c>
    </row>
    <row r="22" spans="2:21" x14ac:dyDescent="0.25">
      <c r="B22" s="2"/>
      <c r="C22" s="14">
        <v>1</v>
      </c>
      <c r="D22" s="2"/>
      <c r="E22" s="2"/>
      <c r="F22" s="2"/>
      <c r="G22" s="2"/>
      <c r="H22" s="2"/>
      <c r="I22" s="2"/>
      <c r="J22" s="2"/>
      <c r="K22" s="2" t="s">
        <v>53</v>
      </c>
      <c r="L22" s="2">
        <v>1</v>
      </c>
      <c r="M22" s="2">
        <v>27</v>
      </c>
      <c r="P22" s="7" t="s">
        <v>29</v>
      </c>
      <c r="Q22" s="2">
        <f>SUM(L10+L13+L22+L28+L33+L38+L40+L56)*38</f>
        <v>380</v>
      </c>
      <c r="R22" s="2">
        <f>M22</f>
        <v>27</v>
      </c>
      <c r="S22" s="2">
        <f>SUM(L10+L13+L22+L28+L33+L38+L40+L56)*237</f>
        <v>2370</v>
      </c>
      <c r="T22" s="2">
        <f t="shared" ref="T22:T29" si="0">SUM(Q22:S22)</f>
        <v>2777</v>
      </c>
      <c r="U22" s="22">
        <f t="shared" ref="U22:U29" si="1">T22/$T$30</f>
        <v>5.6195236457089667E-2</v>
      </c>
    </row>
    <row r="23" spans="2:21" x14ac:dyDescent="0.25">
      <c r="B23" s="2"/>
      <c r="C23" s="2"/>
      <c r="D23" s="2"/>
      <c r="E23" s="2"/>
      <c r="F23" s="2"/>
      <c r="G23" s="14">
        <v>1</v>
      </c>
      <c r="H23" s="2"/>
      <c r="I23" s="2"/>
      <c r="J23" s="2"/>
      <c r="K23" s="2" t="s">
        <v>54</v>
      </c>
      <c r="L23" s="2">
        <v>2.5</v>
      </c>
      <c r="M23" s="2">
        <v>191</v>
      </c>
      <c r="P23" s="7" t="s">
        <v>30</v>
      </c>
      <c r="Q23" s="2">
        <f>(L16+L27+L47)*38</f>
        <v>171</v>
      </c>
      <c r="R23" s="2">
        <f>M16</f>
        <v>114</v>
      </c>
      <c r="S23" s="2">
        <f>(L16+L27+L47)*237</f>
        <v>1066.5</v>
      </c>
      <c r="T23" s="2">
        <f t="shared" si="0"/>
        <v>1351.5</v>
      </c>
      <c r="U23" s="22">
        <f t="shared" si="1"/>
        <v>2.7348888034482061E-2</v>
      </c>
    </row>
    <row r="24" spans="2:21" x14ac:dyDescent="0.25">
      <c r="B24" s="21">
        <v>1</v>
      </c>
      <c r="C24" s="2"/>
      <c r="D24" s="2"/>
      <c r="E24" s="2"/>
      <c r="F24" s="2"/>
      <c r="G24" s="2"/>
      <c r="H24" s="2"/>
      <c r="I24" s="2"/>
      <c r="J24" s="2"/>
      <c r="K24" s="2" t="s">
        <v>55</v>
      </c>
      <c r="L24" s="2">
        <v>2</v>
      </c>
      <c r="M24" s="21"/>
      <c r="P24" s="7" t="s">
        <v>31</v>
      </c>
      <c r="Q24" s="2">
        <f>(L19+L51)*38</f>
        <v>323</v>
      </c>
      <c r="R24" s="2">
        <f>M19</f>
        <v>381</v>
      </c>
      <c r="S24" s="2">
        <f>(L19+L51)*237</f>
        <v>2014.5</v>
      </c>
      <c r="T24" s="2">
        <f t="shared" si="0"/>
        <v>2718.5</v>
      </c>
      <c r="U24" s="22">
        <f t="shared" si="1"/>
        <v>5.501143331242285E-2</v>
      </c>
    </row>
    <row r="25" spans="2:21" x14ac:dyDescent="0.25">
      <c r="B25" s="2"/>
      <c r="C25" s="2"/>
      <c r="D25" s="2"/>
      <c r="E25" s="2"/>
      <c r="F25" s="14">
        <v>1</v>
      </c>
      <c r="G25" s="2"/>
      <c r="H25" s="2"/>
      <c r="I25" s="2"/>
      <c r="J25" s="2"/>
      <c r="K25" s="2" t="s">
        <v>56</v>
      </c>
      <c r="L25" s="2">
        <v>6.5</v>
      </c>
      <c r="M25" s="15"/>
      <c r="P25" s="7" t="s">
        <v>32</v>
      </c>
      <c r="Q25" s="2">
        <f>(L25+L36+L45)*38</f>
        <v>361</v>
      </c>
      <c r="R25" s="2"/>
      <c r="S25" s="2">
        <f>(L25+L36+L45)*237</f>
        <v>2251.5</v>
      </c>
      <c r="T25" s="2">
        <f t="shared" si="0"/>
        <v>2612.5</v>
      </c>
      <c r="U25" s="22">
        <f t="shared" si="1"/>
        <v>5.286642248618896E-2</v>
      </c>
    </row>
    <row r="26" spans="2:21" x14ac:dyDescent="0.25">
      <c r="B26" s="2"/>
      <c r="C26" s="2"/>
      <c r="D26" s="2"/>
      <c r="E26" s="2"/>
      <c r="F26" s="2"/>
      <c r="G26" s="2"/>
      <c r="H26" s="14">
        <v>1</v>
      </c>
      <c r="I26" s="2"/>
      <c r="J26" s="2"/>
      <c r="K26" s="2" t="s">
        <v>45</v>
      </c>
      <c r="L26" s="2">
        <v>3</v>
      </c>
      <c r="M26" s="15"/>
      <c r="P26" s="7" t="s">
        <v>33</v>
      </c>
      <c r="Q26" s="2">
        <f>(L11+L23+L37+L54+L46)*38</f>
        <v>380</v>
      </c>
      <c r="R26" s="2">
        <f>M11+M23+M54</f>
        <v>267</v>
      </c>
      <c r="S26" s="2">
        <f>(L11+L23+L37+L54+L46)*237</f>
        <v>2370</v>
      </c>
      <c r="T26" s="2">
        <f t="shared" si="0"/>
        <v>3017</v>
      </c>
      <c r="U26" s="22">
        <f t="shared" si="1"/>
        <v>6.1051864742902237E-2</v>
      </c>
    </row>
    <row r="27" spans="2:21" x14ac:dyDescent="0.25">
      <c r="B27" s="2"/>
      <c r="C27" s="2"/>
      <c r="D27" s="14">
        <v>1</v>
      </c>
      <c r="E27" s="2"/>
      <c r="F27" s="2"/>
      <c r="G27" s="2"/>
      <c r="H27" s="2"/>
      <c r="I27" s="2"/>
      <c r="J27" s="2"/>
      <c r="K27" s="2" t="s">
        <v>57</v>
      </c>
      <c r="L27" s="2">
        <v>1</v>
      </c>
      <c r="M27" s="15"/>
      <c r="P27" s="7" t="s">
        <v>34</v>
      </c>
      <c r="Q27" s="2">
        <f>(L14+L20+L26+L30+L31+L35+L41+L48+L52+L53)*38</f>
        <v>1425</v>
      </c>
      <c r="R27" s="2">
        <f>M14+M20+M30+M31+M48+M53</f>
        <v>4707</v>
      </c>
      <c r="S27" s="2">
        <f>(L14+L20+L26+L30+L31+L35+L41+L48+L52+L53)*237</f>
        <v>8887.5</v>
      </c>
      <c r="T27" s="2">
        <f t="shared" si="0"/>
        <v>15019.5</v>
      </c>
      <c r="U27" s="22">
        <f t="shared" si="1"/>
        <v>0.3039338689115082</v>
      </c>
    </row>
    <row r="28" spans="2:21" x14ac:dyDescent="0.25">
      <c r="B28" s="2"/>
      <c r="C28" s="14">
        <v>1</v>
      </c>
      <c r="D28" s="2"/>
      <c r="E28" s="2"/>
      <c r="F28" s="2"/>
      <c r="G28" s="2"/>
      <c r="H28" s="2"/>
      <c r="I28" s="2"/>
      <c r="J28" s="2"/>
      <c r="K28" s="2" t="s">
        <v>44</v>
      </c>
      <c r="L28" s="2">
        <v>1</v>
      </c>
      <c r="M28" s="15"/>
      <c r="P28" s="7" t="s">
        <v>35</v>
      </c>
      <c r="Q28" s="2">
        <f>(L18+L32+L43)*38</f>
        <v>399</v>
      </c>
      <c r="R28" s="2">
        <f>M18+M32</f>
        <v>320</v>
      </c>
      <c r="S28" s="2">
        <f>(L18+L32+L43)*237</f>
        <v>2488.5</v>
      </c>
      <c r="T28" s="2">
        <f t="shared" si="0"/>
        <v>3207.5</v>
      </c>
      <c r="U28" s="22">
        <f t="shared" si="1"/>
        <v>6.4906813444765968E-2</v>
      </c>
    </row>
    <row r="29" spans="2:21" x14ac:dyDescent="0.25">
      <c r="B29" s="21">
        <v>1</v>
      </c>
      <c r="C29" s="2"/>
      <c r="D29" s="2"/>
      <c r="E29" s="2"/>
      <c r="F29" s="2"/>
      <c r="G29" s="2"/>
      <c r="H29" s="2"/>
      <c r="I29" s="2"/>
      <c r="J29" s="2"/>
      <c r="K29" s="2" t="s">
        <v>58</v>
      </c>
      <c r="L29" s="2">
        <v>0.5</v>
      </c>
      <c r="M29" s="21"/>
      <c r="P29" s="7" t="s">
        <v>36</v>
      </c>
      <c r="Q29" s="2">
        <f>(L15+L50)*38</f>
        <v>456</v>
      </c>
      <c r="R29" s="2">
        <f>M15</f>
        <v>206</v>
      </c>
      <c r="S29" s="2">
        <f>(L15+L50)*237</f>
        <v>2844</v>
      </c>
      <c r="T29" s="2">
        <f t="shared" si="0"/>
        <v>3506</v>
      </c>
      <c r="U29" s="22">
        <f t="shared" si="1"/>
        <v>7.0947244875245355E-2</v>
      </c>
    </row>
    <row r="30" spans="2:21" x14ac:dyDescent="0.25">
      <c r="B30" s="2"/>
      <c r="C30" s="2"/>
      <c r="D30" s="2"/>
      <c r="E30" s="2"/>
      <c r="F30" s="2"/>
      <c r="G30" s="2"/>
      <c r="H30" s="14">
        <v>1</v>
      </c>
      <c r="I30" s="2"/>
      <c r="J30" s="2"/>
      <c r="K30" s="2" t="s">
        <v>59</v>
      </c>
      <c r="L30" s="2">
        <v>5</v>
      </c>
      <c r="M30" s="2">
        <v>877</v>
      </c>
      <c r="T30" s="21">
        <f>SUM(T21:T29)</f>
        <v>49417</v>
      </c>
    </row>
    <row r="31" spans="2:21" x14ac:dyDescent="0.25">
      <c r="B31" s="2"/>
      <c r="C31" s="2"/>
      <c r="D31" s="2"/>
      <c r="E31" s="2"/>
      <c r="F31" s="2"/>
      <c r="G31" s="2"/>
      <c r="H31" s="14">
        <v>1</v>
      </c>
      <c r="I31" s="2"/>
      <c r="J31" s="2"/>
      <c r="K31" s="2" t="s">
        <v>60</v>
      </c>
      <c r="L31" s="2">
        <v>4</v>
      </c>
      <c r="M31" s="2">
        <v>38</v>
      </c>
    </row>
    <row r="32" spans="2:21" x14ac:dyDescent="0.25">
      <c r="B32" s="2"/>
      <c r="C32" s="2"/>
      <c r="D32" s="2"/>
      <c r="E32" s="2"/>
      <c r="F32" s="2"/>
      <c r="G32" s="2"/>
      <c r="H32" s="2"/>
      <c r="I32" s="14">
        <v>1</v>
      </c>
      <c r="J32" s="2"/>
      <c r="K32" s="2" t="s">
        <v>45</v>
      </c>
      <c r="L32" s="2">
        <v>2</v>
      </c>
      <c r="M32" s="2">
        <v>38</v>
      </c>
    </row>
    <row r="33" spans="2:13" x14ac:dyDescent="0.25">
      <c r="B33" s="2"/>
      <c r="C33" s="14">
        <v>1</v>
      </c>
      <c r="D33" s="2"/>
      <c r="E33" s="2"/>
      <c r="F33" s="2"/>
      <c r="G33" s="2"/>
      <c r="H33" s="2"/>
      <c r="I33" s="2"/>
      <c r="J33" s="2"/>
      <c r="K33" s="2" t="s">
        <v>44</v>
      </c>
      <c r="L33" s="2">
        <v>1</v>
      </c>
      <c r="M33" s="15"/>
    </row>
    <row r="34" spans="2:13" x14ac:dyDescent="0.25">
      <c r="B34" s="21">
        <v>1</v>
      </c>
      <c r="C34" s="2"/>
      <c r="D34" s="2"/>
      <c r="E34" s="2"/>
      <c r="F34" s="2"/>
      <c r="G34" s="2"/>
      <c r="H34" s="2"/>
      <c r="I34" s="2"/>
      <c r="J34" s="2"/>
      <c r="K34" s="2" t="s">
        <v>53</v>
      </c>
      <c r="L34" s="2">
        <v>1</v>
      </c>
      <c r="M34" s="21">
        <v>53</v>
      </c>
    </row>
    <row r="35" spans="2:13" x14ac:dyDescent="0.25">
      <c r="B35" s="2"/>
      <c r="C35" s="2"/>
      <c r="D35" s="2"/>
      <c r="E35" s="2"/>
      <c r="F35" s="2"/>
      <c r="G35" s="2"/>
      <c r="H35" s="14">
        <v>1</v>
      </c>
      <c r="I35" s="2"/>
      <c r="J35" s="2"/>
      <c r="K35" s="2" t="s">
        <v>61</v>
      </c>
      <c r="L35" s="2">
        <v>4</v>
      </c>
      <c r="M35" s="15"/>
    </row>
    <row r="36" spans="2:13" x14ac:dyDescent="0.25">
      <c r="B36" s="2"/>
      <c r="C36" s="2"/>
      <c r="D36" s="2"/>
      <c r="E36" s="2"/>
      <c r="F36" s="14">
        <v>1</v>
      </c>
      <c r="G36" s="2"/>
      <c r="H36" s="2"/>
      <c r="I36" s="2"/>
      <c r="J36" s="2"/>
      <c r="K36" s="2" t="s">
        <v>62</v>
      </c>
      <c r="L36" s="2">
        <v>0.5</v>
      </c>
      <c r="M36" s="15"/>
    </row>
    <row r="37" spans="2:13" x14ac:dyDescent="0.25">
      <c r="B37" s="2"/>
      <c r="C37" s="2"/>
      <c r="D37" s="2"/>
      <c r="E37" s="2"/>
      <c r="F37" s="2"/>
      <c r="G37" s="14">
        <v>1</v>
      </c>
      <c r="H37" s="2"/>
      <c r="I37" s="2"/>
      <c r="J37" s="2"/>
      <c r="K37" s="2" t="s">
        <v>54</v>
      </c>
      <c r="L37" s="2">
        <v>2</v>
      </c>
      <c r="M37" s="15"/>
    </row>
    <row r="38" spans="2:13" x14ac:dyDescent="0.25">
      <c r="B38" s="2"/>
      <c r="C38" s="14">
        <v>1</v>
      </c>
      <c r="D38" s="2"/>
      <c r="E38" s="2"/>
      <c r="F38" s="2"/>
      <c r="G38" s="2"/>
      <c r="H38" s="2"/>
      <c r="I38" s="2"/>
      <c r="J38" s="2"/>
      <c r="K38" s="2" t="s">
        <v>63</v>
      </c>
      <c r="L38" s="2">
        <v>0.5</v>
      </c>
      <c r="M38" s="15"/>
    </row>
    <row r="39" spans="2:13" x14ac:dyDescent="0.25">
      <c r="B39" s="21">
        <v>1</v>
      </c>
      <c r="C39" s="2"/>
      <c r="D39" s="2"/>
      <c r="E39" s="2"/>
      <c r="F39" s="2"/>
      <c r="G39" s="2"/>
      <c r="H39" s="2"/>
      <c r="I39" s="2"/>
      <c r="J39" s="2"/>
      <c r="K39" s="2" t="s">
        <v>44</v>
      </c>
      <c r="L39" s="2">
        <v>2.5</v>
      </c>
      <c r="M39" s="21">
        <v>38</v>
      </c>
    </row>
    <row r="40" spans="2:13" x14ac:dyDescent="0.25">
      <c r="B40" s="2"/>
      <c r="C40" s="14">
        <v>1</v>
      </c>
      <c r="D40" s="2"/>
      <c r="E40" s="2"/>
      <c r="F40" s="2"/>
      <c r="G40" s="2"/>
      <c r="H40" s="2"/>
      <c r="I40" s="2"/>
      <c r="J40" s="2"/>
      <c r="K40" s="2" t="s">
        <v>64</v>
      </c>
      <c r="L40" s="2">
        <v>2.5</v>
      </c>
      <c r="M40" s="15"/>
    </row>
    <row r="41" spans="2:13" x14ac:dyDescent="0.25">
      <c r="B41" s="2"/>
      <c r="C41" s="2"/>
      <c r="D41" s="2"/>
      <c r="E41" s="2"/>
      <c r="F41" s="2"/>
      <c r="G41" s="2"/>
      <c r="H41" s="14">
        <v>1</v>
      </c>
      <c r="I41" s="2"/>
      <c r="J41" s="2"/>
      <c r="K41" s="2" t="s">
        <v>58</v>
      </c>
      <c r="L41" s="2">
        <v>1</v>
      </c>
      <c r="M41" s="15"/>
    </row>
    <row r="42" spans="2:13" x14ac:dyDescent="0.25">
      <c r="B42" s="21">
        <v>1</v>
      </c>
      <c r="C42" s="2"/>
      <c r="D42" s="2"/>
      <c r="E42" s="2"/>
      <c r="F42" s="2"/>
      <c r="G42" s="2"/>
      <c r="H42" s="2"/>
      <c r="I42" s="2"/>
      <c r="J42" s="2"/>
      <c r="K42" s="2" t="s">
        <v>55</v>
      </c>
      <c r="L42" s="2">
        <v>3.5</v>
      </c>
      <c r="M42" s="21"/>
    </row>
    <row r="43" spans="2:13" x14ac:dyDescent="0.25">
      <c r="B43" s="2"/>
      <c r="C43" s="2"/>
      <c r="D43" s="2"/>
      <c r="E43" s="2"/>
      <c r="F43" s="2"/>
      <c r="G43" s="2"/>
      <c r="H43" s="2"/>
      <c r="I43" s="14">
        <v>1</v>
      </c>
      <c r="J43" s="2"/>
      <c r="K43" s="2" t="s">
        <v>45</v>
      </c>
      <c r="L43" s="2">
        <v>0.5</v>
      </c>
      <c r="M43" s="15"/>
    </row>
    <row r="44" spans="2:13" x14ac:dyDescent="0.25">
      <c r="B44" s="21">
        <v>1</v>
      </c>
      <c r="C44" s="2"/>
      <c r="D44" s="2"/>
      <c r="E44" s="2"/>
      <c r="F44" s="2"/>
      <c r="G44" s="2"/>
      <c r="H44" s="2"/>
      <c r="I44" s="2"/>
      <c r="J44" s="2"/>
      <c r="K44" s="2" t="s">
        <v>44</v>
      </c>
      <c r="L44" s="2">
        <v>2.5</v>
      </c>
      <c r="M44" s="21"/>
    </row>
    <row r="45" spans="2:13" x14ac:dyDescent="0.25">
      <c r="B45" s="2"/>
      <c r="C45" s="2"/>
      <c r="D45" s="2"/>
      <c r="E45" s="2"/>
      <c r="F45" s="14">
        <v>1</v>
      </c>
      <c r="G45" s="2"/>
      <c r="H45" s="2"/>
      <c r="I45" s="2"/>
      <c r="J45" s="2"/>
      <c r="K45" s="2" t="s">
        <v>65</v>
      </c>
      <c r="L45" s="2">
        <v>2.5</v>
      </c>
      <c r="M45" s="15"/>
    </row>
    <row r="46" spans="2:13" x14ac:dyDescent="0.25">
      <c r="B46" s="2"/>
      <c r="C46" s="2"/>
      <c r="D46" s="2"/>
      <c r="E46" s="2"/>
      <c r="F46" s="2"/>
      <c r="G46" s="14">
        <v>1</v>
      </c>
      <c r="H46" s="2"/>
      <c r="I46" s="2"/>
      <c r="J46" s="2"/>
      <c r="K46" s="2" t="s">
        <v>54</v>
      </c>
      <c r="L46" s="2">
        <v>3</v>
      </c>
      <c r="M46" s="15"/>
    </row>
    <row r="47" spans="2:13" x14ac:dyDescent="0.25">
      <c r="B47" s="2"/>
      <c r="C47" s="2"/>
      <c r="D47" s="14">
        <v>1</v>
      </c>
      <c r="E47" s="2"/>
      <c r="F47" s="2"/>
      <c r="G47" s="2"/>
      <c r="H47" s="2"/>
      <c r="I47" s="2"/>
      <c r="J47" s="2"/>
      <c r="K47" s="2" t="s">
        <v>57</v>
      </c>
      <c r="L47" s="2">
        <v>2</v>
      </c>
      <c r="M47" s="15"/>
    </row>
    <row r="48" spans="2:13" ht="26.25" customHeight="1" x14ac:dyDescent="0.25">
      <c r="B48" s="2"/>
      <c r="C48" s="2"/>
      <c r="D48" s="2"/>
      <c r="E48" s="2"/>
      <c r="F48" s="2"/>
      <c r="G48" s="2"/>
      <c r="H48" s="14">
        <v>1</v>
      </c>
      <c r="I48" s="2"/>
      <c r="J48" s="2"/>
      <c r="K48" s="3" t="s">
        <v>66</v>
      </c>
      <c r="L48" s="2">
        <v>4</v>
      </c>
      <c r="M48" s="2">
        <v>191</v>
      </c>
    </row>
    <row r="49" spans="1:13" x14ac:dyDescent="0.25">
      <c r="B49" s="21">
        <v>1</v>
      </c>
      <c r="C49" s="2"/>
      <c r="D49" s="2"/>
      <c r="E49" s="2"/>
      <c r="F49" s="2"/>
      <c r="G49" s="2"/>
      <c r="H49" s="2"/>
      <c r="I49" s="2"/>
      <c r="J49" s="2"/>
      <c r="K49" s="2" t="s">
        <v>53</v>
      </c>
      <c r="L49" s="2">
        <v>1.5</v>
      </c>
      <c r="M49" s="21">
        <v>33</v>
      </c>
    </row>
    <row r="50" spans="1:13" x14ac:dyDescent="0.25">
      <c r="B50" s="2"/>
      <c r="C50" s="2"/>
      <c r="D50" s="2"/>
      <c r="E50" s="2"/>
      <c r="F50" s="2"/>
      <c r="G50" s="2"/>
      <c r="H50" s="2"/>
      <c r="I50" s="2"/>
      <c r="J50" s="14">
        <v>1</v>
      </c>
      <c r="K50" s="2" t="s">
        <v>67</v>
      </c>
      <c r="L50" s="2">
        <v>4</v>
      </c>
      <c r="M50" s="15"/>
    </row>
    <row r="51" spans="1:13" x14ac:dyDescent="0.25">
      <c r="B51" s="2"/>
      <c r="C51" s="2"/>
      <c r="D51" s="2"/>
      <c r="E51" s="14">
        <v>1</v>
      </c>
      <c r="F51" s="2"/>
      <c r="G51" s="2"/>
      <c r="H51" s="2"/>
      <c r="I51" s="2"/>
      <c r="J51" s="2"/>
      <c r="K51" s="2" t="s">
        <v>68</v>
      </c>
      <c r="L51" s="2">
        <v>3</v>
      </c>
      <c r="M51" s="15"/>
    </row>
    <row r="52" spans="1:13" x14ac:dyDescent="0.25">
      <c r="B52" s="2"/>
      <c r="C52" s="2"/>
      <c r="D52" s="2"/>
      <c r="E52" s="2"/>
      <c r="F52" s="2"/>
      <c r="G52" s="2"/>
      <c r="H52" s="14">
        <v>1</v>
      </c>
      <c r="I52" s="2"/>
      <c r="J52" s="2"/>
      <c r="K52" s="2" t="s">
        <v>58</v>
      </c>
      <c r="L52" s="2">
        <v>1</v>
      </c>
      <c r="M52" s="15"/>
    </row>
    <row r="53" spans="1:13" x14ac:dyDescent="0.25">
      <c r="B53" s="2"/>
      <c r="C53" s="2"/>
      <c r="D53" s="2"/>
      <c r="E53" s="2"/>
      <c r="F53" s="2"/>
      <c r="G53" s="2"/>
      <c r="H53" s="14">
        <v>1</v>
      </c>
      <c r="I53" s="2"/>
      <c r="J53" s="2"/>
      <c r="K53" s="2" t="s">
        <v>69</v>
      </c>
      <c r="L53" s="2">
        <v>8</v>
      </c>
      <c r="M53" s="2">
        <v>3296</v>
      </c>
    </row>
    <row r="54" spans="1:13" x14ac:dyDescent="0.25">
      <c r="B54" s="2"/>
      <c r="C54" s="2"/>
      <c r="D54" s="2"/>
      <c r="E54" s="2"/>
      <c r="F54" s="2"/>
      <c r="G54" s="14">
        <v>1</v>
      </c>
      <c r="H54" s="2"/>
      <c r="I54" s="2"/>
      <c r="J54" s="2"/>
      <c r="K54" s="2" t="s">
        <v>70</v>
      </c>
      <c r="L54" s="2">
        <v>1</v>
      </c>
      <c r="M54" s="2">
        <v>23</v>
      </c>
    </row>
    <row r="55" spans="1:13" x14ac:dyDescent="0.25">
      <c r="B55" s="21">
        <v>1</v>
      </c>
      <c r="C55" s="2"/>
      <c r="D55" s="2"/>
      <c r="E55" s="2"/>
      <c r="F55" s="2"/>
      <c r="G55" s="2"/>
      <c r="H55" s="2"/>
      <c r="I55" s="2"/>
      <c r="J55" s="2"/>
      <c r="K55" s="2" t="s">
        <v>71</v>
      </c>
      <c r="L55" s="2">
        <v>4</v>
      </c>
      <c r="M55" s="21"/>
    </row>
    <row r="56" spans="1:13" x14ac:dyDescent="0.25">
      <c r="B56" s="2"/>
      <c r="C56" s="14">
        <v>1</v>
      </c>
      <c r="D56" s="2"/>
      <c r="E56" s="2"/>
      <c r="F56" s="2"/>
      <c r="G56" s="2"/>
      <c r="H56" s="2"/>
      <c r="I56" s="2"/>
      <c r="J56" s="2"/>
      <c r="K56" s="2" t="s">
        <v>72</v>
      </c>
      <c r="L56" s="2">
        <v>1</v>
      </c>
      <c r="M56" s="15"/>
    </row>
    <row r="57" spans="1:13" x14ac:dyDescent="0.25">
      <c r="B57" s="21">
        <v>1</v>
      </c>
      <c r="C57" s="2"/>
      <c r="D57" s="2"/>
      <c r="E57" s="2"/>
      <c r="F57" s="2"/>
      <c r="G57" s="2"/>
      <c r="H57" s="2"/>
      <c r="I57" s="2"/>
      <c r="J57" s="2"/>
      <c r="K57" s="2" t="s">
        <v>73</v>
      </c>
      <c r="L57" s="2">
        <v>8</v>
      </c>
      <c r="M57" s="21">
        <v>1944</v>
      </c>
    </row>
    <row r="58" spans="1:13" x14ac:dyDescent="0.25">
      <c r="A58" t="s">
        <v>93</v>
      </c>
      <c r="B58" s="2">
        <f>SUMPRODUCT(B10:B57,$L$10:$L$57)*38</f>
        <v>1577</v>
      </c>
      <c r="C58" s="2">
        <f t="shared" ref="C58:J58" si="2">SUMPRODUCT(C10:C57,$L$10:$L$57)*38</f>
        <v>380</v>
      </c>
      <c r="D58" s="2">
        <f t="shared" si="2"/>
        <v>171</v>
      </c>
      <c r="E58" s="2">
        <f t="shared" si="2"/>
        <v>323</v>
      </c>
      <c r="F58" s="2">
        <f t="shared" si="2"/>
        <v>361</v>
      </c>
      <c r="G58" s="2">
        <f t="shared" si="2"/>
        <v>380</v>
      </c>
      <c r="H58" s="2">
        <f t="shared" si="2"/>
        <v>1425</v>
      </c>
      <c r="I58" s="2">
        <f t="shared" si="2"/>
        <v>399</v>
      </c>
      <c r="J58" s="2">
        <f t="shared" si="2"/>
        <v>456</v>
      </c>
    </row>
    <row r="59" spans="1:13" x14ac:dyDescent="0.25">
      <c r="A59" t="s">
        <v>94</v>
      </c>
      <c r="B59">
        <f>SUMPRODUCT(B10:B57,$M$10:$M$57)</f>
        <v>3795</v>
      </c>
      <c r="C59">
        <f t="shared" ref="C59:J59" si="3">SUMPRODUCT(C10:C57,$M$10:$M$57)</f>
        <v>27</v>
      </c>
      <c r="D59">
        <f t="shared" si="3"/>
        <v>114</v>
      </c>
      <c r="E59">
        <f t="shared" si="3"/>
        <v>381</v>
      </c>
      <c r="F59">
        <f t="shared" si="3"/>
        <v>0</v>
      </c>
      <c r="G59">
        <f t="shared" si="3"/>
        <v>267</v>
      </c>
      <c r="H59">
        <f t="shared" si="3"/>
        <v>4707</v>
      </c>
      <c r="I59">
        <f t="shared" si="3"/>
        <v>320</v>
      </c>
      <c r="J59">
        <f t="shared" si="3"/>
        <v>206</v>
      </c>
    </row>
    <row r="60" spans="1:13" x14ac:dyDescent="0.25">
      <c r="A60" t="s">
        <v>95</v>
      </c>
      <c r="B60">
        <f>SUMPRODUCT(B10:B57,L10:$L$57)*237</f>
        <v>9835.5</v>
      </c>
      <c r="C60" t="e">
        <f>SUMPRODUCT(C10:C57,$L10:M$57)*237</f>
        <v>#VALUE!</v>
      </c>
      <c r="D60" t="e">
        <f>SUMPRODUCT(D10:D57,$L10:N$57)*237</f>
        <v>#VALUE!</v>
      </c>
      <c r="E60" t="e">
        <f>SUMPRODUCT(E10:E57,$L10:O$57)*237</f>
        <v>#VALUE!</v>
      </c>
      <c r="F60" t="e">
        <f>SUMPRODUCT(F10:F57,$L10:P$57)*237</f>
        <v>#VALUE!</v>
      </c>
      <c r="G60" t="e">
        <f>SUMPRODUCT(G10:G57,$L10:Q$57)*237</f>
        <v>#VALUE!</v>
      </c>
      <c r="H60" t="e">
        <f>SUMPRODUCT(H10:H57,$L10:R$57)*237</f>
        <v>#VALUE!</v>
      </c>
      <c r="I60" t="e">
        <f>SUMPRODUCT(I10:I57,$L10:S$57)*237</f>
        <v>#VALUE!</v>
      </c>
      <c r="J60" t="e">
        <f>SUMPRODUCT(J10:J57,$L10:T$57)*237</f>
        <v>#VALUE!</v>
      </c>
    </row>
  </sheetData>
  <mergeCells count="4">
    <mergeCell ref="B8:J8"/>
    <mergeCell ref="K8:K9"/>
    <mergeCell ref="L8:L9"/>
    <mergeCell ref="M8:M9"/>
  </mergeCells>
  <pageMargins left="0.7" right="0.7" top="0.75" bottom="0.75" header="0.3" footer="0.3"/>
  <pageSetup paperSize="9" scale="3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TRS</vt:lpstr>
      <vt:lpstr>Coûts déf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Stéphane JAUBERT</dc:creator>
  <cp:lastModifiedBy>Stéphane JAUBERT</cp:lastModifiedBy>
  <cp:lastPrinted>2023-01-03T12:13:20Z</cp:lastPrinted>
  <dcterms:created xsi:type="dcterms:W3CDTF">2020-12-16T10:57:04Z</dcterms:created>
  <dcterms:modified xsi:type="dcterms:W3CDTF">2023-12-05T09:18:41Z</dcterms:modified>
</cp:coreProperties>
</file>