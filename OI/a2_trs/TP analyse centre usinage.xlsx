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a2_trs/"/>
    </mc:Choice>
  </mc:AlternateContent>
  <xr:revisionPtr revIDLastSave="113" documentId="13_ncr:1_{FBACCD43-1F08-4960-A2F5-622601195D11}" xr6:coauthVersionLast="47" xr6:coauthVersionMax="47" xr10:uidLastSave="{925C6652-CF0B-4F02-B836-38B8D0EDACBE}"/>
  <bookViews>
    <workbookView xWindow="14335" yWindow="-65" windowWidth="19330" windowHeight="10210" activeTab="1" xr2:uid="{0B317174-6610-4FA1-8F85-0AE134DA76FE}"/>
  </bookViews>
  <sheets>
    <sheet name="TRS" sheetId="1" r:id="rId1"/>
    <sheet name="Coûts déf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" i="2" l="1"/>
  <c r="D58" i="2"/>
  <c r="E58" i="2"/>
  <c r="F58" i="2"/>
  <c r="G58" i="2"/>
  <c r="H58" i="2"/>
  <c r="I58" i="2"/>
  <c r="J58" i="2"/>
  <c r="B58" i="2"/>
  <c r="B46" i="1"/>
  <c r="X39" i="1"/>
  <c r="B45" i="1"/>
  <c r="X32" i="1"/>
  <c r="X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C38" i="1"/>
  <c r="D38" i="1"/>
  <c r="E38" i="1"/>
  <c r="E40" i="1" s="1"/>
  <c r="F38" i="1"/>
  <c r="F40" i="1" s="1"/>
  <c r="G38" i="1"/>
  <c r="G40" i="1" s="1"/>
  <c r="H38" i="1"/>
  <c r="H40" i="1" s="1"/>
  <c r="I38" i="1"/>
  <c r="I40" i="1" s="1"/>
  <c r="J38" i="1"/>
  <c r="J40" i="1" s="1"/>
  <c r="K38" i="1"/>
  <c r="K40" i="1" s="1"/>
  <c r="K43" i="1" s="1"/>
  <c r="L38" i="1"/>
  <c r="L40" i="1" s="1"/>
  <c r="L43" i="1" s="1"/>
  <c r="M38" i="1"/>
  <c r="M40" i="1" s="1"/>
  <c r="M43" i="1" s="1"/>
  <c r="N38" i="1"/>
  <c r="O38" i="1"/>
  <c r="P38" i="1"/>
  <c r="Q38" i="1"/>
  <c r="Q40" i="1" s="1"/>
  <c r="R38" i="1"/>
  <c r="R40" i="1" s="1"/>
  <c r="S38" i="1"/>
  <c r="S40" i="1" s="1"/>
  <c r="T38" i="1"/>
  <c r="T40" i="1" s="1"/>
  <c r="U38" i="1"/>
  <c r="U40" i="1" s="1"/>
  <c r="V38" i="1"/>
  <c r="V40" i="1" s="1"/>
  <c r="V43" i="1" s="1"/>
  <c r="W38" i="1"/>
  <c r="W40" i="1" s="1"/>
  <c r="W43" i="1" s="1"/>
  <c r="C40" i="1"/>
  <c r="C43" i="1" s="1"/>
  <c r="D40" i="1"/>
  <c r="D43" i="1" s="1"/>
  <c r="N40" i="1"/>
  <c r="N43" i="1" s="1"/>
  <c r="O40" i="1"/>
  <c r="O43" i="1" s="1"/>
  <c r="P40" i="1"/>
  <c r="P43" i="1" s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B43" i="1"/>
  <c r="B42" i="1"/>
  <c r="B41" i="1"/>
  <c r="J43" i="1" l="1"/>
  <c r="S43" i="1"/>
  <c r="G43" i="1"/>
  <c r="U43" i="1"/>
  <c r="I43" i="1"/>
  <c r="R43" i="1"/>
  <c r="F43" i="1"/>
  <c r="T43" i="1"/>
  <c r="H43" i="1"/>
  <c r="Q43" i="1"/>
  <c r="E43" i="1"/>
  <c r="B39" i="1" l="1"/>
  <c r="B40" i="1"/>
  <c r="B38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B35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B32" i="1"/>
  <c r="B31" i="1"/>
</calcChain>
</file>

<file path=xl/sharedStrings.xml><?xml version="1.0" encoding="utf-8"?>
<sst xmlns="http://schemas.openxmlformats.org/spreadsheetml/2006/main" count="122" uniqueCount="97">
  <si>
    <t>Quantité produite  par C31</t>
  </si>
  <si>
    <t>Quantité produite  par C41</t>
  </si>
  <si>
    <t>Quantité totale</t>
  </si>
  <si>
    <t>Quantité théoriquement réalisable</t>
  </si>
  <si>
    <t>Quantité acceptée C31</t>
  </si>
  <si>
    <t>Quantité acceptée C41</t>
  </si>
  <si>
    <t>Quantité totale acceptée</t>
  </si>
  <si>
    <t>TRS</t>
  </si>
  <si>
    <t>Une cellule flexible est composée par 2 éléments principaux qui sont 2 centres d’usinage horizontaux</t>
  </si>
  <si>
    <t>C31 et C41 alimentés automatiquement en pièces et en outils par un portique à commande numérique.</t>
  </si>
  <si>
    <t>La cellule comporte également une machine à laver destinée au décapage des pièces usinées.</t>
  </si>
  <si>
    <t>pièces différentes. L’alimentation de la cellule en pièces et en outils se fait automatiquement par chariots</t>
  </si>
  <si>
    <t>filoguidés.</t>
  </si>
  <si>
    <t>NOM :</t>
  </si>
  <si>
    <t xml:space="preserve">2) Calculer le TRS quotidien et représenter sur un graphique son évolution </t>
  </si>
  <si>
    <t>quotidiennement et d’une manière plus globale mensuellement. L’objectif fixé est un TRS de 0,75.</t>
  </si>
  <si>
    <t>L’indicateur pour quantifier le rendement global de la cellule est le TRS. Le TRS est calculé</t>
  </si>
  <si>
    <t>Etudes des coûts de défaillances</t>
  </si>
  <si>
    <t>issus de la décomposition de la cellule en sous-ensembles fonctionnels</t>
  </si>
  <si>
    <t>On donne l’historique de la cellule flexible sur les 4 derniers mois. Les repères S1 à S9 correspondent aux différents sous systèmes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</si>
  <si>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</si>
  <si>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</si>
  <si>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</si>
  <si>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</si>
  <si>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</si>
  <si>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</si>
  <si>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</si>
  <si>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</si>
  <si>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</si>
  <si>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Sous systèmes</t>
  </si>
  <si>
    <t>Défaillance</t>
  </si>
  <si>
    <t>Temps d'arrêts (H)</t>
  </si>
  <si>
    <t>Couts des rechanges (€)</t>
  </si>
  <si>
    <t xml:space="preserve">Capteur fin de course </t>
  </si>
  <si>
    <t xml:space="preserve">Capteur présence pièce </t>
  </si>
  <si>
    <t xml:space="preserve">Moteur d’axe </t>
  </si>
  <si>
    <t xml:space="preserve">Palette mal bridée </t>
  </si>
  <si>
    <t xml:space="preserve">Connectique </t>
  </si>
  <si>
    <t xml:space="preserve">Carte d’axe </t>
  </si>
  <si>
    <t>Vérin pneumatique</t>
  </si>
  <si>
    <t xml:space="preserve">Pompe lubrification </t>
  </si>
  <si>
    <t xml:space="preserve">Echange console </t>
  </si>
  <si>
    <t xml:space="preserve">Identification palettes </t>
  </si>
  <si>
    <t>Coincement protection telescopique</t>
  </si>
  <si>
    <t>Palette mal bridée</t>
  </si>
  <si>
    <t xml:space="preserve">Manque huile </t>
  </si>
  <si>
    <t xml:space="preserve">Injecteurs bouchés </t>
  </si>
  <si>
    <t xml:space="preserve">Blocage outil </t>
  </si>
  <si>
    <t>Désindexage plateau</t>
  </si>
  <si>
    <t xml:space="preserve">Mauvaise MIP </t>
  </si>
  <si>
    <t xml:space="preserve">Perte OM </t>
  </si>
  <si>
    <t xml:space="preserve">Blocage mécanique </t>
  </si>
  <si>
    <t xml:space="preserve">Rupture câble alimentation </t>
  </si>
  <si>
    <t>Connectique</t>
  </si>
  <si>
    <t>Coincement câble pneumatique</t>
  </si>
  <si>
    <t xml:space="preserve">Thermique moteur broche </t>
  </si>
  <si>
    <t>Réglage vis à bille</t>
  </si>
  <si>
    <t xml:space="preserve">Palette mal positionnée </t>
  </si>
  <si>
    <t>Coincement protection téléescopique</t>
  </si>
  <si>
    <t xml:space="preserve">Perte programme </t>
  </si>
  <si>
    <t xml:space="preserve">Mauvais indexage </t>
  </si>
  <si>
    <t xml:space="preserve">Coincement mécanique </t>
  </si>
  <si>
    <t xml:space="preserve">Capteur porte </t>
  </si>
  <si>
    <t xml:space="preserve">Réglage variateur </t>
  </si>
  <si>
    <t xml:space="preserve">Blocage mécanique outil </t>
  </si>
  <si>
    <t xml:space="preserve">Pompe hydraulique </t>
  </si>
  <si>
    <t>Travail demandé :</t>
  </si>
  <si>
    <t>1) Compléter le tableau ci-dessous des coûts de défaillance</t>
  </si>
  <si>
    <t>3) Interpréter et conclure</t>
  </si>
  <si>
    <t>· Taux horaire de la main d’oeuvre de maintenance = 38€ / heure</t>
  </si>
  <si>
    <t>· Taux horaire d’indisponibilité : 237€ / heure</t>
  </si>
  <si>
    <t>Sous Systèmes</t>
  </si>
  <si>
    <t>Coûts de la main d’oeuvre de d'œuvre de maintenance</t>
  </si>
  <si>
    <t>Coûts des rechanges</t>
  </si>
  <si>
    <t>Coûts d'indisponibilité</t>
  </si>
  <si>
    <t>Coûts de défaillance</t>
  </si>
  <si>
    <t>coût de défaillance et en mettant en évidence les sous-systèmes responsables de 80% des coûts</t>
  </si>
  <si>
    <t>2) Effectuer, à partir du tableau complété, une analyse statistique (histogramme) en prenant comme critère le</t>
  </si>
  <si>
    <t>La gestion de la fabrication est assistée par ordinateur et la cellule peut produire pendant le temps d'ouverture simultanément 2 types de</t>
  </si>
  <si>
    <t>Les arrêts ne sont que des arrêts fonctionnels propres ou induits.</t>
  </si>
  <si>
    <t>Temps de fonctionnement</t>
  </si>
  <si>
    <t>1) Compléter le tableau ci-dessous (modifiable à loisir)</t>
  </si>
  <si>
    <t>Total heures d'arrêts de fonctionnement</t>
  </si>
  <si>
    <t>Taux qualité</t>
  </si>
  <si>
    <t>Taux de performance</t>
  </si>
  <si>
    <t>DO</t>
  </si>
  <si>
    <t>3) Calculer le TRS via les 3 taux intermédiaires</t>
  </si>
  <si>
    <t>4) En déduire le TRS mensuel</t>
  </si>
  <si>
    <t>5) Conclure sur l'objectif et sur le taux le plus pénalisant</t>
  </si>
  <si>
    <t>pièces par heure</t>
  </si>
  <si>
    <t xml:space="preserve">Le centre C41 a une cadence de </t>
  </si>
  <si>
    <t>Le centre C31 a une cadence de</t>
  </si>
  <si>
    <t>Travail à faire : Voir les deux onglets</t>
  </si>
  <si>
    <t>Temps d'ouverture TO=TR</t>
  </si>
  <si>
    <t>TRS = TxQ.TxPerf.Do</t>
  </si>
  <si>
    <t>TRS Mensuel =</t>
  </si>
  <si>
    <t>TRS réel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</si>
</sst>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6" fontId="0" fillId="2" borderId="1" xfId="0" applyNumberForma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 wrapText="1"/>
    </xf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8" borderId="1" xfId="0" applyFont="1" applyFill="1" applyBorder="1" applyAlignment="1">
      <alignment wrapText="1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9" fontId="0" fillId="8" borderId="1" xfId="1" applyFont="1" applyFill="1" applyBorder="1"/>
    <xf numFmtId="9" fontId="4" fillId="3" borderId="1" xfId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wrapText="1"/>
    </xf>
    <xf numFmtId="9" fontId="0" fillId="0" borderId="0" xfId="1" applyFont="1"/>
    <xf numFmtId="10" fontId="4" fillId="3" borderId="1" xfId="1" applyNumberFormat="1" applyFont="1" applyFill="1" applyBorder="1" applyAlignment="1">
      <alignment horizontal="center" vertical="center" wrapText="1"/>
    </xf>
    <xf numFmtId="10" fontId="0" fillId="8" borderId="1" xfId="1" applyNumberFormat="1" applyFont="1" applyFill="1" applyBorder="1"/>
    <xf numFmtId="10" fontId="0" fillId="0" borderId="0" xfId="1" applyNumberFormat="1" applyFont="1"/>
    <xf numFmtId="0" fontId="1" fillId="8" borderId="0" xfId="0" applyFont="1" applyFill="1" applyBorder="1" applyAlignment="1">
      <alignment wrapText="1"/>
    </xf>
    <xf numFmtId="10" fontId="0" fillId="0" borderId="0" xfId="0" applyNumberFormat="1"/>
    <xf numFmtId="10" fontId="6" fillId="0" borderId="0" xfId="1" applyNumberFormat="1" applyFont="1"/>
    <xf numFmtId="10" fontId="6" fillId="0" borderId="0" xfId="0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TRS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TRS!$B$28:$W$28</c:f>
              <c:numCache>
                <c:formatCode>d\-mmm</c:formatCode>
                <c:ptCount val="22"/>
                <c:pt idx="0">
                  <c:v>44166</c:v>
                </c:pt>
                <c:pt idx="1">
                  <c:v>44167</c:v>
                </c:pt>
                <c:pt idx="2">
                  <c:v>44170</c:v>
                </c:pt>
                <c:pt idx="3">
                  <c:v>44171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44177</c:v>
                </c:pt>
                <c:pt idx="8">
                  <c:v>44178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44184</c:v>
                </c:pt>
                <c:pt idx="13">
                  <c:v>44185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44191</c:v>
                </c:pt>
                <c:pt idx="18">
                  <c:v>44192</c:v>
                </c:pt>
                <c:pt idx="19">
                  <c:v>44193</c:v>
                </c:pt>
                <c:pt idx="20">
                  <c:v>44194</c:v>
                </c:pt>
                <c:pt idx="21">
                  <c:v>44195</c:v>
                </c:pt>
              </c:numCache>
            </c:numRef>
          </c:xVal>
          <c:yVal>
            <c:numRef>
              <c:f>TRS!$B$39:$W$39</c:f>
              <c:numCache>
                <c:formatCode>0%</c:formatCode>
                <c:ptCount val="22"/>
                <c:pt idx="0" formatCode="0.00%">
                  <c:v>0.58139534883720922</c:v>
                </c:pt>
                <c:pt idx="1">
                  <c:v>0.86794019933554811</c:v>
                </c:pt>
                <c:pt idx="2">
                  <c:v>0.89285714285714279</c:v>
                </c:pt>
                <c:pt idx="3">
                  <c:v>0.35299003322259137</c:v>
                </c:pt>
                <c:pt idx="4">
                  <c:v>0.95514950166112955</c:v>
                </c:pt>
                <c:pt idx="5">
                  <c:v>0.78903654485049834</c:v>
                </c:pt>
                <c:pt idx="6">
                  <c:v>0.88870431893687707</c:v>
                </c:pt>
                <c:pt idx="7">
                  <c:v>0.59800664451827235</c:v>
                </c:pt>
                <c:pt idx="8">
                  <c:v>0.72259136212624586</c:v>
                </c:pt>
                <c:pt idx="9">
                  <c:v>0.59385382059800662</c:v>
                </c:pt>
                <c:pt idx="10">
                  <c:v>0.97176079734219267</c:v>
                </c:pt>
                <c:pt idx="11">
                  <c:v>0.87624584717607967</c:v>
                </c:pt>
                <c:pt idx="12">
                  <c:v>0</c:v>
                </c:pt>
                <c:pt idx="13">
                  <c:v>0</c:v>
                </c:pt>
                <c:pt idx="14">
                  <c:v>0.98421926910298996</c:v>
                </c:pt>
                <c:pt idx="15">
                  <c:v>0.58970099667774079</c:v>
                </c:pt>
                <c:pt idx="16">
                  <c:v>0.88039867109634551</c:v>
                </c:pt>
                <c:pt idx="17">
                  <c:v>0.47757475083056478</c:v>
                </c:pt>
                <c:pt idx="18">
                  <c:v>0.71843853820598003</c:v>
                </c:pt>
                <c:pt idx="19">
                  <c:v>0.95930232558139528</c:v>
                </c:pt>
                <c:pt idx="20">
                  <c:v>0</c:v>
                </c:pt>
                <c:pt idx="21">
                  <c:v>0.59385382059800662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DC-4684-85E5-1ED2A6560E94}"/>
            </c:ext>
          </c:extLst>
        </c:ser>
        <c:ser>
          <c:idx val="1"/>
          <c:order val="1"/>
          <c:tx>
            <c:v>TxQ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TRS!$B$28:$W$28</c:f>
              <c:numCache>
                <c:formatCode>d\-mmm</c:formatCode>
                <c:ptCount val="22"/>
                <c:pt idx="0">
                  <c:v>44166</c:v>
                </c:pt>
                <c:pt idx="1">
                  <c:v>44167</c:v>
                </c:pt>
                <c:pt idx="2">
                  <c:v>44170</c:v>
                </c:pt>
                <c:pt idx="3">
                  <c:v>44171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44177</c:v>
                </c:pt>
                <c:pt idx="8">
                  <c:v>44178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44184</c:v>
                </c:pt>
                <c:pt idx="13">
                  <c:v>44185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44191</c:v>
                </c:pt>
                <c:pt idx="18">
                  <c:v>44192</c:v>
                </c:pt>
                <c:pt idx="19">
                  <c:v>44193</c:v>
                </c:pt>
                <c:pt idx="20">
                  <c:v>44194</c:v>
                </c:pt>
                <c:pt idx="21">
                  <c:v>44195</c:v>
                </c:pt>
              </c:numCache>
            </c:numRef>
          </c:xVal>
          <c:yVal>
            <c:numRef>
              <c:f>TRS!$B$40:$W$40</c:f>
              <c:numCache>
                <c:formatCode>0%</c:formatCode>
                <c:ptCount val="22"/>
                <c:pt idx="0" formatCode="0.00%">
                  <c:v>0.97902097902097907</c:v>
                </c:pt>
                <c:pt idx="1">
                  <c:v>0.95871559633027525</c:v>
                </c:pt>
                <c:pt idx="2">
                  <c:v>0.99537037037037035</c:v>
                </c:pt>
                <c:pt idx="3">
                  <c:v>0.97701149425287359</c:v>
                </c:pt>
                <c:pt idx="4">
                  <c:v>0.97046413502109707</c:v>
                </c:pt>
                <c:pt idx="5">
                  <c:v>1</c:v>
                </c:pt>
                <c:pt idx="6">
                  <c:v>0.97272727272727277</c:v>
                </c:pt>
                <c:pt idx="7">
                  <c:v>0.97959183673469385</c:v>
                </c:pt>
                <c:pt idx="8">
                  <c:v>0.98305084745762716</c:v>
                </c:pt>
                <c:pt idx="9">
                  <c:v>1</c:v>
                </c:pt>
                <c:pt idx="10">
                  <c:v>0.99152542372881358</c:v>
                </c:pt>
                <c:pt idx="11">
                  <c:v>0.99061032863849763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0.98611111111111116</c:v>
                </c:pt>
                <c:pt idx="16">
                  <c:v>0.99530516431924887</c:v>
                </c:pt>
                <c:pt idx="17">
                  <c:v>1</c:v>
                </c:pt>
                <c:pt idx="18">
                  <c:v>0.98857142857142855</c:v>
                </c:pt>
                <c:pt idx="19">
                  <c:v>0.99568965517241381</c:v>
                </c:pt>
                <c:pt idx="20">
                  <c:v>0</c:v>
                </c:pt>
                <c:pt idx="21">
                  <c:v>0.98620689655172411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DC-4684-85E5-1ED2A6560E94}"/>
            </c:ext>
          </c:extLst>
        </c:ser>
        <c:ser>
          <c:idx val="2"/>
          <c:order val="2"/>
          <c:tx>
            <c:v>TxPerf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TRS!$B$28:$W$28</c:f>
              <c:numCache>
                <c:formatCode>d\-mmm</c:formatCode>
                <c:ptCount val="22"/>
                <c:pt idx="0">
                  <c:v>44166</c:v>
                </c:pt>
                <c:pt idx="1">
                  <c:v>44167</c:v>
                </c:pt>
                <c:pt idx="2">
                  <c:v>44170</c:v>
                </c:pt>
                <c:pt idx="3">
                  <c:v>44171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44177</c:v>
                </c:pt>
                <c:pt idx="8">
                  <c:v>44178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44184</c:v>
                </c:pt>
                <c:pt idx="13">
                  <c:v>44185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44191</c:v>
                </c:pt>
                <c:pt idx="18">
                  <c:v>44192</c:v>
                </c:pt>
                <c:pt idx="19">
                  <c:v>44193</c:v>
                </c:pt>
                <c:pt idx="20">
                  <c:v>44194</c:v>
                </c:pt>
                <c:pt idx="21">
                  <c:v>44195</c:v>
                </c:pt>
              </c:numCache>
            </c:numRef>
          </c:xVal>
          <c:yVal>
            <c:numRef>
              <c:f>TRS!$B$41:$W$41</c:f>
              <c:numCache>
                <c:formatCode>0%</c:formatCode>
                <c:ptCount val="22"/>
                <c:pt idx="0" formatCode="0.00%">
                  <c:v>0.95016611295681064</c:v>
                </c:pt>
                <c:pt idx="1">
                  <c:v>0.96566998892580291</c:v>
                </c:pt>
                <c:pt idx="2">
                  <c:v>0.95681063122923582</c:v>
                </c:pt>
                <c:pt idx="3">
                  <c:v>0.96345514950166111</c:v>
                </c:pt>
                <c:pt idx="4">
                  <c:v>0.98421926910298996</c:v>
                </c:pt>
                <c:pt idx="5">
                  <c:v>0.97112190135445953</c:v>
                </c:pt>
                <c:pt idx="6">
                  <c:v>0.9745293466223699</c:v>
                </c:pt>
                <c:pt idx="7">
                  <c:v>0.97674418604651159</c:v>
                </c:pt>
                <c:pt idx="8">
                  <c:v>0.98006644518272423</c:v>
                </c:pt>
                <c:pt idx="9">
                  <c:v>0.86378737541528239</c:v>
                </c:pt>
                <c:pt idx="10">
                  <c:v>0.98006644518272423</c:v>
                </c:pt>
                <c:pt idx="11">
                  <c:v>0.94352159468438535</c:v>
                </c:pt>
                <c:pt idx="12">
                  <c:v>0</c:v>
                </c:pt>
                <c:pt idx="13">
                  <c:v>0</c:v>
                </c:pt>
                <c:pt idx="14">
                  <c:v>0.98421926910298996</c:v>
                </c:pt>
                <c:pt idx="15">
                  <c:v>0.95681063122923571</c:v>
                </c:pt>
                <c:pt idx="16">
                  <c:v>0.88455149501661123</c:v>
                </c:pt>
                <c:pt idx="17">
                  <c:v>0.95514950166112955</c:v>
                </c:pt>
                <c:pt idx="18">
                  <c:v>0.96899224806201545</c:v>
                </c:pt>
                <c:pt idx="19">
                  <c:v>0.96345514950166111</c:v>
                </c:pt>
                <c:pt idx="20">
                  <c:v>0</c:v>
                </c:pt>
                <c:pt idx="21">
                  <c:v>0.96345514950166111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DC-4684-85E5-1ED2A6560E94}"/>
            </c:ext>
          </c:extLst>
        </c:ser>
        <c:ser>
          <c:idx val="3"/>
          <c:order val="3"/>
          <c:tx>
            <c:v>DO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TRS!$B$28:$W$28</c:f>
              <c:numCache>
                <c:formatCode>d\-mmm</c:formatCode>
                <c:ptCount val="22"/>
                <c:pt idx="0">
                  <c:v>44166</c:v>
                </c:pt>
                <c:pt idx="1">
                  <c:v>44167</c:v>
                </c:pt>
                <c:pt idx="2">
                  <c:v>44170</c:v>
                </c:pt>
                <c:pt idx="3">
                  <c:v>44171</c:v>
                </c:pt>
                <c:pt idx="4">
                  <c:v>44172</c:v>
                </c:pt>
                <c:pt idx="5">
                  <c:v>44173</c:v>
                </c:pt>
                <c:pt idx="6">
                  <c:v>44174</c:v>
                </c:pt>
                <c:pt idx="7">
                  <c:v>44177</c:v>
                </c:pt>
                <c:pt idx="8">
                  <c:v>44178</c:v>
                </c:pt>
                <c:pt idx="9">
                  <c:v>44179</c:v>
                </c:pt>
                <c:pt idx="10">
                  <c:v>44180</c:v>
                </c:pt>
                <c:pt idx="11">
                  <c:v>44181</c:v>
                </c:pt>
                <c:pt idx="12">
                  <c:v>44184</c:v>
                </c:pt>
                <c:pt idx="13">
                  <c:v>44185</c:v>
                </c:pt>
                <c:pt idx="14">
                  <c:v>44186</c:v>
                </c:pt>
                <c:pt idx="15">
                  <c:v>44187</c:v>
                </c:pt>
                <c:pt idx="16">
                  <c:v>44188</c:v>
                </c:pt>
                <c:pt idx="17">
                  <c:v>44191</c:v>
                </c:pt>
                <c:pt idx="18">
                  <c:v>44192</c:v>
                </c:pt>
                <c:pt idx="19">
                  <c:v>44193</c:v>
                </c:pt>
                <c:pt idx="20">
                  <c:v>44194</c:v>
                </c:pt>
                <c:pt idx="21">
                  <c:v>44195</c:v>
                </c:pt>
              </c:numCache>
            </c:numRef>
          </c:xVal>
          <c:yVal>
            <c:numRef>
              <c:f>TRS!$B$42:$W$42</c:f>
              <c:numCache>
                <c:formatCode>0%</c:formatCode>
                <c:ptCount val="22"/>
                <c:pt idx="0" formatCode="0.00%">
                  <c:v>0.625</c:v>
                </c:pt>
                <c:pt idx="1">
                  <c:v>0.9375</c:v>
                </c:pt>
                <c:pt idx="2">
                  <c:v>0.9375</c:v>
                </c:pt>
                <c:pt idx="3">
                  <c:v>0.375</c:v>
                </c:pt>
                <c:pt idx="4">
                  <c:v>1</c:v>
                </c:pt>
                <c:pt idx="5">
                  <c:v>0.8125</c:v>
                </c:pt>
                <c:pt idx="6">
                  <c:v>0.9375</c:v>
                </c:pt>
                <c:pt idx="7">
                  <c:v>0.625</c:v>
                </c:pt>
                <c:pt idx="8">
                  <c:v>0.75</c:v>
                </c:pt>
                <c:pt idx="9">
                  <c:v>0.6875</c:v>
                </c:pt>
                <c:pt idx="10">
                  <c:v>1</c:v>
                </c:pt>
                <c:pt idx="11">
                  <c:v>0.9375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0.625</c:v>
                </c:pt>
                <c:pt idx="16">
                  <c:v>1</c:v>
                </c:pt>
                <c:pt idx="17">
                  <c:v>0.5</c:v>
                </c:pt>
                <c:pt idx="18">
                  <c:v>0.75</c:v>
                </c:pt>
                <c:pt idx="19">
                  <c:v>1</c:v>
                </c:pt>
                <c:pt idx="20">
                  <c:v>0</c:v>
                </c:pt>
                <c:pt idx="21">
                  <c:v>0.625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DC-4684-85E5-1ED2A6560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411744"/>
        <c:axId val="577329728"/>
      </c:scatterChart>
      <c:valAx>
        <c:axId val="378411744"/>
        <c:scaling>
          <c:orientation val="minMax"/>
          <c:max val="44196"/>
          <c:min val="441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7329728"/>
        <c:crosses val="autoZero"/>
        <c:crossBetween val="midCat"/>
        <c:majorUnit val="1"/>
      </c:valAx>
      <c:valAx>
        <c:axId val="57732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8411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236467</xdr:colOff>
      <xdr:row>43</xdr:row>
      <xdr:rowOff>103118</xdr:rowOff>
    </xdr:from>
    <xdr:to>
      <xdr:col>20</xdr:col>
      <xdr:colOff>513521</xdr:colOff>
      <xdr:row>57</xdr:row>
      <xdr:rowOff>122514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3806B0B-816A-F26C-409E-283485612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68A5-3BBC-48BD-A4CF-04033307A40A}">
  <dimension ref="A1:X46"/>
  <sheetViews>
    <sheetView topLeftCell="A33" zoomScale="115" workbookViewId="0">
      <selection activeCell="B41" sqref="B41"/>
    </sheetView>
  </sheetViews>
  <sheetFormatPr baseColWidth="10" defaultRowHeight="14.25" x14ac:dyDescent="0.45"/>
  <cols>
    <col min="1" max="1" width="23" customWidth="1"/>
    <col min="2" max="2" width="11.53125" customWidth="1"/>
    <col min="3" max="23" width="7.73046875" customWidth="1"/>
  </cols>
  <sheetData>
    <row r="1" spans="1:10" ht="35.25" customHeight="1" x14ac:dyDescent="0.45">
      <c r="A1" s="11" t="s">
        <v>13</v>
      </c>
      <c r="B1" s="22"/>
      <c r="C1" s="22"/>
      <c r="D1" s="22"/>
      <c r="E1" s="22"/>
      <c r="F1" s="22"/>
      <c r="G1" s="22"/>
      <c r="H1" s="22"/>
    </row>
    <row r="3" spans="1:10" x14ac:dyDescent="0.45">
      <c r="A3" s="23" t="s">
        <v>92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x14ac:dyDescent="0.45">
      <c r="A4" s="23"/>
      <c r="B4" s="23"/>
      <c r="C4" s="23"/>
      <c r="D4" s="23"/>
      <c r="E4" s="23"/>
      <c r="F4" s="23"/>
      <c r="G4" s="23"/>
      <c r="H4" s="23"/>
      <c r="I4" s="23"/>
      <c r="J4" s="23"/>
    </row>
    <row r="6" spans="1:10" x14ac:dyDescent="0.45">
      <c r="B6" t="s">
        <v>8</v>
      </c>
    </row>
    <row r="7" spans="1:10" x14ac:dyDescent="0.45">
      <c r="B7" t="s">
        <v>9</v>
      </c>
    </row>
    <row r="8" spans="1:10" x14ac:dyDescent="0.45">
      <c r="B8" t="s">
        <v>10</v>
      </c>
    </row>
    <row r="10" spans="1:10" x14ac:dyDescent="0.45">
      <c r="B10" t="s">
        <v>78</v>
      </c>
    </row>
    <row r="11" spans="1:10" x14ac:dyDescent="0.45">
      <c r="B11" t="s">
        <v>11</v>
      </c>
    </row>
    <row r="12" spans="1:10" x14ac:dyDescent="0.45">
      <c r="B12" t="s">
        <v>12</v>
      </c>
    </row>
    <row r="14" spans="1:10" x14ac:dyDescent="0.45">
      <c r="B14" t="s">
        <v>79</v>
      </c>
    </row>
    <row r="16" spans="1:10" ht="15" customHeight="1" x14ac:dyDescent="0.45">
      <c r="B16" s="25" t="s">
        <v>91</v>
      </c>
      <c r="C16" s="25"/>
      <c r="D16" s="25"/>
      <c r="E16" s="25"/>
      <c r="F16" s="25"/>
      <c r="G16" s="25"/>
      <c r="H16" s="19">
        <v>15.7</v>
      </c>
      <c r="I16" t="s">
        <v>89</v>
      </c>
    </row>
    <row r="17" spans="1:24" x14ac:dyDescent="0.45">
      <c r="B17" s="24" t="s">
        <v>90</v>
      </c>
      <c r="C17" s="24"/>
      <c r="D17" s="24"/>
      <c r="E17" s="24"/>
      <c r="F17" s="24"/>
      <c r="G17" s="24"/>
      <c r="H17" s="19">
        <v>14.4</v>
      </c>
      <c r="I17" t="s">
        <v>89</v>
      </c>
    </row>
    <row r="18" spans="1:24" x14ac:dyDescent="0.45">
      <c r="B18" s="9"/>
    </row>
    <row r="19" spans="1:24" x14ac:dyDescent="0.45">
      <c r="B19" s="9" t="s">
        <v>16</v>
      </c>
    </row>
    <row r="20" spans="1:24" x14ac:dyDescent="0.45">
      <c r="B20" s="9" t="s">
        <v>15</v>
      </c>
    </row>
    <row r="21" spans="1:24" x14ac:dyDescent="0.45">
      <c r="B21" s="9"/>
    </row>
    <row r="22" spans="1:24" x14ac:dyDescent="0.45">
      <c r="B22" s="9" t="s">
        <v>81</v>
      </c>
    </row>
    <row r="23" spans="1:24" x14ac:dyDescent="0.45">
      <c r="B23" s="9" t="s">
        <v>14</v>
      </c>
    </row>
    <row r="24" spans="1:24" x14ac:dyDescent="0.45">
      <c r="B24" s="9" t="s">
        <v>86</v>
      </c>
    </row>
    <row r="25" spans="1:24" x14ac:dyDescent="0.45">
      <c r="B25" s="9" t="s">
        <v>87</v>
      </c>
    </row>
    <row r="26" spans="1:24" x14ac:dyDescent="0.45">
      <c r="B26" s="9" t="s">
        <v>88</v>
      </c>
    </row>
    <row r="28" spans="1:24" x14ac:dyDescent="0.45">
      <c r="A28" s="2"/>
      <c r="B28" s="5">
        <v>44166</v>
      </c>
      <c r="C28" s="5">
        <v>44167</v>
      </c>
      <c r="D28" s="5">
        <v>44170</v>
      </c>
      <c r="E28" s="5">
        <v>44171</v>
      </c>
      <c r="F28" s="5">
        <v>44172</v>
      </c>
      <c r="G28" s="5">
        <v>44173</v>
      </c>
      <c r="H28" s="5">
        <v>44174</v>
      </c>
      <c r="I28" s="5">
        <v>44177</v>
      </c>
      <c r="J28" s="5">
        <v>44178</v>
      </c>
      <c r="K28" s="5">
        <v>44179</v>
      </c>
      <c r="L28" s="5">
        <v>44180</v>
      </c>
      <c r="M28" s="5">
        <v>44181</v>
      </c>
      <c r="N28" s="5">
        <v>44184</v>
      </c>
      <c r="O28" s="5">
        <v>44185</v>
      </c>
      <c r="P28" s="5">
        <v>44186</v>
      </c>
      <c r="Q28" s="5">
        <v>44187</v>
      </c>
      <c r="R28" s="5">
        <v>44188</v>
      </c>
      <c r="S28" s="5">
        <v>44191</v>
      </c>
      <c r="T28" s="5">
        <v>44192</v>
      </c>
      <c r="U28" s="5">
        <v>44193</v>
      </c>
      <c r="V28" s="5">
        <v>44194</v>
      </c>
      <c r="W28" s="5">
        <v>44195</v>
      </c>
    </row>
    <row r="29" spans="1:24" s="1" customFormat="1" ht="30" customHeight="1" x14ac:dyDescent="0.45">
      <c r="A29" s="4" t="s">
        <v>93</v>
      </c>
      <c r="B29" s="6">
        <v>8</v>
      </c>
      <c r="C29" s="6">
        <v>8</v>
      </c>
      <c r="D29" s="6">
        <v>8</v>
      </c>
      <c r="E29" s="6">
        <v>8</v>
      </c>
      <c r="F29" s="6">
        <v>8</v>
      </c>
      <c r="G29" s="6">
        <v>8</v>
      </c>
      <c r="H29" s="6">
        <v>8</v>
      </c>
      <c r="I29" s="6">
        <v>8</v>
      </c>
      <c r="J29" s="6">
        <v>8</v>
      </c>
      <c r="K29" s="6">
        <v>8</v>
      </c>
      <c r="L29" s="6">
        <v>8</v>
      </c>
      <c r="M29" s="6">
        <v>8</v>
      </c>
      <c r="N29" s="6">
        <v>8</v>
      </c>
      <c r="O29" s="6">
        <v>8</v>
      </c>
      <c r="P29" s="6">
        <v>8</v>
      </c>
      <c r="Q29" s="6">
        <v>8</v>
      </c>
      <c r="R29" s="6">
        <v>8</v>
      </c>
      <c r="S29" s="6">
        <v>8</v>
      </c>
      <c r="T29" s="6">
        <v>8</v>
      </c>
      <c r="U29" s="6">
        <v>8</v>
      </c>
      <c r="V29" s="6">
        <v>8</v>
      </c>
      <c r="W29" s="6">
        <v>8</v>
      </c>
    </row>
    <row r="30" spans="1:24" s="1" customFormat="1" ht="30" customHeight="1" x14ac:dyDescent="0.45">
      <c r="A30" s="4" t="s">
        <v>82</v>
      </c>
      <c r="B30" s="6">
        <v>3</v>
      </c>
      <c r="C30" s="6">
        <v>0.5</v>
      </c>
      <c r="D30" s="6">
        <v>0.5</v>
      </c>
      <c r="E30" s="6">
        <v>5</v>
      </c>
      <c r="F30" s="6">
        <v>0</v>
      </c>
      <c r="G30" s="6">
        <v>1.5</v>
      </c>
      <c r="H30" s="6">
        <v>0.5</v>
      </c>
      <c r="I30" s="6">
        <v>3</v>
      </c>
      <c r="J30" s="6">
        <v>2</v>
      </c>
      <c r="K30" s="6">
        <v>2.5</v>
      </c>
      <c r="L30" s="6">
        <v>0</v>
      </c>
      <c r="M30" s="6">
        <v>0.5</v>
      </c>
      <c r="N30" s="6">
        <v>8</v>
      </c>
      <c r="O30" s="6">
        <v>8</v>
      </c>
      <c r="P30" s="6">
        <v>0</v>
      </c>
      <c r="Q30" s="6">
        <v>3</v>
      </c>
      <c r="R30" s="6">
        <v>0</v>
      </c>
      <c r="S30" s="6">
        <v>4</v>
      </c>
      <c r="T30" s="6">
        <v>2</v>
      </c>
      <c r="U30" s="6">
        <v>0</v>
      </c>
      <c r="V30" s="6">
        <v>8</v>
      </c>
      <c r="W30" s="6">
        <v>3</v>
      </c>
    </row>
    <row r="31" spans="1:24" s="1" customFormat="1" ht="30" customHeight="1" x14ac:dyDescent="0.45">
      <c r="A31" s="20" t="s">
        <v>80</v>
      </c>
      <c r="B31" s="21">
        <f>B29-B30</f>
        <v>5</v>
      </c>
      <c r="C31" s="21">
        <f t="shared" ref="C31:W31" si="0">C29-C30</f>
        <v>7.5</v>
      </c>
      <c r="D31" s="21">
        <f t="shared" si="0"/>
        <v>7.5</v>
      </c>
      <c r="E31" s="21">
        <f t="shared" si="0"/>
        <v>3</v>
      </c>
      <c r="F31" s="21">
        <f t="shared" si="0"/>
        <v>8</v>
      </c>
      <c r="G31" s="21">
        <f t="shared" si="0"/>
        <v>6.5</v>
      </c>
      <c r="H31" s="21">
        <f t="shared" si="0"/>
        <v>7.5</v>
      </c>
      <c r="I31" s="21">
        <f t="shared" si="0"/>
        <v>5</v>
      </c>
      <c r="J31" s="21">
        <f t="shared" si="0"/>
        <v>6</v>
      </c>
      <c r="K31" s="21">
        <f t="shared" si="0"/>
        <v>5.5</v>
      </c>
      <c r="L31" s="21">
        <f t="shared" si="0"/>
        <v>8</v>
      </c>
      <c r="M31" s="21">
        <f t="shared" si="0"/>
        <v>7.5</v>
      </c>
      <c r="N31" s="21">
        <f t="shared" si="0"/>
        <v>0</v>
      </c>
      <c r="O31" s="21">
        <f t="shared" si="0"/>
        <v>0</v>
      </c>
      <c r="P31" s="21">
        <f t="shared" si="0"/>
        <v>8</v>
      </c>
      <c r="Q31" s="21">
        <f t="shared" si="0"/>
        <v>5</v>
      </c>
      <c r="R31" s="21">
        <f t="shared" si="0"/>
        <v>8</v>
      </c>
      <c r="S31" s="21">
        <f t="shared" si="0"/>
        <v>4</v>
      </c>
      <c r="T31" s="21">
        <f t="shared" si="0"/>
        <v>6</v>
      </c>
      <c r="U31" s="21">
        <f t="shared" si="0"/>
        <v>8</v>
      </c>
      <c r="V31" s="21">
        <f t="shared" si="0"/>
        <v>0</v>
      </c>
      <c r="W31" s="21">
        <f t="shared" si="0"/>
        <v>5</v>
      </c>
    </row>
    <row r="32" spans="1:24" s="1" customFormat="1" ht="30" customHeight="1" x14ac:dyDescent="0.45">
      <c r="A32" s="20" t="s">
        <v>3</v>
      </c>
      <c r="B32" s="21">
        <f>B29*15.7+B29*14.4</f>
        <v>240.8</v>
      </c>
      <c r="C32" s="21">
        <f t="shared" ref="C32:W32" si="1">C29*15.7+C29*14.4</f>
        <v>240.8</v>
      </c>
      <c r="D32" s="21">
        <f t="shared" si="1"/>
        <v>240.8</v>
      </c>
      <c r="E32" s="21">
        <f t="shared" si="1"/>
        <v>240.8</v>
      </c>
      <c r="F32" s="21">
        <f t="shared" si="1"/>
        <v>240.8</v>
      </c>
      <c r="G32" s="21">
        <f t="shared" si="1"/>
        <v>240.8</v>
      </c>
      <c r="H32" s="21">
        <f t="shared" si="1"/>
        <v>240.8</v>
      </c>
      <c r="I32" s="21">
        <f t="shared" si="1"/>
        <v>240.8</v>
      </c>
      <c r="J32" s="21">
        <f t="shared" si="1"/>
        <v>240.8</v>
      </c>
      <c r="K32" s="21">
        <f t="shared" si="1"/>
        <v>240.8</v>
      </c>
      <c r="L32" s="21">
        <f t="shared" si="1"/>
        <v>240.8</v>
      </c>
      <c r="M32" s="21">
        <f t="shared" si="1"/>
        <v>240.8</v>
      </c>
      <c r="N32" s="21">
        <f t="shared" si="1"/>
        <v>240.8</v>
      </c>
      <c r="O32" s="21">
        <f t="shared" si="1"/>
        <v>240.8</v>
      </c>
      <c r="P32" s="21">
        <f t="shared" si="1"/>
        <v>240.8</v>
      </c>
      <c r="Q32" s="21">
        <f t="shared" si="1"/>
        <v>240.8</v>
      </c>
      <c r="R32" s="21">
        <f t="shared" si="1"/>
        <v>240.8</v>
      </c>
      <c r="S32" s="21">
        <f t="shared" si="1"/>
        <v>240.8</v>
      </c>
      <c r="T32" s="21">
        <f t="shared" si="1"/>
        <v>240.8</v>
      </c>
      <c r="U32" s="21">
        <f t="shared" si="1"/>
        <v>240.8</v>
      </c>
      <c r="V32" s="21">
        <f t="shared" si="1"/>
        <v>240.8</v>
      </c>
      <c r="W32" s="21">
        <f t="shared" si="1"/>
        <v>240.8</v>
      </c>
      <c r="X32" s="1">
        <f>SUM(B32:W32)</f>
        <v>5297.6000000000022</v>
      </c>
    </row>
    <row r="33" spans="1:24" s="1" customFormat="1" ht="30" customHeight="1" x14ac:dyDescent="0.45">
      <c r="A33" s="4" t="s">
        <v>0</v>
      </c>
      <c r="B33" s="6">
        <v>73</v>
      </c>
      <c r="C33" s="6">
        <v>113</v>
      </c>
      <c r="D33" s="6">
        <v>115</v>
      </c>
      <c r="E33" s="6">
        <v>45</v>
      </c>
      <c r="F33" s="6">
        <v>125</v>
      </c>
      <c r="G33" s="6">
        <v>100</v>
      </c>
      <c r="H33" s="6">
        <v>115</v>
      </c>
      <c r="I33" s="6">
        <v>77</v>
      </c>
      <c r="J33" s="6">
        <v>93</v>
      </c>
      <c r="K33" s="6">
        <v>78</v>
      </c>
      <c r="L33" s="6">
        <v>123</v>
      </c>
      <c r="M33" s="6">
        <v>110</v>
      </c>
      <c r="N33" s="6">
        <v>0</v>
      </c>
      <c r="O33" s="6">
        <v>0</v>
      </c>
      <c r="P33" s="6">
        <v>122</v>
      </c>
      <c r="Q33" s="6">
        <v>75</v>
      </c>
      <c r="R33" s="6">
        <v>118</v>
      </c>
      <c r="S33" s="6">
        <v>60</v>
      </c>
      <c r="T33" s="6">
        <v>89</v>
      </c>
      <c r="U33" s="6">
        <v>125</v>
      </c>
      <c r="V33" s="6">
        <v>0</v>
      </c>
      <c r="W33" s="6">
        <v>78</v>
      </c>
    </row>
    <row r="34" spans="1:24" s="1" customFormat="1" ht="30" customHeight="1" x14ac:dyDescent="0.45">
      <c r="A34" s="4" t="s">
        <v>1</v>
      </c>
      <c r="B34" s="6">
        <v>70</v>
      </c>
      <c r="C34" s="6">
        <v>105</v>
      </c>
      <c r="D34" s="6">
        <v>101</v>
      </c>
      <c r="E34" s="6">
        <v>42</v>
      </c>
      <c r="F34" s="6">
        <v>112</v>
      </c>
      <c r="G34" s="6">
        <v>90</v>
      </c>
      <c r="H34" s="6">
        <v>105</v>
      </c>
      <c r="I34" s="6">
        <v>70</v>
      </c>
      <c r="J34" s="6">
        <v>84</v>
      </c>
      <c r="K34" s="6">
        <v>65</v>
      </c>
      <c r="L34" s="6">
        <v>113</v>
      </c>
      <c r="M34" s="6">
        <v>103</v>
      </c>
      <c r="N34" s="6">
        <v>0</v>
      </c>
      <c r="O34" s="6">
        <v>0</v>
      </c>
      <c r="P34" s="6">
        <v>115</v>
      </c>
      <c r="Q34" s="6">
        <v>69</v>
      </c>
      <c r="R34" s="6">
        <v>95</v>
      </c>
      <c r="S34" s="6">
        <v>55</v>
      </c>
      <c r="T34" s="6">
        <v>86</v>
      </c>
      <c r="U34" s="6">
        <v>107</v>
      </c>
      <c r="V34" s="6">
        <v>0</v>
      </c>
      <c r="W34" s="6">
        <v>67</v>
      </c>
    </row>
    <row r="35" spans="1:24" s="1" customFormat="1" ht="30" customHeight="1" x14ac:dyDescent="0.45">
      <c r="A35" s="20" t="s">
        <v>2</v>
      </c>
      <c r="B35" s="21">
        <f>B33+B34</f>
        <v>143</v>
      </c>
      <c r="C35" s="21">
        <f t="shared" ref="C35:W35" si="2">C33+C34</f>
        <v>218</v>
      </c>
      <c r="D35" s="21">
        <f t="shared" si="2"/>
        <v>216</v>
      </c>
      <c r="E35" s="21">
        <f t="shared" si="2"/>
        <v>87</v>
      </c>
      <c r="F35" s="21">
        <f t="shared" si="2"/>
        <v>237</v>
      </c>
      <c r="G35" s="21">
        <f t="shared" si="2"/>
        <v>190</v>
      </c>
      <c r="H35" s="21">
        <f t="shared" si="2"/>
        <v>220</v>
      </c>
      <c r="I35" s="21">
        <f t="shared" si="2"/>
        <v>147</v>
      </c>
      <c r="J35" s="21">
        <f t="shared" si="2"/>
        <v>177</v>
      </c>
      <c r="K35" s="21">
        <f t="shared" si="2"/>
        <v>143</v>
      </c>
      <c r="L35" s="21">
        <f t="shared" si="2"/>
        <v>236</v>
      </c>
      <c r="M35" s="21">
        <f t="shared" si="2"/>
        <v>213</v>
      </c>
      <c r="N35" s="21">
        <f t="shared" si="2"/>
        <v>0</v>
      </c>
      <c r="O35" s="21">
        <f t="shared" si="2"/>
        <v>0</v>
      </c>
      <c r="P35" s="21">
        <f t="shared" si="2"/>
        <v>237</v>
      </c>
      <c r="Q35" s="21">
        <f t="shared" si="2"/>
        <v>144</v>
      </c>
      <c r="R35" s="21">
        <f t="shared" si="2"/>
        <v>213</v>
      </c>
      <c r="S35" s="21">
        <f t="shared" si="2"/>
        <v>115</v>
      </c>
      <c r="T35" s="21">
        <f t="shared" si="2"/>
        <v>175</v>
      </c>
      <c r="U35" s="21">
        <f t="shared" si="2"/>
        <v>232</v>
      </c>
      <c r="V35" s="21">
        <f t="shared" si="2"/>
        <v>0</v>
      </c>
      <c r="W35" s="21">
        <f t="shared" si="2"/>
        <v>145</v>
      </c>
    </row>
    <row r="36" spans="1:24" s="1" customFormat="1" ht="30" customHeight="1" x14ac:dyDescent="0.45">
      <c r="A36" s="4" t="s">
        <v>4</v>
      </c>
      <c r="B36" s="6">
        <v>71</v>
      </c>
      <c r="C36" s="6">
        <v>108</v>
      </c>
      <c r="D36" s="6">
        <v>115</v>
      </c>
      <c r="E36" s="6">
        <v>45</v>
      </c>
      <c r="F36" s="6">
        <v>120</v>
      </c>
      <c r="G36" s="6">
        <v>100</v>
      </c>
      <c r="H36" s="6">
        <v>114</v>
      </c>
      <c r="I36" s="6">
        <v>75</v>
      </c>
      <c r="J36" s="6">
        <v>90</v>
      </c>
      <c r="K36" s="6">
        <v>78</v>
      </c>
      <c r="L36" s="6">
        <v>122</v>
      </c>
      <c r="M36" s="6">
        <v>110</v>
      </c>
      <c r="N36" s="6">
        <v>0</v>
      </c>
      <c r="O36" s="6">
        <v>0</v>
      </c>
      <c r="P36" s="6">
        <v>122</v>
      </c>
      <c r="Q36" s="6">
        <v>73</v>
      </c>
      <c r="R36" s="6">
        <v>118</v>
      </c>
      <c r="S36" s="6">
        <v>60</v>
      </c>
      <c r="T36" s="6">
        <v>88</v>
      </c>
      <c r="U36" s="6">
        <v>125</v>
      </c>
      <c r="V36" s="6">
        <v>0</v>
      </c>
      <c r="W36" s="6">
        <v>76</v>
      </c>
    </row>
    <row r="37" spans="1:24" s="1" customFormat="1" ht="30" customHeight="1" x14ac:dyDescent="0.45">
      <c r="A37" s="4" t="s">
        <v>5</v>
      </c>
      <c r="B37" s="6">
        <v>69</v>
      </c>
      <c r="C37" s="6">
        <v>101</v>
      </c>
      <c r="D37" s="6">
        <v>100</v>
      </c>
      <c r="E37" s="6">
        <v>40</v>
      </c>
      <c r="F37" s="6">
        <v>110</v>
      </c>
      <c r="G37" s="6">
        <v>90</v>
      </c>
      <c r="H37" s="6">
        <v>100</v>
      </c>
      <c r="I37" s="6">
        <v>69</v>
      </c>
      <c r="J37" s="6">
        <v>84</v>
      </c>
      <c r="K37" s="6">
        <v>65</v>
      </c>
      <c r="L37" s="6">
        <v>112</v>
      </c>
      <c r="M37" s="6">
        <v>101</v>
      </c>
      <c r="N37" s="6">
        <v>0</v>
      </c>
      <c r="O37" s="6">
        <v>0</v>
      </c>
      <c r="P37" s="6">
        <v>115</v>
      </c>
      <c r="Q37" s="6">
        <v>69</v>
      </c>
      <c r="R37" s="6">
        <v>94</v>
      </c>
      <c r="S37" s="6">
        <v>55</v>
      </c>
      <c r="T37" s="6">
        <v>85</v>
      </c>
      <c r="U37" s="6">
        <v>106</v>
      </c>
      <c r="V37" s="6">
        <v>0</v>
      </c>
      <c r="W37" s="6">
        <v>67</v>
      </c>
    </row>
    <row r="38" spans="1:24" s="1" customFormat="1" ht="30" customHeight="1" x14ac:dyDescent="0.45">
      <c r="A38" s="20" t="s">
        <v>6</v>
      </c>
      <c r="B38" s="21">
        <f>B36+B37</f>
        <v>140</v>
      </c>
      <c r="C38" s="21">
        <f t="shared" ref="C38:W38" si="3">C36+C37</f>
        <v>209</v>
      </c>
      <c r="D38" s="21">
        <f t="shared" si="3"/>
        <v>215</v>
      </c>
      <c r="E38" s="21">
        <f t="shared" si="3"/>
        <v>85</v>
      </c>
      <c r="F38" s="21">
        <f t="shared" si="3"/>
        <v>230</v>
      </c>
      <c r="G38" s="21">
        <f t="shared" si="3"/>
        <v>190</v>
      </c>
      <c r="H38" s="21">
        <f t="shared" si="3"/>
        <v>214</v>
      </c>
      <c r="I38" s="21">
        <f t="shared" si="3"/>
        <v>144</v>
      </c>
      <c r="J38" s="21">
        <f t="shared" si="3"/>
        <v>174</v>
      </c>
      <c r="K38" s="21">
        <f t="shared" si="3"/>
        <v>143</v>
      </c>
      <c r="L38" s="21">
        <f t="shared" si="3"/>
        <v>234</v>
      </c>
      <c r="M38" s="21">
        <f t="shared" si="3"/>
        <v>211</v>
      </c>
      <c r="N38" s="21">
        <f t="shared" si="3"/>
        <v>0</v>
      </c>
      <c r="O38" s="21">
        <f t="shared" si="3"/>
        <v>0</v>
      </c>
      <c r="P38" s="21">
        <f t="shared" si="3"/>
        <v>237</v>
      </c>
      <c r="Q38" s="21">
        <f t="shared" si="3"/>
        <v>142</v>
      </c>
      <c r="R38" s="21">
        <f t="shared" si="3"/>
        <v>212</v>
      </c>
      <c r="S38" s="21">
        <f t="shared" si="3"/>
        <v>115</v>
      </c>
      <c r="T38" s="21">
        <f t="shared" si="3"/>
        <v>173</v>
      </c>
      <c r="U38" s="21">
        <f t="shared" si="3"/>
        <v>231</v>
      </c>
      <c r="V38" s="21">
        <f t="shared" si="3"/>
        <v>0</v>
      </c>
      <c r="W38" s="21">
        <f t="shared" si="3"/>
        <v>143</v>
      </c>
      <c r="X38" s="1">
        <f>SUM(B38:W38)</f>
        <v>3442</v>
      </c>
    </row>
    <row r="39" spans="1:24" ht="26.25" customHeight="1" x14ac:dyDescent="0.45">
      <c r="A39" s="8" t="s">
        <v>7</v>
      </c>
      <c r="B39" s="33">
        <f>B38/B32</f>
        <v>0.58139534883720922</v>
      </c>
      <c r="C39" s="30">
        <f t="shared" ref="C39:W39" si="4">C38/C32</f>
        <v>0.86794019933554811</v>
      </c>
      <c r="D39" s="30">
        <f t="shared" si="4"/>
        <v>0.89285714285714279</v>
      </c>
      <c r="E39" s="30">
        <f t="shared" si="4"/>
        <v>0.35299003322259137</v>
      </c>
      <c r="F39" s="30">
        <f t="shared" si="4"/>
        <v>0.95514950166112955</v>
      </c>
      <c r="G39" s="30">
        <f t="shared" si="4"/>
        <v>0.78903654485049834</v>
      </c>
      <c r="H39" s="30">
        <f t="shared" si="4"/>
        <v>0.88870431893687707</v>
      </c>
      <c r="I39" s="30">
        <f t="shared" si="4"/>
        <v>0.59800664451827235</v>
      </c>
      <c r="J39" s="30">
        <f t="shared" si="4"/>
        <v>0.72259136212624586</v>
      </c>
      <c r="K39" s="30">
        <f t="shared" si="4"/>
        <v>0.59385382059800662</v>
      </c>
      <c r="L39" s="30">
        <f t="shared" si="4"/>
        <v>0.97176079734219267</v>
      </c>
      <c r="M39" s="30">
        <f t="shared" si="4"/>
        <v>0.87624584717607967</v>
      </c>
      <c r="N39" s="30">
        <f t="shared" si="4"/>
        <v>0</v>
      </c>
      <c r="O39" s="30">
        <f t="shared" si="4"/>
        <v>0</v>
      </c>
      <c r="P39" s="30">
        <f t="shared" si="4"/>
        <v>0.98421926910298996</v>
      </c>
      <c r="Q39" s="30">
        <f t="shared" si="4"/>
        <v>0.58970099667774079</v>
      </c>
      <c r="R39" s="30">
        <f t="shared" si="4"/>
        <v>0.88039867109634551</v>
      </c>
      <c r="S39" s="30">
        <f t="shared" si="4"/>
        <v>0.47757475083056478</v>
      </c>
      <c r="T39" s="30">
        <f t="shared" si="4"/>
        <v>0.71843853820598003</v>
      </c>
      <c r="U39" s="30">
        <f t="shared" si="4"/>
        <v>0.95930232558139528</v>
      </c>
      <c r="V39" s="30">
        <f t="shared" si="4"/>
        <v>0</v>
      </c>
      <c r="W39" s="30">
        <f t="shared" si="4"/>
        <v>0.59385382059800662</v>
      </c>
      <c r="X39" s="37">
        <f>AVERAGE(B39:W39)</f>
        <v>0.6497281787979462</v>
      </c>
    </row>
    <row r="40" spans="1:24" x14ac:dyDescent="0.45">
      <c r="A40" s="20" t="s">
        <v>83</v>
      </c>
      <c r="B40" s="34">
        <f>B38/B35</f>
        <v>0.97902097902097907</v>
      </c>
      <c r="C40" s="29">
        <f t="shared" ref="C40:W40" si="5">C38/C35</f>
        <v>0.95871559633027525</v>
      </c>
      <c r="D40" s="29">
        <f t="shared" si="5"/>
        <v>0.99537037037037035</v>
      </c>
      <c r="E40" s="29">
        <f t="shared" si="5"/>
        <v>0.97701149425287359</v>
      </c>
      <c r="F40" s="29">
        <f t="shared" si="5"/>
        <v>0.97046413502109707</v>
      </c>
      <c r="G40" s="29">
        <f t="shared" si="5"/>
        <v>1</v>
      </c>
      <c r="H40" s="29">
        <f t="shared" si="5"/>
        <v>0.97272727272727277</v>
      </c>
      <c r="I40" s="29">
        <f t="shared" si="5"/>
        <v>0.97959183673469385</v>
      </c>
      <c r="J40" s="29">
        <f t="shared" si="5"/>
        <v>0.98305084745762716</v>
      </c>
      <c r="K40" s="29">
        <f t="shared" si="5"/>
        <v>1</v>
      </c>
      <c r="L40" s="29">
        <f t="shared" si="5"/>
        <v>0.99152542372881358</v>
      </c>
      <c r="M40" s="29">
        <f t="shared" si="5"/>
        <v>0.99061032863849763</v>
      </c>
      <c r="N40" s="29" t="e">
        <f t="shared" si="5"/>
        <v>#DIV/0!</v>
      </c>
      <c r="O40" s="29" t="e">
        <f t="shared" si="5"/>
        <v>#DIV/0!</v>
      </c>
      <c r="P40" s="29">
        <f t="shared" si="5"/>
        <v>1</v>
      </c>
      <c r="Q40" s="29">
        <f t="shared" si="5"/>
        <v>0.98611111111111116</v>
      </c>
      <c r="R40" s="29">
        <f t="shared" si="5"/>
        <v>0.99530516431924887</v>
      </c>
      <c r="S40" s="29">
        <f t="shared" si="5"/>
        <v>1</v>
      </c>
      <c r="T40" s="29">
        <f t="shared" si="5"/>
        <v>0.98857142857142855</v>
      </c>
      <c r="U40" s="29">
        <f t="shared" si="5"/>
        <v>0.99568965517241381</v>
      </c>
      <c r="V40" s="29" t="e">
        <f t="shared" si="5"/>
        <v>#DIV/0!</v>
      </c>
      <c r="W40" s="29">
        <f t="shared" si="5"/>
        <v>0.98620689655172411</v>
      </c>
    </row>
    <row r="41" spans="1:24" x14ac:dyDescent="0.45">
      <c r="A41" s="20" t="s">
        <v>84</v>
      </c>
      <c r="B41" s="34">
        <f>(B35/30.1)/B31</f>
        <v>0.95016611295681064</v>
      </c>
      <c r="C41" s="29">
        <f t="shared" ref="C41:W41" si="6">(C35/30.1)/C31</f>
        <v>0.96566998892580291</v>
      </c>
      <c r="D41" s="29">
        <f t="shared" si="6"/>
        <v>0.95681063122923582</v>
      </c>
      <c r="E41" s="29">
        <f t="shared" si="6"/>
        <v>0.96345514950166111</v>
      </c>
      <c r="F41" s="29">
        <f t="shared" si="6"/>
        <v>0.98421926910298996</v>
      </c>
      <c r="G41" s="29">
        <f t="shared" si="6"/>
        <v>0.97112190135445953</v>
      </c>
      <c r="H41" s="29">
        <f t="shared" si="6"/>
        <v>0.9745293466223699</v>
      </c>
      <c r="I41" s="29">
        <f t="shared" si="6"/>
        <v>0.97674418604651159</v>
      </c>
      <c r="J41" s="29">
        <f t="shared" si="6"/>
        <v>0.98006644518272423</v>
      </c>
      <c r="K41" s="29">
        <f t="shared" si="6"/>
        <v>0.86378737541528239</v>
      </c>
      <c r="L41" s="29">
        <f t="shared" si="6"/>
        <v>0.98006644518272423</v>
      </c>
      <c r="M41" s="29">
        <f t="shared" si="6"/>
        <v>0.94352159468438535</v>
      </c>
      <c r="N41" s="29" t="e">
        <f t="shared" si="6"/>
        <v>#DIV/0!</v>
      </c>
      <c r="O41" s="29" t="e">
        <f t="shared" si="6"/>
        <v>#DIV/0!</v>
      </c>
      <c r="P41" s="29">
        <f t="shared" si="6"/>
        <v>0.98421926910298996</v>
      </c>
      <c r="Q41" s="29">
        <f t="shared" si="6"/>
        <v>0.95681063122923571</v>
      </c>
      <c r="R41" s="29">
        <f t="shared" si="6"/>
        <v>0.88455149501661123</v>
      </c>
      <c r="S41" s="29">
        <f t="shared" si="6"/>
        <v>0.95514950166112955</v>
      </c>
      <c r="T41" s="29">
        <f t="shared" si="6"/>
        <v>0.96899224806201545</v>
      </c>
      <c r="U41" s="29">
        <f t="shared" si="6"/>
        <v>0.96345514950166111</v>
      </c>
      <c r="V41" s="29" t="e">
        <f t="shared" si="6"/>
        <v>#DIV/0!</v>
      </c>
      <c r="W41" s="29">
        <f t="shared" si="6"/>
        <v>0.96345514950166111</v>
      </c>
    </row>
    <row r="42" spans="1:24" x14ac:dyDescent="0.45">
      <c r="A42" s="20" t="s">
        <v>85</v>
      </c>
      <c r="B42" s="34">
        <f>B31/B29</f>
        <v>0.625</v>
      </c>
      <c r="C42" s="29">
        <f t="shared" ref="C42:W42" si="7">C31/C29</f>
        <v>0.9375</v>
      </c>
      <c r="D42" s="29">
        <f t="shared" si="7"/>
        <v>0.9375</v>
      </c>
      <c r="E42" s="29">
        <f t="shared" si="7"/>
        <v>0.375</v>
      </c>
      <c r="F42" s="29">
        <f t="shared" si="7"/>
        <v>1</v>
      </c>
      <c r="G42" s="29">
        <f t="shared" si="7"/>
        <v>0.8125</v>
      </c>
      <c r="H42" s="29">
        <f t="shared" si="7"/>
        <v>0.9375</v>
      </c>
      <c r="I42" s="29">
        <f t="shared" si="7"/>
        <v>0.625</v>
      </c>
      <c r="J42" s="29">
        <f t="shared" si="7"/>
        <v>0.75</v>
      </c>
      <c r="K42" s="29">
        <f t="shared" si="7"/>
        <v>0.6875</v>
      </c>
      <c r="L42" s="29">
        <f t="shared" si="7"/>
        <v>1</v>
      </c>
      <c r="M42" s="29">
        <f t="shared" si="7"/>
        <v>0.9375</v>
      </c>
      <c r="N42" s="29">
        <f t="shared" si="7"/>
        <v>0</v>
      </c>
      <c r="O42" s="29">
        <f t="shared" si="7"/>
        <v>0</v>
      </c>
      <c r="P42" s="29">
        <f t="shared" si="7"/>
        <v>1</v>
      </c>
      <c r="Q42" s="29">
        <f t="shared" si="7"/>
        <v>0.625</v>
      </c>
      <c r="R42" s="29">
        <f t="shared" si="7"/>
        <v>1</v>
      </c>
      <c r="S42" s="29">
        <f t="shared" si="7"/>
        <v>0.5</v>
      </c>
      <c r="T42" s="29">
        <f t="shared" si="7"/>
        <v>0.75</v>
      </c>
      <c r="U42" s="29">
        <f t="shared" si="7"/>
        <v>1</v>
      </c>
      <c r="V42" s="29">
        <f t="shared" si="7"/>
        <v>0</v>
      </c>
      <c r="W42" s="29">
        <f t="shared" si="7"/>
        <v>0.625</v>
      </c>
    </row>
    <row r="43" spans="1:24" x14ac:dyDescent="0.45">
      <c r="A43" s="31" t="s">
        <v>94</v>
      </c>
      <c r="B43" s="35">
        <f>PRODUCT(B40:B42)</f>
        <v>0.58139534883720934</v>
      </c>
      <c r="C43" s="32">
        <f t="shared" ref="C43:W43" si="8">PRODUCT(C40:C42)</f>
        <v>0.86794019933554822</v>
      </c>
      <c r="D43" s="32">
        <f t="shared" si="8"/>
        <v>0.89285714285714279</v>
      </c>
      <c r="E43" s="32">
        <f t="shared" si="8"/>
        <v>0.35299003322259137</v>
      </c>
      <c r="F43" s="32">
        <f t="shared" si="8"/>
        <v>0.95514950166112955</v>
      </c>
      <c r="G43" s="32">
        <f t="shared" si="8"/>
        <v>0.78903654485049834</v>
      </c>
      <c r="H43" s="32">
        <f t="shared" si="8"/>
        <v>0.88870431893687718</v>
      </c>
      <c r="I43" s="32">
        <f t="shared" si="8"/>
        <v>0.59800664451827235</v>
      </c>
      <c r="J43" s="32">
        <f t="shared" si="8"/>
        <v>0.72259136212624586</v>
      </c>
      <c r="K43" s="32">
        <f t="shared" si="8"/>
        <v>0.59385382059800662</v>
      </c>
      <c r="L43" s="32">
        <f t="shared" si="8"/>
        <v>0.97176079734219267</v>
      </c>
      <c r="M43" s="32">
        <f t="shared" si="8"/>
        <v>0.87624584717607967</v>
      </c>
      <c r="N43" s="32" t="e">
        <f t="shared" si="8"/>
        <v>#DIV/0!</v>
      </c>
      <c r="O43" s="32" t="e">
        <f t="shared" si="8"/>
        <v>#DIV/0!</v>
      </c>
      <c r="P43" s="32">
        <f t="shared" si="8"/>
        <v>0.98421926910298996</v>
      </c>
      <c r="Q43" s="32">
        <f t="shared" si="8"/>
        <v>0.58970099667774079</v>
      </c>
      <c r="R43" s="32">
        <f t="shared" si="8"/>
        <v>0.88039867109634551</v>
      </c>
      <c r="S43" s="32">
        <f t="shared" si="8"/>
        <v>0.47757475083056478</v>
      </c>
      <c r="T43" s="32">
        <f t="shared" si="8"/>
        <v>0.71843853820598003</v>
      </c>
      <c r="U43" s="32">
        <f t="shared" si="8"/>
        <v>0.95930232558139539</v>
      </c>
      <c r="V43" s="32" t="e">
        <f t="shared" si="8"/>
        <v>#DIV/0!</v>
      </c>
      <c r="W43" s="32">
        <f t="shared" si="8"/>
        <v>0.59385382059800662</v>
      </c>
    </row>
    <row r="45" spans="1:24" ht="21" x14ac:dyDescent="0.65">
      <c r="A45" s="36" t="s">
        <v>95</v>
      </c>
      <c r="B45" s="38">
        <f>X38/X32</f>
        <v>0.64972817879794598</v>
      </c>
    </row>
    <row r="46" spans="1:24" ht="21" x14ac:dyDescent="0.65">
      <c r="A46" s="36" t="s">
        <v>96</v>
      </c>
      <c r="B46" s="39">
        <f>AVERAGE(B39:M39,P39:U39,W39)</f>
        <v>0.75231683860814824</v>
      </c>
    </row>
  </sheetData>
  <mergeCells count="4">
    <mergeCell ref="B1:H1"/>
    <mergeCell ref="A3:J4"/>
    <mergeCell ref="B17:G17"/>
    <mergeCell ref="B16:G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A173-BD41-44D7-8C87-F06F15F5F3FB}">
  <dimension ref="B2:T58"/>
  <sheetViews>
    <sheetView tabSelected="1" workbookViewId="0">
      <pane ySplit="9" topLeftCell="A41" activePane="bottomLeft" state="frozen"/>
      <selection pane="bottomLeft" activeCell="H53" sqref="H53"/>
    </sheetView>
  </sheetViews>
  <sheetFormatPr baseColWidth="10" defaultRowHeight="14.25" x14ac:dyDescent="0.45"/>
  <cols>
    <col min="2" max="10" width="4.73046875" customWidth="1"/>
    <col min="11" max="11" width="31" customWidth="1"/>
    <col min="12" max="12" width="9.265625" customWidth="1"/>
    <col min="13" max="13" width="11.265625" customWidth="1"/>
    <col min="14" max="14" width="7" customWidth="1"/>
    <col min="17" max="17" width="29.1328125" customWidth="1"/>
    <col min="18" max="18" width="29" customWidth="1"/>
    <col min="19" max="19" width="24.59765625" customWidth="1"/>
    <col min="20" max="20" width="21" customWidth="1"/>
  </cols>
  <sheetData>
    <row r="2" spans="2:16" ht="18" x14ac:dyDescent="0.55000000000000004">
      <c r="B2" s="12" t="s">
        <v>17</v>
      </c>
    </row>
    <row r="4" spans="2:16" x14ac:dyDescent="0.45">
      <c r="B4" t="s">
        <v>19</v>
      </c>
    </row>
    <row r="5" spans="2:16" x14ac:dyDescent="0.45">
      <c r="B5" t="s">
        <v>18</v>
      </c>
    </row>
    <row r="8" spans="2:16" ht="15" customHeight="1" x14ac:dyDescent="0.45">
      <c r="B8" s="26" t="s">
        <v>29</v>
      </c>
      <c r="C8" s="26"/>
      <c r="D8" s="26"/>
      <c r="E8" s="26"/>
      <c r="F8" s="26"/>
      <c r="G8" s="26"/>
      <c r="H8" s="26"/>
      <c r="I8" s="26"/>
      <c r="J8" s="26"/>
      <c r="K8" s="27" t="s">
        <v>30</v>
      </c>
      <c r="L8" s="28" t="s">
        <v>31</v>
      </c>
      <c r="M8" s="28" t="s">
        <v>32</v>
      </c>
      <c r="N8" s="13"/>
    </row>
    <row r="9" spans="2:16" ht="26.25" customHeight="1" x14ac:dyDescent="0.45">
      <c r="B9" s="7" t="s">
        <v>20</v>
      </c>
      <c r="C9" s="7" t="s">
        <v>21</v>
      </c>
      <c r="D9" s="7" t="s">
        <v>22</v>
      </c>
      <c r="E9" s="7" t="s">
        <v>23</v>
      </c>
      <c r="F9" s="7" t="s">
        <v>24</v>
      </c>
      <c r="G9" s="7" t="s">
        <v>25</v>
      </c>
      <c r="H9" s="7" t="s">
        <v>26</v>
      </c>
      <c r="I9" s="7" t="s">
        <v>27</v>
      </c>
      <c r="J9" s="7" t="s">
        <v>28</v>
      </c>
      <c r="K9" s="27"/>
      <c r="L9" s="28"/>
      <c r="M9" s="28"/>
      <c r="N9" s="13"/>
    </row>
    <row r="10" spans="2:16" ht="15.75" x14ac:dyDescent="0.5">
      <c r="B10" s="2"/>
      <c r="C10" s="14"/>
      <c r="D10" s="2"/>
      <c r="E10" s="2"/>
      <c r="F10" s="2"/>
      <c r="G10" s="2"/>
      <c r="H10" s="2"/>
      <c r="I10" s="2"/>
      <c r="J10" s="2"/>
      <c r="K10" s="2" t="s">
        <v>33</v>
      </c>
      <c r="L10" s="2">
        <v>1.5</v>
      </c>
      <c r="M10" s="15"/>
      <c r="P10" s="10" t="s">
        <v>66</v>
      </c>
    </row>
    <row r="11" spans="2:16" x14ac:dyDescent="0.45">
      <c r="B11" s="2"/>
      <c r="C11" s="2"/>
      <c r="D11" s="2"/>
      <c r="E11" s="2"/>
      <c r="F11" s="2"/>
      <c r="G11" s="14"/>
      <c r="H11" s="2"/>
      <c r="I11" s="2"/>
      <c r="J11" s="2"/>
      <c r="K11" s="2" t="s">
        <v>34</v>
      </c>
      <c r="L11" s="2">
        <v>1.5</v>
      </c>
      <c r="M11" s="2">
        <v>53</v>
      </c>
      <c r="P11" t="s">
        <v>67</v>
      </c>
    </row>
    <row r="12" spans="2:16" x14ac:dyDescent="0.45">
      <c r="B12" s="14">
        <v>1</v>
      </c>
      <c r="C12" s="2"/>
      <c r="D12" s="2"/>
      <c r="E12" s="2"/>
      <c r="F12" s="2"/>
      <c r="G12" s="2"/>
      <c r="H12" s="2"/>
      <c r="I12" s="2"/>
      <c r="J12" s="2"/>
      <c r="K12" s="2" t="s">
        <v>35</v>
      </c>
      <c r="L12" s="2">
        <v>8</v>
      </c>
      <c r="M12" s="2">
        <v>1296</v>
      </c>
      <c r="P12" t="s">
        <v>77</v>
      </c>
    </row>
    <row r="13" spans="2:16" x14ac:dyDescent="0.45">
      <c r="B13" s="2"/>
      <c r="C13" s="14"/>
      <c r="D13" s="2"/>
      <c r="E13" s="2"/>
      <c r="F13" s="2"/>
      <c r="G13" s="2"/>
      <c r="H13" s="2"/>
      <c r="I13" s="2"/>
      <c r="J13" s="2"/>
      <c r="K13" s="2" t="s">
        <v>36</v>
      </c>
      <c r="L13" s="2">
        <v>1.5</v>
      </c>
      <c r="M13" s="15"/>
      <c r="P13" t="s">
        <v>76</v>
      </c>
    </row>
    <row r="14" spans="2:16" x14ac:dyDescent="0.45">
      <c r="B14" s="2"/>
      <c r="C14" s="2"/>
      <c r="D14" s="2"/>
      <c r="E14" s="2"/>
      <c r="F14" s="2"/>
      <c r="G14" s="2"/>
      <c r="H14" s="14"/>
      <c r="I14" s="2"/>
      <c r="J14" s="2"/>
      <c r="K14" s="2" t="s">
        <v>37</v>
      </c>
      <c r="L14" s="2">
        <v>3</v>
      </c>
      <c r="M14" s="2">
        <v>38</v>
      </c>
      <c r="P14" t="s">
        <v>68</v>
      </c>
    </row>
    <row r="15" spans="2:16" x14ac:dyDescent="0.45">
      <c r="B15" s="2"/>
      <c r="C15" s="2"/>
      <c r="D15" s="2"/>
      <c r="E15" s="2"/>
      <c r="F15" s="2"/>
      <c r="G15" s="2"/>
      <c r="H15" s="2"/>
      <c r="I15" s="2"/>
      <c r="J15" s="14"/>
      <c r="K15" s="2" t="s">
        <v>38</v>
      </c>
      <c r="L15" s="2">
        <v>8</v>
      </c>
      <c r="M15" s="2">
        <v>206</v>
      </c>
      <c r="P15" t="s">
        <v>69</v>
      </c>
    </row>
    <row r="16" spans="2:16" x14ac:dyDescent="0.45">
      <c r="B16" s="2"/>
      <c r="C16" s="2"/>
      <c r="D16" s="14"/>
      <c r="E16" s="2"/>
      <c r="F16" s="2"/>
      <c r="G16" s="2"/>
      <c r="H16" s="2"/>
      <c r="I16" s="2"/>
      <c r="J16" s="2"/>
      <c r="K16" s="2" t="s">
        <v>39</v>
      </c>
      <c r="L16" s="2">
        <v>1.5</v>
      </c>
      <c r="M16" s="2">
        <v>114</v>
      </c>
      <c r="P16" t="s">
        <v>70</v>
      </c>
    </row>
    <row r="17" spans="2:20" x14ac:dyDescent="0.45">
      <c r="B17" s="14">
        <v>1</v>
      </c>
      <c r="C17" s="2"/>
      <c r="D17" s="2"/>
      <c r="E17" s="2"/>
      <c r="F17" s="2"/>
      <c r="G17" s="2"/>
      <c r="H17" s="2"/>
      <c r="I17" s="2"/>
      <c r="J17" s="2"/>
      <c r="K17" s="2" t="s">
        <v>40</v>
      </c>
      <c r="L17" s="2">
        <v>6</v>
      </c>
      <c r="M17" s="2">
        <v>431</v>
      </c>
    </row>
    <row r="18" spans="2:20" x14ac:dyDescent="0.45">
      <c r="B18" s="2"/>
      <c r="C18" s="2"/>
      <c r="D18" s="2"/>
      <c r="E18" s="2"/>
      <c r="F18" s="2"/>
      <c r="G18" s="2"/>
      <c r="H18" s="2"/>
      <c r="I18" s="14"/>
      <c r="J18" s="2"/>
      <c r="K18" s="2" t="s">
        <v>41</v>
      </c>
      <c r="L18" s="2">
        <v>8</v>
      </c>
      <c r="M18" s="2">
        <v>282</v>
      </c>
    </row>
    <row r="19" spans="2:20" x14ac:dyDescent="0.45">
      <c r="B19" s="2"/>
      <c r="C19" s="2"/>
      <c r="D19" s="2"/>
      <c r="E19" s="14"/>
      <c r="F19" s="2"/>
      <c r="G19" s="2"/>
      <c r="H19" s="2"/>
      <c r="I19" s="2"/>
      <c r="J19" s="2"/>
      <c r="K19" s="2" t="s">
        <v>42</v>
      </c>
      <c r="L19" s="2">
        <v>5.5</v>
      </c>
      <c r="M19" s="2">
        <v>381</v>
      </c>
    </row>
    <row r="20" spans="2:20" ht="28.5" customHeight="1" x14ac:dyDescent="0.45">
      <c r="B20" s="2"/>
      <c r="C20" s="2"/>
      <c r="D20" s="2"/>
      <c r="E20" s="2"/>
      <c r="F20" s="2"/>
      <c r="G20" s="2"/>
      <c r="H20" s="14"/>
      <c r="I20" s="2"/>
      <c r="J20" s="2"/>
      <c r="K20" s="3" t="s">
        <v>43</v>
      </c>
      <c r="L20" s="2">
        <v>4.5</v>
      </c>
      <c r="M20" s="2">
        <v>267</v>
      </c>
      <c r="P20" s="18" t="s">
        <v>71</v>
      </c>
      <c r="Q20" s="16" t="s">
        <v>72</v>
      </c>
      <c r="R20" s="17" t="s">
        <v>73</v>
      </c>
      <c r="S20" s="17" t="s">
        <v>74</v>
      </c>
      <c r="T20" s="17" t="s">
        <v>75</v>
      </c>
    </row>
    <row r="21" spans="2:20" x14ac:dyDescent="0.45">
      <c r="B21" s="14">
        <v>1</v>
      </c>
      <c r="C21" s="2"/>
      <c r="D21" s="2"/>
      <c r="E21" s="2"/>
      <c r="F21" s="2"/>
      <c r="G21" s="2"/>
      <c r="H21" s="2"/>
      <c r="I21" s="2"/>
      <c r="J21" s="2"/>
      <c r="K21" s="2" t="s">
        <v>44</v>
      </c>
      <c r="L21" s="2">
        <v>2</v>
      </c>
      <c r="M21" s="15"/>
      <c r="P21" s="7" t="s">
        <v>20</v>
      </c>
      <c r="Q21" s="2"/>
      <c r="R21" s="2"/>
      <c r="S21" s="2"/>
      <c r="T21" s="2"/>
    </row>
    <row r="22" spans="2:20" x14ac:dyDescent="0.45">
      <c r="B22" s="2"/>
      <c r="C22" s="14"/>
      <c r="D22" s="2"/>
      <c r="E22" s="2"/>
      <c r="F22" s="2"/>
      <c r="G22" s="2"/>
      <c r="H22" s="2"/>
      <c r="I22" s="2"/>
      <c r="J22" s="2"/>
      <c r="K22" s="2" t="s">
        <v>45</v>
      </c>
      <c r="L22" s="2">
        <v>1</v>
      </c>
      <c r="M22" s="2">
        <v>27</v>
      </c>
      <c r="P22" s="7" t="s">
        <v>21</v>
      </c>
      <c r="Q22" s="2"/>
      <c r="R22" s="2"/>
      <c r="S22" s="2"/>
      <c r="T22" s="2"/>
    </row>
    <row r="23" spans="2:20" x14ac:dyDescent="0.45">
      <c r="B23" s="2"/>
      <c r="C23" s="2"/>
      <c r="D23" s="2"/>
      <c r="E23" s="2"/>
      <c r="F23" s="2"/>
      <c r="G23" s="14"/>
      <c r="H23" s="2"/>
      <c r="I23" s="2"/>
      <c r="J23" s="2"/>
      <c r="K23" s="2" t="s">
        <v>46</v>
      </c>
      <c r="L23" s="2">
        <v>2.5</v>
      </c>
      <c r="M23" s="2">
        <v>191</v>
      </c>
      <c r="P23" s="7" t="s">
        <v>22</v>
      </c>
      <c r="Q23" s="2"/>
      <c r="R23" s="2"/>
      <c r="S23" s="2"/>
      <c r="T23" s="2"/>
    </row>
    <row r="24" spans="2:20" x14ac:dyDescent="0.45">
      <c r="B24" s="14">
        <v>1</v>
      </c>
      <c r="C24" s="2"/>
      <c r="D24" s="2"/>
      <c r="E24" s="2"/>
      <c r="F24" s="2"/>
      <c r="G24" s="2"/>
      <c r="H24" s="2"/>
      <c r="I24" s="2"/>
      <c r="J24" s="2"/>
      <c r="K24" s="2" t="s">
        <v>47</v>
      </c>
      <c r="L24" s="2">
        <v>2</v>
      </c>
      <c r="M24" s="15"/>
      <c r="P24" s="7" t="s">
        <v>23</v>
      </c>
      <c r="Q24" s="2"/>
      <c r="R24" s="2"/>
      <c r="S24" s="2"/>
      <c r="T24" s="2"/>
    </row>
    <row r="25" spans="2:20" x14ac:dyDescent="0.45">
      <c r="B25" s="2"/>
      <c r="C25" s="2"/>
      <c r="D25" s="2"/>
      <c r="E25" s="2"/>
      <c r="F25" s="14"/>
      <c r="G25" s="2"/>
      <c r="H25" s="2"/>
      <c r="I25" s="2"/>
      <c r="J25" s="2"/>
      <c r="K25" s="2" t="s">
        <v>48</v>
      </c>
      <c r="L25" s="2">
        <v>6.5</v>
      </c>
      <c r="M25" s="15"/>
      <c r="P25" s="7" t="s">
        <v>24</v>
      </c>
      <c r="Q25" s="2"/>
      <c r="R25" s="2"/>
      <c r="S25" s="2"/>
      <c r="T25" s="2"/>
    </row>
    <row r="26" spans="2:20" x14ac:dyDescent="0.45">
      <c r="B26" s="2"/>
      <c r="C26" s="2"/>
      <c r="D26" s="2"/>
      <c r="E26" s="2"/>
      <c r="F26" s="2"/>
      <c r="G26" s="2"/>
      <c r="H26" s="14"/>
      <c r="I26" s="2"/>
      <c r="J26" s="2"/>
      <c r="K26" s="2" t="s">
        <v>37</v>
      </c>
      <c r="L26" s="2">
        <v>3</v>
      </c>
      <c r="M26" s="15"/>
      <c r="P26" s="7" t="s">
        <v>25</v>
      </c>
      <c r="Q26" s="2"/>
      <c r="R26" s="2"/>
      <c r="S26" s="2"/>
      <c r="T26" s="2"/>
    </row>
    <row r="27" spans="2:20" x14ac:dyDescent="0.45">
      <c r="B27" s="2"/>
      <c r="C27" s="2"/>
      <c r="D27" s="14"/>
      <c r="E27" s="2"/>
      <c r="F27" s="2"/>
      <c r="G27" s="2"/>
      <c r="H27" s="2"/>
      <c r="I27" s="2"/>
      <c r="J27" s="2"/>
      <c r="K27" s="2" t="s">
        <v>49</v>
      </c>
      <c r="L27" s="2">
        <v>1</v>
      </c>
      <c r="M27" s="15"/>
      <c r="P27" s="7" t="s">
        <v>26</v>
      </c>
      <c r="Q27" s="2"/>
      <c r="R27" s="2"/>
      <c r="S27" s="2"/>
      <c r="T27" s="2"/>
    </row>
    <row r="28" spans="2:20" x14ac:dyDescent="0.45">
      <c r="B28" s="2"/>
      <c r="C28" s="14"/>
      <c r="D28" s="2"/>
      <c r="E28" s="2"/>
      <c r="F28" s="2"/>
      <c r="G28" s="2"/>
      <c r="H28" s="2"/>
      <c r="I28" s="2"/>
      <c r="J28" s="2"/>
      <c r="K28" s="2" t="s">
        <v>36</v>
      </c>
      <c r="L28" s="2">
        <v>1</v>
      </c>
      <c r="M28" s="15"/>
      <c r="P28" s="7" t="s">
        <v>27</v>
      </c>
      <c r="Q28" s="2"/>
      <c r="R28" s="2"/>
      <c r="S28" s="2"/>
      <c r="T28" s="2"/>
    </row>
    <row r="29" spans="2:20" x14ac:dyDescent="0.45">
      <c r="B29" s="14">
        <v>1</v>
      </c>
      <c r="C29" s="2"/>
      <c r="D29" s="2"/>
      <c r="E29" s="2"/>
      <c r="F29" s="2"/>
      <c r="G29" s="2"/>
      <c r="H29" s="2"/>
      <c r="I29" s="2"/>
      <c r="J29" s="2"/>
      <c r="K29" s="2" t="s">
        <v>50</v>
      </c>
      <c r="L29" s="2">
        <v>0.5</v>
      </c>
      <c r="M29" s="15"/>
      <c r="P29" s="7" t="s">
        <v>28</v>
      </c>
      <c r="Q29" s="2"/>
      <c r="R29" s="2"/>
      <c r="S29" s="2"/>
      <c r="T29" s="2"/>
    </row>
    <row r="30" spans="2:20" x14ac:dyDescent="0.45">
      <c r="B30" s="2"/>
      <c r="C30" s="2"/>
      <c r="D30" s="2"/>
      <c r="E30" s="2"/>
      <c r="F30" s="2"/>
      <c r="G30" s="2"/>
      <c r="H30" s="14"/>
      <c r="I30" s="2"/>
      <c r="J30" s="2"/>
      <c r="K30" s="2" t="s">
        <v>51</v>
      </c>
      <c r="L30" s="2">
        <v>5</v>
      </c>
      <c r="M30" s="2">
        <v>877</v>
      </c>
    </row>
    <row r="31" spans="2:20" x14ac:dyDescent="0.45">
      <c r="B31" s="2"/>
      <c r="C31" s="2"/>
      <c r="D31" s="2"/>
      <c r="E31" s="2"/>
      <c r="F31" s="2"/>
      <c r="G31" s="2"/>
      <c r="H31" s="14"/>
      <c r="I31" s="2"/>
      <c r="J31" s="2"/>
      <c r="K31" s="2" t="s">
        <v>52</v>
      </c>
      <c r="L31" s="2">
        <v>4</v>
      </c>
      <c r="M31" s="2">
        <v>38</v>
      </c>
    </row>
    <row r="32" spans="2:20" x14ac:dyDescent="0.45">
      <c r="B32" s="2"/>
      <c r="C32" s="2"/>
      <c r="D32" s="2"/>
      <c r="E32" s="2"/>
      <c r="F32" s="2"/>
      <c r="G32" s="2"/>
      <c r="H32" s="2"/>
      <c r="I32" s="14"/>
      <c r="J32" s="2"/>
      <c r="K32" s="2" t="s">
        <v>37</v>
      </c>
      <c r="L32" s="2">
        <v>2</v>
      </c>
      <c r="M32" s="2">
        <v>38</v>
      </c>
    </row>
    <row r="33" spans="2:13" x14ac:dyDescent="0.45">
      <c r="B33" s="2"/>
      <c r="C33" s="14"/>
      <c r="D33" s="2"/>
      <c r="E33" s="2"/>
      <c r="F33" s="2"/>
      <c r="G33" s="2"/>
      <c r="H33" s="2"/>
      <c r="I33" s="2"/>
      <c r="J33" s="2"/>
      <c r="K33" s="2" t="s">
        <v>36</v>
      </c>
      <c r="L33" s="2">
        <v>1</v>
      </c>
      <c r="M33" s="15"/>
    </row>
    <row r="34" spans="2:13" x14ac:dyDescent="0.45">
      <c r="B34" s="14">
        <v>1</v>
      </c>
      <c r="C34" s="2"/>
      <c r="D34" s="2"/>
      <c r="E34" s="2"/>
      <c r="F34" s="2"/>
      <c r="G34" s="2"/>
      <c r="H34" s="2"/>
      <c r="I34" s="2"/>
      <c r="J34" s="2"/>
      <c r="K34" s="2" t="s">
        <v>45</v>
      </c>
      <c r="L34" s="2">
        <v>1</v>
      </c>
      <c r="M34" s="2">
        <v>53</v>
      </c>
    </row>
    <row r="35" spans="2:13" x14ac:dyDescent="0.45">
      <c r="B35" s="2"/>
      <c r="C35" s="2"/>
      <c r="D35" s="2"/>
      <c r="E35" s="2"/>
      <c r="F35" s="2"/>
      <c r="G35" s="2"/>
      <c r="H35" s="14"/>
      <c r="I35" s="2"/>
      <c r="J35" s="2"/>
      <c r="K35" s="2" t="s">
        <v>53</v>
      </c>
      <c r="L35" s="2">
        <v>4</v>
      </c>
      <c r="M35" s="15"/>
    </row>
    <row r="36" spans="2:13" x14ac:dyDescent="0.45">
      <c r="B36" s="2"/>
      <c r="C36" s="2"/>
      <c r="D36" s="2"/>
      <c r="E36" s="2"/>
      <c r="F36" s="14"/>
      <c r="G36" s="2"/>
      <c r="H36" s="2"/>
      <c r="I36" s="2"/>
      <c r="J36" s="2"/>
      <c r="K36" s="2" t="s">
        <v>54</v>
      </c>
      <c r="L36" s="2">
        <v>0.5</v>
      </c>
      <c r="M36" s="15"/>
    </row>
    <row r="37" spans="2:13" x14ac:dyDescent="0.45">
      <c r="B37" s="2"/>
      <c r="C37" s="2"/>
      <c r="D37" s="2"/>
      <c r="E37" s="2"/>
      <c r="F37" s="2"/>
      <c r="G37" s="14"/>
      <c r="H37" s="2"/>
      <c r="I37" s="2"/>
      <c r="J37" s="2"/>
      <c r="K37" s="2" t="s">
        <v>46</v>
      </c>
      <c r="L37" s="2">
        <v>2</v>
      </c>
      <c r="M37" s="15"/>
    </row>
    <row r="38" spans="2:13" x14ac:dyDescent="0.45">
      <c r="B38" s="2"/>
      <c r="C38" s="14"/>
      <c r="D38" s="2"/>
      <c r="E38" s="2"/>
      <c r="F38" s="2"/>
      <c r="G38" s="2"/>
      <c r="H38" s="2"/>
      <c r="I38" s="2"/>
      <c r="J38" s="2"/>
      <c r="K38" s="2" t="s">
        <v>55</v>
      </c>
      <c r="L38" s="2">
        <v>0.5</v>
      </c>
      <c r="M38" s="15"/>
    </row>
    <row r="39" spans="2:13" x14ac:dyDescent="0.45">
      <c r="B39" s="14">
        <v>1</v>
      </c>
      <c r="C39" s="2"/>
      <c r="D39" s="2"/>
      <c r="E39" s="2"/>
      <c r="F39" s="2"/>
      <c r="G39" s="2"/>
      <c r="H39" s="2"/>
      <c r="I39" s="2"/>
      <c r="J39" s="2"/>
      <c r="K39" s="2" t="s">
        <v>36</v>
      </c>
      <c r="L39" s="2">
        <v>2.5</v>
      </c>
      <c r="M39" s="2">
        <v>38</v>
      </c>
    </row>
    <row r="40" spans="2:13" x14ac:dyDescent="0.45">
      <c r="B40" s="2"/>
      <c r="C40" s="14"/>
      <c r="D40" s="2"/>
      <c r="E40" s="2"/>
      <c r="F40" s="2"/>
      <c r="G40" s="2"/>
      <c r="H40" s="2"/>
      <c r="I40" s="2"/>
      <c r="J40" s="2"/>
      <c r="K40" s="2" t="s">
        <v>56</v>
      </c>
      <c r="L40" s="2">
        <v>2.5</v>
      </c>
      <c r="M40" s="15"/>
    </row>
    <row r="41" spans="2:13" x14ac:dyDescent="0.45">
      <c r="B41" s="2"/>
      <c r="C41" s="2"/>
      <c r="D41" s="2"/>
      <c r="E41" s="2"/>
      <c r="F41" s="2"/>
      <c r="G41" s="2"/>
      <c r="H41" s="14"/>
      <c r="I41" s="2"/>
      <c r="J41" s="2"/>
      <c r="K41" s="2" t="s">
        <v>50</v>
      </c>
      <c r="L41" s="2">
        <v>1</v>
      </c>
      <c r="M41" s="15"/>
    </row>
    <row r="42" spans="2:13" x14ac:dyDescent="0.45">
      <c r="B42" s="14">
        <v>1</v>
      </c>
      <c r="C42" s="2"/>
      <c r="D42" s="2"/>
      <c r="E42" s="2"/>
      <c r="F42" s="2"/>
      <c r="G42" s="2"/>
      <c r="H42" s="2"/>
      <c r="I42" s="2"/>
      <c r="J42" s="2"/>
      <c r="K42" s="2" t="s">
        <v>47</v>
      </c>
      <c r="L42" s="2">
        <v>3.5</v>
      </c>
      <c r="M42" s="15"/>
    </row>
    <row r="43" spans="2:13" x14ac:dyDescent="0.45">
      <c r="B43" s="2"/>
      <c r="C43" s="2"/>
      <c r="D43" s="2"/>
      <c r="E43" s="2"/>
      <c r="F43" s="2"/>
      <c r="G43" s="2"/>
      <c r="H43" s="2"/>
      <c r="I43" s="14"/>
      <c r="J43" s="2"/>
      <c r="K43" s="2" t="s">
        <v>37</v>
      </c>
      <c r="L43" s="2">
        <v>0.5</v>
      </c>
      <c r="M43" s="15"/>
    </row>
    <row r="44" spans="2:13" x14ac:dyDescent="0.45">
      <c r="B44" s="14">
        <v>1</v>
      </c>
      <c r="C44" s="2"/>
      <c r="D44" s="2"/>
      <c r="E44" s="2"/>
      <c r="F44" s="2"/>
      <c r="G44" s="2"/>
      <c r="H44" s="2"/>
      <c r="I44" s="2"/>
      <c r="J44" s="2"/>
      <c r="K44" s="2" t="s">
        <v>36</v>
      </c>
      <c r="L44" s="2">
        <v>2.5</v>
      </c>
      <c r="M44" s="15"/>
    </row>
    <row r="45" spans="2:13" x14ac:dyDescent="0.45">
      <c r="B45" s="2"/>
      <c r="C45" s="2"/>
      <c r="D45" s="2"/>
      <c r="E45" s="2"/>
      <c r="F45" s="14"/>
      <c r="G45" s="2"/>
      <c r="H45" s="2"/>
      <c r="I45" s="2"/>
      <c r="J45" s="2"/>
      <c r="K45" s="2" t="s">
        <v>57</v>
      </c>
      <c r="L45" s="2">
        <v>2.5</v>
      </c>
      <c r="M45" s="15"/>
    </row>
    <row r="46" spans="2:13" x14ac:dyDescent="0.45">
      <c r="B46" s="2"/>
      <c r="C46" s="2"/>
      <c r="D46" s="2"/>
      <c r="E46" s="2"/>
      <c r="F46" s="2"/>
      <c r="G46" s="14"/>
      <c r="H46" s="2"/>
      <c r="I46" s="2"/>
      <c r="J46" s="2"/>
      <c r="K46" s="2" t="s">
        <v>46</v>
      </c>
      <c r="L46" s="2">
        <v>3</v>
      </c>
      <c r="M46" s="15"/>
    </row>
    <row r="47" spans="2:13" x14ac:dyDescent="0.45">
      <c r="B47" s="2"/>
      <c r="C47" s="2"/>
      <c r="D47" s="14"/>
      <c r="E47" s="2"/>
      <c r="F47" s="2"/>
      <c r="G47" s="2"/>
      <c r="H47" s="2"/>
      <c r="I47" s="2"/>
      <c r="J47" s="2"/>
      <c r="K47" s="2" t="s">
        <v>49</v>
      </c>
      <c r="L47" s="2">
        <v>2</v>
      </c>
      <c r="M47" s="15"/>
    </row>
    <row r="48" spans="2:13" ht="26.25" customHeight="1" x14ac:dyDescent="0.45">
      <c r="B48" s="2"/>
      <c r="C48" s="2"/>
      <c r="D48" s="2"/>
      <c r="E48" s="2"/>
      <c r="F48" s="2"/>
      <c r="G48" s="2"/>
      <c r="H48" s="14">
        <v>1</v>
      </c>
      <c r="I48" s="2"/>
      <c r="J48" s="2"/>
      <c r="K48" s="3" t="s">
        <v>58</v>
      </c>
      <c r="L48" s="2">
        <v>4</v>
      </c>
      <c r="M48" s="2">
        <v>191</v>
      </c>
    </row>
    <row r="49" spans="2:13" x14ac:dyDescent="0.45">
      <c r="B49" s="14">
        <v>1</v>
      </c>
      <c r="C49" s="2"/>
      <c r="D49" s="2"/>
      <c r="E49" s="2"/>
      <c r="F49" s="2"/>
      <c r="G49" s="2"/>
      <c r="H49" s="2"/>
      <c r="I49" s="2"/>
      <c r="J49" s="2"/>
      <c r="K49" s="2" t="s">
        <v>45</v>
      </c>
      <c r="L49" s="2">
        <v>1.5</v>
      </c>
      <c r="M49" s="2">
        <v>33</v>
      </c>
    </row>
    <row r="50" spans="2:13" x14ac:dyDescent="0.45">
      <c r="B50" s="2"/>
      <c r="C50" s="2"/>
      <c r="D50" s="2"/>
      <c r="E50" s="2"/>
      <c r="F50" s="2"/>
      <c r="G50" s="2"/>
      <c r="H50" s="2"/>
      <c r="I50" s="2"/>
      <c r="J50" s="14"/>
      <c r="K50" s="2" t="s">
        <v>59</v>
      </c>
      <c r="L50" s="2">
        <v>4</v>
      </c>
      <c r="M50" s="15"/>
    </row>
    <row r="51" spans="2:13" x14ac:dyDescent="0.45">
      <c r="B51" s="2"/>
      <c r="C51" s="2"/>
      <c r="D51" s="2"/>
      <c r="E51" s="14"/>
      <c r="F51" s="2"/>
      <c r="G51" s="2"/>
      <c r="H51" s="2"/>
      <c r="I51" s="2"/>
      <c r="J51" s="2"/>
      <c r="K51" s="2" t="s">
        <v>60</v>
      </c>
      <c r="L51" s="2">
        <v>3</v>
      </c>
      <c r="M51" s="15"/>
    </row>
    <row r="52" spans="2:13" x14ac:dyDescent="0.45">
      <c r="B52" s="2"/>
      <c r="C52" s="2"/>
      <c r="D52" s="2"/>
      <c r="E52" s="2"/>
      <c r="F52" s="2"/>
      <c r="G52" s="2"/>
      <c r="H52" s="14">
        <v>1</v>
      </c>
      <c r="I52" s="2"/>
      <c r="J52" s="2"/>
      <c r="K52" s="2" t="s">
        <v>50</v>
      </c>
      <c r="L52" s="2">
        <v>1</v>
      </c>
      <c r="M52" s="15"/>
    </row>
    <row r="53" spans="2:13" x14ac:dyDescent="0.45">
      <c r="B53" s="2"/>
      <c r="C53" s="2"/>
      <c r="D53" s="2"/>
      <c r="E53" s="2"/>
      <c r="F53" s="2"/>
      <c r="G53" s="2"/>
      <c r="H53" s="14"/>
      <c r="I53" s="2"/>
      <c r="J53" s="2"/>
      <c r="K53" s="2" t="s">
        <v>61</v>
      </c>
      <c r="L53" s="2">
        <v>8</v>
      </c>
      <c r="M53" s="2">
        <v>3296</v>
      </c>
    </row>
    <row r="54" spans="2:13" x14ac:dyDescent="0.45">
      <c r="B54" s="2"/>
      <c r="C54" s="2"/>
      <c r="D54" s="2"/>
      <c r="E54" s="2"/>
      <c r="F54" s="2"/>
      <c r="G54" s="14"/>
      <c r="H54" s="2"/>
      <c r="I54" s="2"/>
      <c r="J54" s="2"/>
      <c r="K54" s="2" t="s">
        <v>62</v>
      </c>
      <c r="L54" s="2">
        <v>1</v>
      </c>
      <c r="M54" s="2">
        <v>23</v>
      </c>
    </row>
    <row r="55" spans="2:13" x14ac:dyDescent="0.45">
      <c r="B55" s="14">
        <v>1</v>
      </c>
      <c r="C55" s="2"/>
      <c r="D55" s="2"/>
      <c r="E55" s="2"/>
      <c r="F55" s="2"/>
      <c r="G55" s="2"/>
      <c r="H55" s="2"/>
      <c r="I55" s="2"/>
      <c r="J55" s="2"/>
      <c r="K55" s="2" t="s">
        <v>63</v>
      </c>
      <c r="L55" s="2">
        <v>4</v>
      </c>
      <c r="M55" s="15"/>
    </row>
    <row r="56" spans="2:13" x14ac:dyDescent="0.45">
      <c r="B56" s="2"/>
      <c r="C56" s="14"/>
      <c r="D56" s="2"/>
      <c r="E56" s="2"/>
      <c r="F56" s="2"/>
      <c r="G56" s="2"/>
      <c r="H56" s="2"/>
      <c r="I56" s="2"/>
      <c r="J56" s="2"/>
      <c r="K56" s="2" t="s">
        <v>64</v>
      </c>
      <c r="L56" s="2">
        <v>1</v>
      </c>
      <c r="M56" s="15"/>
    </row>
    <row r="57" spans="2:13" x14ac:dyDescent="0.45">
      <c r="B57" s="14">
        <v>1</v>
      </c>
      <c r="C57" s="2"/>
      <c r="D57" s="2"/>
      <c r="E57" s="2"/>
      <c r="F57" s="2"/>
      <c r="G57" s="2"/>
      <c r="H57" s="2"/>
      <c r="I57" s="2"/>
      <c r="J57" s="2"/>
      <c r="K57" s="2" t="s">
        <v>65</v>
      </c>
      <c r="L57" s="2">
        <v>8</v>
      </c>
      <c r="M57" s="2">
        <v>1944</v>
      </c>
    </row>
    <row r="58" spans="2:13" x14ac:dyDescent="0.45">
      <c r="B58">
        <f>SUMPRODUCT(B10:B57,$L$10:$L$57)</f>
        <v>41.5</v>
      </c>
      <c r="C58">
        <f t="shared" ref="C58:J58" si="0">SUMPRODUCT(C10:C57,$L$10:$L$57)</f>
        <v>0</v>
      </c>
      <c r="D58">
        <f t="shared" si="0"/>
        <v>0</v>
      </c>
      <c r="E58">
        <f t="shared" si="0"/>
        <v>0</v>
      </c>
      <c r="F58">
        <f t="shared" si="0"/>
        <v>0</v>
      </c>
      <c r="G58">
        <f t="shared" si="0"/>
        <v>0</v>
      </c>
      <c r="H58">
        <f t="shared" si="0"/>
        <v>5</v>
      </c>
      <c r="I58">
        <f t="shared" si="0"/>
        <v>0</v>
      </c>
      <c r="J58">
        <f t="shared" si="0"/>
        <v>0</v>
      </c>
    </row>
  </sheetData>
  <mergeCells count="4">
    <mergeCell ref="B8:J8"/>
    <mergeCell ref="K8:K9"/>
    <mergeCell ref="L8:L9"/>
    <mergeCell ref="M8:M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TRS</vt:lpstr>
      <vt:lpstr>Coûts déf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JAUBERT</dc:creator>
  <cp:lastModifiedBy>Stéphane JAUBERT</cp:lastModifiedBy>
  <dcterms:created xsi:type="dcterms:W3CDTF">2020-12-16T10:57:04Z</dcterms:created>
  <dcterms:modified xsi:type="dcterms:W3CDTF">2026-04-03T13:47:28Z</dcterms:modified>
</cp:coreProperties>
</file>