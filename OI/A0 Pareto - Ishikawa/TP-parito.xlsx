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ostro\OneDrive\Bureau\sam\"/>
    </mc:Choice>
  </mc:AlternateContent>
  <bookViews>
    <workbookView xWindow="0" yWindow="0" windowWidth="19200" windowHeight="6930" activeTab="2"/>
  </bookViews>
  <sheets>
    <sheet name="Feuil1" sheetId="1" r:id="rId1"/>
    <sheet name="Feuil2" sheetId="2" r:id="rId2"/>
    <sheet name="Feuil4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4" l="1"/>
  <c r="D7" i="4"/>
  <c r="D8" i="4"/>
  <c r="D9" i="4"/>
  <c r="D10" i="4"/>
  <c r="D11" i="4"/>
  <c r="D12" i="4"/>
  <c r="D13" i="4"/>
  <c r="D14" i="4"/>
  <c r="D15" i="4"/>
  <c r="C16" i="4"/>
  <c r="D5" i="4" l="1"/>
  <c r="D3" i="4"/>
  <c r="D6" i="4"/>
  <c r="D4" i="4"/>
  <c r="D2" i="4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16" i="2"/>
  <c r="B16" i="2"/>
  <c r="D10" i="1"/>
  <c r="D9" i="1"/>
  <c r="D8" i="1"/>
  <c r="D7" i="1"/>
  <c r="D6" i="1"/>
  <c r="D5" i="1"/>
  <c r="D4" i="1"/>
  <c r="D3" i="1"/>
  <c r="D2" i="1"/>
  <c r="C2" i="1"/>
  <c r="C3" i="1"/>
  <c r="C4" i="1"/>
  <c r="C5" i="1"/>
  <c r="C6" i="1"/>
  <c r="C7" i="1"/>
  <c r="C8" i="1"/>
  <c r="C9" i="1"/>
  <c r="C10" i="1"/>
  <c r="B11" i="1"/>
</calcChain>
</file>

<file path=xl/sharedStrings.xml><?xml version="1.0" encoding="utf-8"?>
<sst xmlns="http://schemas.openxmlformats.org/spreadsheetml/2006/main" count="25" uniqueCount="22">
  <si>
    <t>Cause</t>
  </si>
  <si>
    <t>Valeur effet</t>
  </si>
  <si>
    <t>A : instrument inadapté</t>
  </si>
  <si>
    <t>B : précision de l’appareil</t>
  </si>
  <si>
    <t>C : Position de l’instrument</t>
  </si>
  <si>
    <t>D : Erreur de parallaxe</t>
  </si>
  <si>
    <t>E : Méthode de mesure inadaptée</t>
  </si>
  <si>
    <t>F : Mauvais choix du calibre</t>
  </si>
  <si>
    <t>G : Erreur de calcul</t>
  </si>
  <si>
    <t>H : Problème d’étalonnage de l’appareil</t>
  </si>
  <si>
    <t>I : Perturbations magnétoélectriques</t>
  </si>
  <si>
    <t>%</t>
  </si>
  <si>
    <t>%canulé</t>
  </si>
  <si>
    <t>total</t>
  </si>
  <si>
    <t>N° Machine</t>
  </si>
  <si>
    <t>Nombre d’heures d’arrêt</t>
  </si>
  <si>
    <t>Nombre de pannes</t>
  </si>
  <si>
    <t xml:space="preserve">% nb arret </t>
  </si>
  <si>
    <t xml:space="preserve">% nb pannes </t>
  </si>
  <si>
    <t>% cumulé nb h arrét</t>
  </si>
  <si>
    <t>% cumulé nb pannes</t>
  </si>
  <si>
    <t xml:space="preserve">%h d'arret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</si>
</sst>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9" fontId="0" fillId="0" borderId="0" xfId="1" applyFont="1"/>
    <xf numFmtId="9" fontId="0" fillId="0" borderId="0" xfId="0" applyNumberFormat="1"/>
    <xf numFmtId="0" fontId="2" fillId="0" borderId="5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Diagramme pareto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courbe ABC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Feuil1!$A$2:$A$10</c:f>
              <c:strCache>
                <c:ptCount val="9"/>
                <c:pt idx="0">
                  <c:v>C : Position de l’instrument</c:v>
                </c:pt>
                <c:pt idx="1">
                  <c:v>G : Erreur de calcul</c:v>
                </c:pt>
                <c:pt idx="2">
                  <c:v>F : Mauvais choix du calibre</c:v>
                </c:pt>
                <c:pt idx="3">
                  <c:v>H : Problème d’étalonnage de l’appareil</c:v>
                </c:pt>
                <c:pt idx="4">
                  <c:v>A : instrument inadapté</c:v>
                </c:pt>
                <c:pt idx="5">
                  <c:v>B : précision de l’appareil</c:v>
                </c:pt>
                <c:pt idx="6">
                  <c:v>E : Méthode de mesure inadaptée</c:v>
                </c:pt>
                <c:pt idx="7">
                  <c:v>D : Erreur de parallaxe</c:v>
                </c:pt>
                <c:pt idx="8">
                  <c:v>I : Perturbations magnétoélectriques</c:v>
                </c:pt>
              </c:strCache>
            </c:strRef>
          </c:cat>
          <c:val>
            <c:numRef>
              <c:f>Feuil1!$C$2:$C$10</c:f>
              <c:numCache>
                <c:formatCode>0%</c:formatCode>
                <c:ptCount val="9"/>
                <c:pt idx="0">
                  <c:v>0.46524064171122997</c:v>
                </c:pt>
                <c:pt idx="1">
                  <c:v>0.24064171122994651</c:v>
                </c:pt>
                <c:pt idx="2">
                  <c:v>7.4866310160427801E-2</c:v>
                </c:pt>
                <c:pt idx="3">
                  <c:v>6.4171122994652413E-2</c:v>
                </c:pt>
                <c:pt idx="4">
                  <c:v>4.8128342245989303E-2</c:v>
                </c:pt>
                <c:pt idx="5">
                  <c:v>4.2780748663101602E-2</c:v>
                </c:pt>
                <c:pt idx="6">
                  <c:v>3.7433155080213901E-2</c:v>
                </c:pt>
                <c:pt idx="7">
                  <c:v>1.6042780748663103E-2</c:v>
                </c:pt>
                <c:pt idx="8">
                  <c:v>1.06951871657754E-2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4-4141-AA3C-FE080BF3C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7047344"/>
        <c:axId val="2047051920"/>
      </c:barChart>
      <c:lineChart>
        <c:grouping val="standard"/>
        <c:varyColors val="0"/>
        <c:ser>
          <c:idx val="1"/>
          <c:order val="1"/>
          <c:tx>
            <c:v>histogramme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Feuil1!$D$2:$D$10</c:f>
              <c:numCache>
                <c:formatCode>0%</c:formatCode>
                <c:ptCount val="9"/>
                <c:pt idx="0">
                  <c:v>0.46524064171122997</c:v>
                </c:pt>
                <c:pt idx="1">
                  <c:v>0.70588235294117652</c:v>
                </c:pt>
                <c:pt idx="2">
                  <c:v>0.78074866310160429</c:v>
                </c:pt>
                <c:pt idx="3">
                  <c:v>0.84491978609625673</c:v>
                </c:pt>
                <c:pt idx="4">
                  <c:v>0.89304812834224601</c:v>
                </c:pt>
                <c:pt idx="5">
                  <c:v>0.93582887700534756</c:v>
                </c:pt>
                <c:pt idx="6">
                  <c:v>0.9732620320855615</c:v>
                </c:pt>
                <c:pt idx="7">
                  <c:v>0.98930481283422456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54-4141-AA3C-FE080BF3C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7047344"/>
        <c:axId val="2047051920"/>
      </c:lineChart>
      <c:catAx>
        <c:axId val="204704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7051920"/>
        <c:crosses val="autoZero"/>
        <c:auto val="1"/>
        <c:lblAlgn val="ctr"/>
        <c:lblOffset val="100"/>
        <c:noMultiLvlLbl val="0"/>
      </c:catAx>
      <c:valAx>
        <c:axId val="204705192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704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634102422668644"/>
          <c:y val="0.82818049204289967"/>
          <c:w val="0.31288184840807137"/>
          <c:h val="0.111246044930760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Diagramme</a:t>
            </a:r>
            <a:r>
              <a:rPr lang="en-GB" baseline="0"/>
              <a:t> pareto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Feuil2!$E$2:$E$15</c:f>
              <c:numCache>
                <c:formatCode>0%</c:formatCode>
                <c:ptCount val="14"/>
                <c:pt idx="0">
                  <c:v>0.21067415730337077</c:v>
                </c:pt>
                <c:pt idx="1">
                  <c:v>0.3581460674157303</c:v>
                </c:pt>
                <c:pt idx="2">
                  <c:v>0.4634831460674157</c:v>
                </c:pt>
                <c:pt idx="3">
                  <c:v>0.5547752808988764</c:v>
                </c:pt>
                <c:pt idx="4">
                  <c:v>0.6320224719101124</c:v>
                </c:pt>
                <c:pt idx="5">
                  <c:v>0.70926966292134841</c:v>
                </c:pt>
                <c:pt idx="6">
                  <c:v>0.77106741573033721</c:v>
                </c:pt>
                <c:pt idx="7">
                  <c:v>0.82724719101123612</c:v>
                </c:pt>
                <c:pt idx="8">
                  <c:v>0.88342696629213502</c:v>
                </c:pt>
                <c:pt idx="9">
                  <c:v>0.92556179775280922</c:v>
                </c:pt>
                <c:pt idx="10">
                  <c:v>0.95646067415730363</c:v>
                </c:pt>
                <c:pt idx="11">
                  <c:v>0.98033707865168562</c:v>
                </c:pt>
                <c:pt idx="12">
                  <c:v>0.99438202247191032</c:v>
                </c:pt>
                <c:pt idx="13">
                  <c:v>1.0000000000000002</c:v>
                </c:pt>
              </c:numCache>
            </c:numRef>
          </c:cat>
          <c:val>
            <c:numRef>
              <c:f>Feuil2!$E$2:$E$15</c:f>
              <c:numCache>
                <c:formatCode>0%</c:formatCode>
                <c:ptCount val="14"/>
                <c:pt idx="0">
                  <c:v>0.21067415730337077</c:v>
                </c:pt>
                <c:pt idx="1">
                  <c:v>0.3581460674157303</c:v>
                </c:pt>
                <c:pt idx="2">
                  <c:v>0.4634831460674157</c:v>
                </c:pt>
                <c:pt idx="3">
                  <c:v>0.5547752808988764</c:v>
                </c:pt>
                <c:pt idx="4">
                  <c:v>0.6320224719101124</c:v>
                </c:pt>
                <c:pt idx="5">
                  <c:v>0.70926966292134841</c:v>
                </c:pt>
                <c:pt idx="6">
                  <c:v>0.77106741573033721</c:v>
                </c:pt>
                <c:pt idx="7">
                  <c:v>0.82724719101123612</c:v>
                </c:pt>
                <c:pt idx="8">
                  <c:v>0.88342696629213502</c:v>
                </c:pt>
                <c:pt idx="9">
                  <c:v>0.92556179775280922</c:v>
                </c:pt>
                <c:pt idx="10">
                  <c:v>0.95646067415730363</c:v>
                </c:pt>
                <c:pt idx="11">
                  <c:v>0.98033707865168562</c:v>
                </c:pt>
                <c:pt idx="12">
                  <c:v>0.99438202247191032</c:v>
                </c:pt>
                <c:pt idx="13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5-413E-9C75-3BD376E5F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8909520"/>
        <c:axId val="2048917840"/>
      </c:lineChart>
      <c:catAx>
        <c:axId val="2048909520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8917840"/>
        <c:crosses val="autoZero"/>
        <c:auto val="1"/>
        <c:lblAlgn val="ctr"/>
        <c:lblOffset val="100"/>
        <c:noMultiLvlLbl val="0"/>
      </c:catAx>
      <c:valAx>
        <c:axId val="20489178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890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402645</xdr:colOff>
      <xdr:row>1</xdr:row>
      <xdr:rowOff>227793</xdr:rowOff>
    </xdr:from>
    <xdr:to>
      <xdr:col>11</xdr:col>
      <xdr:colOff>219766</xdr:colOff>
      <xdr:row>8</xdr:row>
      <xdr:rowOff>13085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0.43785</cdr:x>
      <cdr:y>0.66452</cdr:y>
    </cdr:from>
    <cdr:to>
      <cdr:x>0.63816</cdr:x>
      <cdr:y>1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1998784" y="2569992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0.0642</cdr:x>
      <cdr:y>0.16441</cdr:y>
    </cdr:from>
    <cdr:to>
      <cdr:x>0.26451</cdr:x>
      <cdr:y>0.49989</cdr:y>
    </cdr:to>
    <cdr:sp macro="" textlink="">
      <cdr:nvSpPr>
        <cdr:cNvPr id="3" name="ZoneTexte 2"/>
        <cdr:cNvSpPr txBox="1"/>
      </cdr:nvSpPr>
      <cdr:spPr>
        <a:xfrm xmlns:a="http://schemas.openxmlformats.org/drawingml/2006/main">
          <a:off x="293077" y="44811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0.46097</cdr:x>
      <cdr:y>0.66452</cdr:y>
    </cdr:from>
    <cdr:to>
      <cdr:x>0.66127</cdr:x>
      <cdr:y>1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2104292" y="25875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0.3775</cdr:x>
      <cdr:y>0.66452</cdr:y>
    </cdr:from>
    <cdr:to>
      <cdr:x>0.57781</cdr:x>
      <cdr:y>1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1723292" y="257585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0.42116</cdr:x>
      <cdr:y>0.66452</cdr:y>
    </cdr:from>
    <cdr:to>
      <cdr:x>0.62147</cdr:x>
      <cdr:y>1</cdr:y>
    </cdr:to>
    <cdr:sp macro="" textlink="">
      <cdr:nvSpPr>
        <cdr:cNvPr id="6" name="ZoneTexte 5"/>
        <cdr:cNvSpPr txBox="1"/>
      </cdr:nvSpPr>
      <cdr:spPr>
        <a:xfrm xmlns:a="http://schemas.openxmlformats.org/drawingml/2006/main">
          <a:off x="1922584" y="255826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0.45711</cdr:x>
      <cdr:y>0.66452</cdr:y>
    </cdr:from>
    <cdr:to>
      <cdr:x>0.65742</cdr:x>
      <cdr:y>1</cdr:y>
    </cdr:to>
    <cdr:sp macro="" textlink="">
      <cdr:nvSpPr>
        <cdr:cNvPr id="7" name="ZoneTexte 6"/>
        <cdr:cNvSpPr txBox="1"/>
      </cdr:nvSpPr>
      <cdr:spPr>
        <a:xfrm xmlns:a="http://schemas.openxmlformats.org/drawingml/2006/main">
          <a:off x="2086707" y="258171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0.38136</cdr:x>
      <cdr:y>0.88914</cdr:y>
    </cdr:from>
    <cdr:to>
      <cdr:x>0.58166</cdr:x>
      <cdr:y>1</cdr:y>
    </cdr:to>
    <cdr:sp macro="" textlink="">
      <cdr:nvSpPr>
        <cdr:cNvPr id="8" name="ZoneTexte 7"/>
        <cdr:cNvSpPr txBox="1"/>
      </cdr:nvSpPr>
      <cdr:spPr>
        <a:xfrm xmlns:a="http://schemas.openxmlformats.org/drawingml/2006/main">
          <a:off x="1740877" y="2423452"/>
          <a:ext cx="914400" cy="3021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0.1451</cdr:x>
      <cdr:y>0.83753</cdr:y>
    </cdr:from>
    <cdr:to>
      <cdr:x>0.35311</cdr:x>
      <cdr:y>0.88602</cdr:y>
    </cdr:to>
    <cdr:sp macro="" textlink="">
      <cdr:nvSpPr>
        <cdr:cNvPr id="9" name="ZoneTexte 8"/>
        <cdr:cNvSpPr txBox="1"/>
      </cdr:nvSpPr>
      <cdr:spPr>
        <a:xfrm xmlns:a="http://schemas.openxmlformats.org/drawingml/2006/main">
          <a:off x="662354" y="2282777"/>
          <a:ext cx="949569" cy="1321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0.09631</cdr:x>
      <cdr:y>0.24084</cdr:y>
    </cdr:from>
    <cdr:to>
      <cdr:x>0.34292</cdr:x>
      <cdr:y>0.24482</cdr:y>
    </cdr:to>
    <cdr:cxnSp macro="">
      <cdr:nvCxnSpPr>
        <cdr:cNvPr id="22" name="Connecteur droit 21"/>
        <cdr:cNvCxnSpPr/>
      </cdr:nvCxnSpPr>
      <cdr:spPr>
        <a:xfrm xmlns:a="http://schemas.openxmlformats.org/drawingml/2006/main" flipH="1" flipV="1">
          <a:off x="440033" y="658712"/>
          <a:ext cx="1126672" cy="1088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0.33994</cdr:x>
      <cdr:y>0.24781</cdr:y>
    </cdr:from>
    <cdr:to>
      <cdr:x>0.34054</cdr:x>
      <cdr:y>0.51746</cdr:y>
    </cdr:to>
    <cdr:cxnSp macro="">
      <cdr:nvCxnSpPr>
        <cdr:cNvPr id="28" name="Connecteur droit 27"/>
        <cdr:cNvCxnSpPr/>
      </cdr:nvCxnSpPr>
      <cdr:spPr>
        <a:xfrm xmlns:a="http://schemas.openxmlformats.org/drawingml/2006/main" flipH="1">
          <a:off x="1553097" y="677762"/>
          <a:ext cx="2722" cy="737507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0.19936</cdr:x>
      <cdr:y>0.30054</cdr:y>
    </cdr:from>
    <cdr:to>
      <cdr:x>0.39951</cdr:x>
      <cdr:y>0.63487</cdr:y>
    </cdr:to>
    <cdr:sp macro="" textlink="">
      <cdr:nvSpPr>
        <cdr:cNvPr id="29" name="ZoneTexte 28"/>
        <cdr:cNvSpPr txBox="1"/>
      </cdr:nvSpPr>
      <cdr:spPr>
        <a:xfrm xmlns:a="http://schemas.openxmlformats.org/drawingml/2006/main" rot="20969335">
          <a:off x="910840" y="82199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>
              <a:solidFill>
                <a:schemeClr val="accent6"/>
              </a:solidFill>
            </a:rPr>
            <a:t>zone A</a:t>
          </a:r>
        </a:p>
      </cdr:txBody>
    </cdr:sp>
  </cdr:relSizeAnchor>
  <cdr:relSizeAnchor xmlns:cdr="http://schemas.openxmlformats.org/drawingml/2006/chartDrawing">
    <cdr:from>
      <cdr:x>0.09572</cdr:x>
      <cdr:y>0.20502</cdr:y>
    </cdr:from>
    <cdr:to>
      <cdr:x>0.53353</cdr:x>
      <cdr:y>0.20801</cdr:y>
    </cdr:to>
    <cdr:cxnSp macro="">
      <cdr:nvCxnSpPr>
        <cdr:cNvPr id="33" name="Connecteur droit 32"/>
        <cdr:cNvCxnSpPr/>
      </cdr:nvCxnSpPr>
      <cdr:spPr>
        <a:xfrm xmlns:a="http://schemas.openxmlformats.org/drawingml/2006/main" flipH="1" flipV="1">
          <a:off x="437311" y="560740"/>
          <a:ext cx="2000250" cy="816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0.53294</cdr:x>
      <cdr:y>0.21</cdr:y>
    </cdr:from>
    <cdr:to>
      <cdr:x>0.53294</cdr:x>
      <cdr:y>0.51547</cdr:y>
    </cdr:to>
    <cdr:cxnSp macro="">
      <cdr:nvCxnSpPr>
        <cdr:cNvPr id="37" name="Connecteur droit 36"/>
        <cdr:cNvCxnSpPr/>
      </cdr:nvCxnSpPr>
      <cdr:spPr>
        <a:xfrm xmlns:a="http://schemas.openxmlformats.org/drawingml/2006/main">
          <a:off x="2434840" y="574347"/>
          <a:ext cx="0" cy="835479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0.37747</cdr:x>
      <cdr:y>0.28761</cdr:y>
    </cdr:from>
    <cdr:to>
      <cdr:x>0.57761</cdr:x>
      <cdr:y>0.62194</cdr:y>
    </cdr:to>
    <cdr:sp macro="" textlink="">
      <cdr:nvSpPr>
        <cdr:cNvPr id="39" name="ZoneTexte 38"/>
        <cdr:cNvSpPr txBox="1"/>
      </cdr:nvSpPr>
      <cdr:spPr>
        <a:xfrm xmlns:a="http://schemas.openxmlformats.org/drawingml/2006/main" rot="20720616">
          <a:off x="1724547" y="786619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>
              <a:solidFill>
                <a:schemeClr val="accent6"/>
              </a:solidFill>
            </a:rPr>
            <a:t>Zone B</a:t>
          </a:r>
        </a:p>
      </cdr:txBody>
    </cdr:sp>
  </cdr:relSizeAnchor>
  <cdr:relSizeAnchor xmlns:cdr="http://schemas.openxmlformats.org/drawingml/2006/chartDrawing">
    <cdr:from>
      <cdr:x>0.08943</cdr:x>
      <cdr:y>0.17199</cdr:y>
    </cdr:from>
    <cdr:to>
      <cdr:x>0.82615</cdr:x>
      <cdr:y>0.17437</cdr:y>
    </cdr:to>
    <cdr:cxnSp macro="">
      <cdr:nvCxnSpPr>
        <cdr:cNvPr id="47" name="Connecteur droit 46"/>
        <cdr:cNvCxnSpPr/>
      </cdr:nvCxnSpPr>
      <cdr:spPr>
        <a:xfrm xmlns:a="http://schemas.openxmlformats.org/drawingml/2006/main" flipH="1" flipV="1">
          <a:off x="408187" y="468444"/>
          <a:ext cx="3362527" cy="6485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0.82402</cdr:x>
      <cdr:y>0.17437</cdr:y>
    </cdr:from>
    <cdr:to>
      <cdr:x>0.82544</cdr:x>
      <cdr:y>0.51127</cdr:y>
    </cdr:to>
    <cdr:cxnSp macro="">
      <cdr:nvCxnSpPr>
        <cdr:cNvPr id="50" name="Connecteur droit 49"/>
        <cdr:cNvCxnSpPr/>
      </cdr:nvCxnSpPr>
      <cdr:spPr>
        <a:xfrm xmlns:a="http://schemas.openxmlformats.org/drawingml/2006/main" flipH="1">
          <a:off x="3760987" y="474929"/>
          <a:ext cx="6485" cy="917642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1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0.61799</cdr:x>
      <cdr:y>0.24818</cdr:y>
    </cdr:from>
    <cdr:to>
      <cdr:x>0.81833</cdr:x>
      <cdr:y>0.58389</cdr:y>
    </cdr:to>
    <cdr:sp macro="" textlink="">
      <cdr:nvSpPr>
        <cdr:cNvPr id="51" name="ZoneTexte 50"/>
        <cdr:cNvSpPr txBox="1"/>
      </cdr:nvSpPr>
      <cdr:spPr>
        <a:xfrm xmlns:a="http://schemas.openxmlformats.org/drawingml/2006/main" rot="20895904">
          <a:off x="2820646" y="67596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>
              <a:solidFill>
                <a:schemeClr val="accent6"/>
              </a:solidFill>
            </a:rPr>
            <a:t>Zone C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348616</xdr:colOff>
      <xdr:row>0</xdr:row>
      <xdr:rowOff>329148</xdr:rowOff>
    </xdr:from>
    <xdr:to>
      <xdr:col>16</xdr:col>
      <xdr:colOff>224719</xdr:colOff>
      <xdr:row>15</xdr:row>
      <xdr:rowOff>179113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0.07994</cdr:x>
      <cdr:y>0.2948</cdr:y>
    </cdr:from>
    <cdr:to>
      <cdr:x>0.5189</cdr:x>
      <cdr:y>0.29711</cdr:y>
    </cdr:to>
    <cdr:cxnSp macro="">
      <cdr:nvCxnSpPr>
        <cdr:cNvPr id="3" name="Connecteur droit 2"/>
        <cdr:cNvCxnSpPr/>
      </cdr:nvCxnSpPr>
      <cdr:spPr>
        <a:xfrm xmlns:a="http://schemas.openxmlformats.org/drawingml/2006/main" flipH="1" flipV="1">
          <a:off x="419100" y="971550"/>
          <a:ext cx="2301240" cy="762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0.51136</cdr:x>
      <cdr:y>0.30173</cdr:y>
    </cdr:from>
    <cdr:to>
      <cdr:x>0.5189</cdr:x>
      <cdr:y>0.91136</cdr:y>
    </cdr:to>
    <cdr:cxnSp macro="">
      <cdr:nvCxnSpPr>
        <cdr:cNvPr id="5" name="Connecteur droit 4"/>
        <cdr:cNvCxnSpPr/>
      </cdr:nvCxnSpPr>
      <cdr:spPr>
        <a:xfrm xmlns:a="http://schemas.openxmlformats.org/drawingml/2006/main" flipH="1">
          <a:off x="2684080" y="991952"/>
          <a:ext cx="39532" cy="2004153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0.08385</cdr:x>
      <cdr:y>0.17284</cdr:y>
    </cdr:from>
    <cdr:to>
      <cdr:x>0.75165</cdr:x>
      <cdr:y>0.17764</cdr:y>
    </cdr:to>
    <cdr:cxnSp macro="">
      <cdr:nvCxnSpPr>
        <cdr:cNvPr id="9" name="Connecteur droit 8"/>
        <cdr:cNvCxnSpPr/>
      </cdr:nvCxnSpPr>
      <cdr:spPr>
        <a:xfrm xmlns:a="http://schemas.openxmlformats.org/drawingml/2006/main" flipV="1">
          <a:off x="440121" y="568216"/>
          <a:ext cx="3505200" cy="15766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0.75265</cdr:x>
      <cdr:y>0.17284</cdr:y>
    </cdr:from>
    <cdr:to>
      <cdr:x>0.75766</cdr:x>
      <cdr:y>0.90976</cdr:y>
    </cdr:to>
    <cdr:cxnSp macro="">
      <cdr:nvCxnSpPr>
        <cdr:cNvPr id="16" name="Connecteur droit 15"/>
        <cdr:cNvCxnSpPr/>
      </cdr:nvCxnSpPr>
      <cdr:spPr>
        <a:xfrm xmlns:a="http://schemas.openxmlformats.org/drawingml/2006/main">
          <a:off x="3950576" y="568216"/>
          <a:ext cx="26276" cy="2422634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0.08786</cdr:x>
      <cdr:y>0.14407</cdr:y>
    </cdr:from>
    <cdr:to>
      <cdr:x>0.8748</cdr:x>
      <cdr:y>0.14407</cdr:y>
    </cdr:to>
    <cdr:cxnSp macro="">
      <cdr:nvCxnSpPr>
        <cdr:cNvPr id="18" name="Connecteur droit 17"/>
        <cdr:cNvCxnSpPr/>
      </cdr:nvCxnSpPr>
      <cdr:spPr>
        <a:xfrm xmlns:a="http://schemas.openxmlformats.org/drawingml/2006/main">
          <a:off x="461142" y="473623"/>
          <a:ext cx="4130565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0.8778</cdr:x>
      <cdr:y>0.14247</cdr:y>
    </cdr:from>
    <cdr:to>
      <cdr:x>0.88381</cdr:x>
      <cdr:y>0.91136</cdr:y>
    </cdr:to>
    <cdr:cxnSp macro="">
      <cdr:nvCxnSpPr>
        <cdr:cNvPr id="20" name="Connecteur droit 19"/>
        <cdr:cNvCxnSpPr/>
      </cdr:nvCxnSpPr>
      <cdr:spPr>
        <a:xfrm xmlns:a="http://schemas.openxmlformats.org/drawingml/2006/main">
          <a:off x="4607473" y="468367"/>
          <a:ext cx="31531" cy="2527738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0.19599</cdr:x>
      <cdr:y>0.33429</cdr:y>
    </cdr:from>
    <cdr:to>
      <cdr:x>0.37019</cdr:x>
      <cdr:y>0.61244</cdr:y>
    </cdr:to>
    <cdr:sp macro="" textlink="">
      <cdr:nvSpPr>
        <cdr:cNvPr id="26" name="ZoneTexte 25"/>
        <cdr:cNvSpPr txBox="1"/>
      </cdr:nvSpPr>
      <cdr:spPr>
        <a:xfrm xmlns:a="http://schemas.openxmlformats.org/drawingml/2006/main" rot="20405357">
          <a:off x="1028700" y="109898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>
              <a:solidFill>
                <a:schemeClr val="accent2"/>
              </a:solidFill>
            </a:rPr>
            <a:t>zone A</a:t>
          </a:r>
          <a:r>
            <a:rPr lang="en-GB" sz="1100" baseline="0">
              <a:solidFill>
                <a:schemeClr val="accent2"/>
              </a:solidFill>
            </a:rPr>
            <a:t> </a:t>
          </a:r>
          <a:endParaRPr lang="en-GB" sz="1100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0.58645</cdr:x>
      <cdr:y>0.34868</cdr:y>
    </cdr:from>
    <cdr:to>
      <cdr:x>0.76066</cdr:x>
      <cdr:y>0.62682</cdr:y>
    </cdr:to>
    <cdr:sp macro="" textlink="">
      <cdr:nvSpPr>
        <cdr:cNvPr id="30" name="ZoneTexte 29"/>
        <cdr:cNvSpPr txBox="1"/>
      </cdr:nvSpPr>
      <cdr:spPr>
        <a:xfrm xmlns:a="http://schemas.openxmlformats.org/drawingml/2006/main" rot="20475500">
          <a:off x="3078216" y="1146285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 b="1">
              <a:solidFill>
                <a:schemeClr val="accent2"/>
              </a:solidFill>
            </a:rPr>
            <a:t>Zone</a:t>
          </a:r>
          <a:r>
            <a:rPr lang="en-GB" sz="1100" b="1" baseline="0">
              <a:solidFill>
                <a:schemeClr val="accent2"/>
              </a:solidFill>
            </a:rPr>
            <a:t> B</a:t>
          </a:r>
          <a:endParaRPr lang="en-GB" sz="1100" b="1">
            <a:solidFill>
              <a:schemeClr val="accent2"/>
            </a:solidFill>
          </a:endParaRPr>
        </a:p>
      </cdr:txBody>
    </cdr:sp>
  </cdr:relSizeAnchor>
  <cdr:relSizeAnchor xmlns:cdr="http://schemas.openxmlformats.org/drawingml/2006/chartDrawing">
    <cdr:from>
      <cdr:x>0.77568</cdr:x>
      <cdr:y>0.27675</cdr:y>
    </cdr:from>
    <cdr:to>
      <cdr:x>0.94989</cdr:x>
      <cdr:y>0.55489</cdr:y>
    </cdr:to>
    <cdr:sp macro="" textlink="">
      <cdr:nvSpPr>
        <cdr:cNvPr id="31" name="ZoneTexte 30"/>
        <cdr:cNvSpPr txBox="1"/>
      </cdr:nvSpPr>
      <cdr:spPr>
        <a:xfrm xmlns:a="http://schemas.openxmlformats.org/drawingml/2006/main" rot="20291795">
          <a:off x="4071445" y="90980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GB" sz="1100">
              <a:solidFill>
                <a:schemeClr val="accent2"/>
              </a:solidFill>
            </a:rPr>
            <a:t>zone C</a:t>
          </a:r>
        </a:p>
      </cdr:txBody>
    </cdr:sp>
  </cdr:relSizeAnchor>
</c:userShap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zoomScale="80" zoomScaleNormal="115" workbookViewId="0">
      <selection activeCell="F12" sqref="F12"/>
    </sheetView>
  </sheetViews>
  <sheetFormatPr baseColWidth="10" defaultRowHeight="14.5" x14ac:dyDescent="0.35"/>
  <cols>
    <col min="1" max="1" width="17.54296875" customWidth="1"/>
    <col min="2" max="2" width="17.1796875" customWidth="1"/>
  </cols>
  <sheetData>
    <row r="1" spans="1:4" ht="15" thickBot="1" x14ac:dyDescent="0.4">
      <c r="A1" s="1" t="s">
        <v>0</v>
      </c>
      <c r="B1" s="2" t="s">
        <v>1</v>
      </c>
      <c r="C1" t="s">
        <v>11</v>
      </c>
      <c r="D1" t="s">
        <v>12</v>
      </c>
    </row>
    <row r="2" spans="1:4" ht="39.5" thickBot="1" x14ac:dyDescent="0.4">
      <c r="A2" s="3" t="s">
        <v>4</v>
      </c>
      <c r="B2" s="4">
        <v>87</v>
      </c>
      <c r="C2" s="5">
        <f>B2/B11</f>
        <v>0.46524064171122997</v>
      </c>
      <c r="D2" s="6">
        <f>C2</f>
        <v>0.46524064171122997</v>
      </c>
    </row>
    <row r="3" spans="1:4" ht="26.5" thickBot="1" x14ac:dyDescent="0.4">
      <c r="A3" s="3" t="s">
        <v>8</v>
      </c>
      <c r="B3" s="4">
        <v>45</v>
      </c>
      <c r="C3" s="5">
        <f>B3/B11</f>
        <v>0.24064171122994651</v>
      </c>
      <c r="D3" s="6">
        <f t="shared" ref="D3:D10" si="0">D2+C3</f>
        <v>0.70588235294117652</v>
      </c>
    </row>
    <row r="4" spans="1:4" ht="39.5" thickBot="1" x14ac:dyDescent="0.4">
      <c r="A4" s="3" t="s">
        <v>7</v>
      </c>
      <c r="B4" s="4">
        <v>14</v>
      </c>
      <c r="C4" s="5">
        <f>B4/B11</f>
        <v>7.4866310160427801E-2</v>
      </c>
      <c r="D4" s="6">
        <f t="shared" si="0"/>
        <v>0.78074866310160429</v>
      </c>
    </row>
    <row r="5" spans="1:4" ht="39.5" thickBot="1" x14ac:dyDescent="0.4">
      <c r="A5" s="3" t="s">
        <v>9</v>
      </c>
      <c r="B5" s="4">
        <v>12</v>
      </c>
      <c r="C5" s="5">
        <f>B5/B11</f>
        <v>6.4171122994652413E-2</v>
      </c>
      <c r="D5" s="6">
        <f t="shared" si="0"/>
        <v>0.84491978609625673</v>
      </c>
    </row>
    <row r="6" spans="1:4" ht="26.5" thickBot="1" x14ac:dyDescent="0.4">
      <c r="A6" s="3" t="s">
        <v>2</v>
      </c>
      <c r="B6" s="4">
        <v>9</v>
      </c>
      <c r="C6" s="5">
        <f>B6/B11</f>
        <v>4.8128342245989303E-2</v>
      </c>
      <c r="D6" s="6">
        <f t="shared" si="0"/>
        <v>0.89304812834224601</v>
      </c>
    </row>
    <row r="7" spans="1:4" ht="26.5" thickBot="1" x14ac:dyDescent="0.4">
      <c r="A7" s="3" t="s">
        <v>3</v>
      </c>
      <c r="B7" s="4">
        <v>8</v>
      </c>
      <c r="C7" s="5">
        <f>B7/B11</f>
        <v>4.2780748663101602E-2</v>
      </c>
      <c r="D7" s="6">
        <f t="shared" si="0"/>
        <v>0.93582887700534756</v>
      </c>
    </row>
    <row r="8" spans="1:4" ht="39.5" thickBot="1" x14ac:dyDescent="0.4">
      <c r="A8" s="3" t="s">
        <v>6</v>
      </c>
      <c r="B8" s="4">
        <v>7</v>
      </c>
      <c r="C8" s="5">
        <f>B8/B11</f>
        <v>3.7433155080213901E-2</v>
      </c>
      <c r="D8" s="6">
        <f t="shared" si="0"/>
        <v>0.9732620320855615</v>
      </c>
    </row>
    <row r="9" spans="1:4" ht="26.5" thickBot="1" x14ac:dyDescent="0.4">
      <c r="A9" s="3" t="s">
        <v>5</v>
      </c>
      <c r="B9" s="4">
        <v>3</v>
      </c>
      <c r="C9" s="5">
        <f>B9/B11</f>
        <v>1.6042780748663103E-2</v>
      </c>
      <c r="D9" s="6">
        <f t="shared" si="0"/>
        <v>0.98930481283422456</v>
      </c>
    </row>
    <row r="10" spans="1:4" ht="52.5" thickBot="1" x14ac:dyDescent="0.4">
      <c r="A10" s="3" t="s">
        <v>10</v>
      </c>
      <c r="B10" s="4">
        <v>2</v>
      </c>
      <c r="C10" s="5">
        <f>B10/B11</f>
        <v>1.06951871657754E-2</v>
      </c>
      <c r="D10" s="6">
        <f t="shared" si="0"/>
        <v>1</v>
      </c>
    </row>
    <row r="11" spans="1:4" x14ac:dyDescent="0.35">
      <c r="A11" s="7" t="s">
        <v>13</v>
      </c>
      <c r="B11">
        <f>SUM(B2:B10)</f>
        <v>187</v>
      </c>
    </row>
  </sheetData>
  <sortState ref="A2:B10">
    <sortCondition descending="1" ref="B2:B10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74" zoomScaleNormal="145" workbookViewId="0">
      <selection activeCell="D2" sqref="D2"/>
    </sheetView>
  </sheetViews>
  <sheetFormatPr baseColWidth="10" defaultRowHeight="14.5" x14ac:dyDescent="0.35"/>
  <cols>
    <col min="2" max="2" width="15.7265625" customWidth="1"/>
    <col min="3" max="3" width="13.08984375" customWidth="1"/>
    <col min="5" max="5" width="12.08984375" customWidth="1"/>
    <col min="6" max="6" width="15.90625" customWidth="1"/>
    <col min="7" max="7" width="18.26953125" customWidth="1"/>
  </cols>
  <sheetData>
    <row r="1" spans="1:7" ht="39.65" customHeight="1" thickBot="1" x14ac:dyDescent="0.4">
      <c r="A1" s="8" t="s">
        <v>14</v>
      </c>
      <c r="B1" s="9" t="s">
        <v>15</v>
      </c>
      <c r="C1" s="9" t="s">
        <v>16</v>
      </c>
      <c r="D1" s="12" t="s">
        <v>17</v>
      </c>
      <c r="E1" s="12" t="s">
        <v>19</v>
      </c>
      <c r="F1" s="12" t="s">
        <v>18</v>
      </c>
      <c r="G1" t="s">
        <v>20</v>
      </c>
    </row>
    <row r="2" spans="1:7" ht="15" thickBot="1" x14ac:dyDescent="0.4">
      <c r="A2" s="13">
        <v>11</v>
      </c>
      <c r="B2" s="11">
        <v>150</v>
      </c>
      <c r="C2" s="11">
        <v>9</v>
      </c>
      <c r="D2" s="5">
        <f>B2/B16</f>
        <v>0.21067415730337077</v>
      </c>
      <c r="E2" s="6">
        <f>D2</f>
        <v>0.21067415730337077</v>
      </c>
      <c r="F2" s="5">
        <f>C2/C16</f>
        <v>5.6250000000000001E-2</v>
      </c>
      <c r="G2" s="6">
        <f>F2</f>
        <v>5.6250000000000001E-2</v>
      </c>
    </row>
    <row r="3" spans="1:7" ht="15" thickBot="1" x14ac:dyDescent="0.4">
      <c r="A3" s="13">
        <v>1</v>
      </c>
      <c r="B3" s="11">
        <v>105</v>
      </c>
      <c r="C3" s="11">
        <v>5</v>
      </c>
      <c r="D3" s="5">
        <f>B3/B16</f>
        <v>0.14747191011235955</v>
      </c>
      <c r="E3" s="6">
        <f t="shared" ref="E3:E15" si="0">E2+D3</f>
        <v>0.3581460674157303</v>
      </c>
      <c r="F3" s="5">
        <f>C3/C16</f>
        <v>3.125E-2</v>
      </c>
      <c r="G3" s="6">
        <f t="shared" ref="G3:G15" si="1">G2+F3</f>
        <v>8.7499999999999994E-2</v>
      </c>
    </row>
    <row r="4" spans="1:7" ht="15" thickBot="1" x14ac:dyDescent="0.4">
      <c r="A4" s="13">
        <v>8</v>
      </c>
      <c r="B4" s="11">
        <v>75</v>
      </c>
      <c r="C4" s="11">
        <v>3</v>
      </c>
      <c r="D4" s="5">
        <f>B4/B16</f>
        <v>0.10533707865168539</v>
      </c>
      <c r="E4" s="6">
        <f t="shared" si="0"/>
        <v>0.4634831460674157</v>
      </c>
      <c r="F4" s="5">
        <f>C4/C16</f>
        <v>1.8749999999999999E-2</v>
      </c>
      <c r="G4" s="6">
        <f t="shared" si="1"/>
        <v>0.10625</v>
      </c>
    </row>
    <row r="5" spans="1:7" ht="15" thickBot="1" x14ac:dyDescent="0.4">
      <c r="A5" s="13">
        <v>10</v>
      </c>
      <c r="B5" s="11">
        <v>65</v>
      </c>
      <c r="C5" s="11">
        <v>10</v>
      </c>
      <c r="D5" s="5">
        <f>B5/B16</f>
        <v>9.1292134831460675E-2</v>
      </c>
      <c r="E5" s="6">
        <f t="shared" si="0"/>
        <v>0.5547752808988764</v>
      </c>
      <c r="F5" s="5">
        <f>C5/C16</f>
        <v>6.25E-2</v>
      </c>
      <c r="G5" s="6">
        <f t="shared" si="1"/>
        <v>0.16875000000000001</v>
      </c>
    </row>
    <row r="6" spans="1:7" ht="15" thickBot="1" x14ac:dyDescent="0.4">
      <c r="A6" s="13">
        <v>3</v>
      </c>
      <c r="B6" s="11">
        <v>55</v>
      </c>
      <c r="C6" s="11">
        <v>55</v>
      </c>
      <c r="D6" s="5">
        <f>B6/B16</f>
        <v>7.7247191011235949E-2</v>
      </c>
      <c r="E6" s="6">
        <f t="shared" si="0"/>
        <v>0.6320224719101124</v>
      </c>
      <c r="F6" s="5">
        <f>C6/C16</f>
        <v>0.34375</v>
      </c>
      <c r="G6" s="6">
        <f t="shared" si="1"/>
        <v>0.51249999999999996</v>
      </c>
    </row>
    <row r="7" spans="1:7" ht="15" thickBot="1" x14ac:dyDescent="0.4">
      <c r="A7" s="13">
        <v>9</v>
      </c>
      <c r="B7" s="11">
        <v>55</v>
      </c>
      <c r="C7" s="11">
        <v>7</v>
      </c>
      <c r="D7" s="5">
        <f>B7/B16</f>
        <v>7.7247191011235949E-2</v>
      </c>
      <c r="E7" s="6">
        <f t="shared" si="0"/>
        <v>0.70926966292134841</v>
      </c>
      <c r="F7" s="5">
        <f>C7/C16</f>
        <v>4.3749999999999997E-2</v>
      </c>
      <c r="G7" s="6">
        <f t="shared" si="1"/>
        <v>0.55624999999999991</v>
      </c>
    </row>
    <row r="8" spans="1:7" ht="15" thickBot="1" x14ac:dyDescent="0.4">
      <c r="A8" s="13">
        <v>5</v>
      </c>
      <c r="B8" s="11">
        <v>44</v>
      </c>
      <c r="C8" s="11">
        <v>7</v>
      </c>
      <c r="D8" s="5">
        <f>B8/B16</f>
        <v>6.1797752808988762E-2</v>
      </c>
      <c r="E8" s="6">
        <f t="shared" si="0"/>
        <v>0.77106741573033721</v>
      </c>
      <c r="F8" s="5">
        <f>C8/C16</f>
        <v>4.3749999999999997E-2</v>
      </c>
      <c r="G8" s="6">
        <f t="shared" si="1"/>
        <v>0.59999999999999987</v>
      </c>
    </row>
    <row r="9" spans="1:7" ht="15" thickBot="1" x14ac:dyDescent="0.4">
      <c r="A9" s="10">
        <v>2</v>
      </c>
      <c r="B9" s="11">
        <v>40</v>
      </c>
      <c r="C9" s="11">
        <v>18</v>
      </c>
      <c r="D9" s="5">
        <f>B9/B16</f>
        <v>5.6179775280898875E-2</v>
      </c>
      <c r="E9" s="6">
        <f t="shared" si="0"/>
        <v>0.82724719101123612</v>
      </c>
      <c r="F9" s="5">
        <f>C9/C16</f>
        <v>0.1125</v>
      </c>
      <c r="G9" s="6">
        <f t="shared" si="1"/>
        <v>0.71249999999999991</v>
      </c>
    </row>
    <row r="10" spans="1:7" ht="15" thickBot="1" x14ac:dyDescent="0.4">
      <c r="A10" s="10">
        <v>7</v>
      </c>
      <c r="B10" s="11">
        <v>40</v>
      </c>
      <c r="C10" s="11">
        <v>13</v>
      </c>
      <c r="D10" s="5">
        <f>B10/B16</f>
        <v>5.6179775280898875E-2</v>
      </c>
      <c r="E10" s="6">
        <f t="shared" si="0"/>
        <v>0.88342696629213502</v>
      </c>
      <c r="F10" s="5">
        <f>C10/C16</f>
        <v>8.1250000000000003E-2</v>
      </c>
      <c r="G10" s="6">
        <f t="shared" si="1"/>
        <v>0.79374999999999996</v>
      </c>
    </row>
    <row r="11" spans="1:7" ht="15" thickBot="1" x14ac:dyDescent="0.4">
      <c r="A11" s="10">
        <v>6</v>
      </c>
      <c r="B11" s="11">
        <v>30</v>
      </c>
      <c r="C11" s="11">
        <v>8</v>
      </c>
      <c r="D11" s="5">
        <f>B11/B16</f>
        <v>4.2134831460674156E-2</v>
      </c>
      <c r="E11" s="6">
        <f t="shared" si="0"/>
        <v>0.92556179775280922</v>
      </c>
      <c r="F11" s="5">
        <f>C11/C16</f>
        <v>0.05</v>
      </c>
      <c r="G11" s="6">
        <f t="shared" si="1"/>
        <v>0.84375</v>
      </c>
    </row>
    <row r="12" spans="1:7" ht="15" thickBot="1" x14ac:dyDescent="0.4">
      <c r="A12" s="10">
        <v>4</v>
      </c>
      <c r="B12" s="11">
        <v>22</v>
      </c>
      <c r="C12" s="11">
        <v>11</v>
      </c>
      <c r="D12" s="5">
        <f>B12/B16</f>
        <v>3.0898876404494381E-2</v>
      </c>
      <c r="E12" s="6">
        <f t="shared" si="0"/>
        <v>0.95646067415730363</v>
      </c>
      <c r="F12" s="5">
        <f>C12/C16</f>
        <v>6.8750000000000006E-2</v>
      </c>
      <c r="G12" s="6">
        <f t="shared" si="1"/>
        <v>0.91249999999999998</v>
      </c>
    </row>
    <row r="13" spans="1:7" ht="15" thickBot="1" x14ac:dyDescent="0.4">
      <c r="A13" s="10">
        <v>14</v>
      </c>
      <c r="B13" s="11">
        <v>17</v>
      </c>
      <c r="C13" s="11">
        <v>3</v>
      </c>
      <c r="D13" s="5">
        <f>B13/B16</f>
        <v>2.3876404494382022E-2</v>
      </c>
      <c r="E13" s="6">
        <f t="shared" si="0"/>
        <v>0.98033707865168562</v>
      </c>
      <c r="F13" s="5">
        <f>C13/C16</f>
        <v>1.8749999999999999E-2</v>
      </c>
      <c r="G13" s="6">
        <f t="shared" si="1"/>
        <v>0.93125000000000002</v>
      </c>
    </row>
    <row r="14" spans="1:7" ht="15" thickBot="1" x14ac:dyDescent="0.4">
      <c r="A14" s="10">
        <v>13</v>
      </c>
      <c r="B14" s="11">
        <v>10</v>
      </c>
      <c r="C14" s="11">
        <v>7</v>
      </c>
      <c r="D14" s="5">
        <f>B14/B16</f>
        <v>1.4044943820224719E-2</v>
      </c>
      <c r="E14" s="6">
        <f t="shared" si="0"/>
        <v>0.99438202247191032</v>
      </c>
      <c r="F14" s="5">
        <f>C14/C16</f>
        <v>4.3749999999999997E-2</v>
      </c>
      <c r="G14" s="6">
        <f t="shared" si="1"/>
        <v>0.97499999999999998</v>
      </c>
    </row>
    <row r="15" spans="1:7" ht="15" thickBot="1" x14ac:dyDescent="0.4">
      <c r="A15" s="10">
        <v>12</v>
      </c>
      <c r="B15" s="11">
        <v>4</v>
      </c>
      <c r="C15" s="11">
        <v>4</v>
      </c>
      <c r="D15" s="5">
        <f>B15/B16</f>
        <v>5.6179775280898875E-3</v>
      </c>
      <c r="E15" s="6">
        <f t="shared" si="0"/>
        <v>1.0000000000000002</v>
      </c>
      <c r="F15" s="5">
        <f>C15/C16</f>
        <v>2.5000000000000001E-2</v>
      </c>
      <c r="G15" s="6">
        <f t="shared" si="1"/>
        <v>1</v>
      </c>
    </row>
    <row r="16" spans="1:7" x14ac:dyDescent="0.35">
      <c r="B16">
        <f>SUM(B2:B15)</f>
        <v>712</v>
      </c>
      <c r="C16">
        <f>SUM(C2:C15)</f>
        <v>160</v>
      </c>
    </row>
  </sheetData>
  <sortState ref="A2:C15">
    <sortCondition descending="1" ref="B2:B1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F4" sqref="F4"/>
    </sheetView>
  </sheetViews>
  <sheetFormatPr baseColWidth="10" defaultRowHeight="14.5" x14ac:dyDescent="0.35"/>
  <sheetData>
    <row r="1" spans="1:4" ht="39.5" thickBot="1" x14ac:dyDescent="0.4">
      <c r="A1" s="8" t="s">
        <v>14</v>
      </c>
      <c r="B1" s="9" t="s">
        <v>15</v>
      </c>
      <c r="C1" s="9" t="s">
        <v>16</v>
      </c>
      <c r="D1" s="14" t="s">
        <v>21</v>
      </c>
    </row>
    <row r="2" spans="1:4" ht="15" thickBot="1" x14ac:dyDescent="0.4">
      <c r="A2" s="13">
        <v>11</v>
      </c>
      <c r="B2" s="11">
        <v>150</v>
      </c>
      <c r="C2" s="11">
        <v>9</v>
      </c>
      <c r="D2">
        <f>B2/B16%</f>
        <v>21.067415730337078</v>
      </c>
    </row>
    <row r="3" spans="1:4" ht="15" thickBot="1" x14ac:dyDescent="0.4">
      <c r="A3" s="13">
        <v>1</v>
      </c>
      <c r="B3" s="11">
        <v>105</v>
      </c>
      <c r="C3" s="11">
        <v>5</v>
      </c>
      <c r="D3">
        <f>B3/B16%</f>
        <v>14.747191011235955</v>
      </c>
    </row>
    <row r="4" spans="1:4" ht="15" thickBot="1" x14ac:dyDescent="0.4">
      <c r="A4" s="13">
        <v>8</v>
      </c>
      <c r="B4" s="11">
        <v>75</v>
      </c>
      <c r="C4" s="11">
        <v>3</v>
      </c>
      <c r="D4">
        <f>B4/B16%</f>
        <v>10.533707865168539</v>
      </c>
    </row>
    <row r="5" spans="1:4" ht="15" thickBot="1" x14ac:dyDescent="0.4">
      <c r="A5" s="13">
        <v>10</v>
      </c>
      <c r="B5" s="11">
        <v>65</v>
      </c>
      <c r="C5" s="11">
        <v>10</v>
      </c>
      <c r="D5">
        <f>B5/B16%</f>
        <v>9.1292134831460672</v>
      </c>
    </row>
    <row r="6" spans="1:4" ht="15" thickBot="1" x14ac:dyDescent="0.4">
      <c r="A6" s="13">
        <v>3</v>
      </c>
      <c r="B6" s="11">
        <v>55</v>
      </c>
      <c r="C6" s="11">
        <v>55</v>
      </c>
      <c r="D6">
        <f>B6/B16%</f>
        <v>7.7247191011235952</v>
      </c>
    </row>
    <row r="7" spans="1:4" ht="15" thickBot="1" x14ac:dyDescent="0.4">
      <c r="A7" s="13">
        <v>9</v>
      </c>
      <c r="B7" s="11">
        <v>55</v>
      </c>
      <c r="C7" s="11">
        <v>7</v>
      </c>
      <c r="D7">
        <f>B7/B16%</f>
        <v>7.7247191011235952</v>
      </c>
    </row>
    <row r="8" spans="1:4" ht="15" thickBot="1" x14ac:dyDescent="0.4">
      <c r="A8" s="13">
        <v>5</v>
      </c>
      <c r="B8" s="11">
        <v>44</v>
      </c>
      <c r="C8" s="11">
        <v>7</v>
      </c>
      <c r="D8" t="e">
        <f t="shared" ref="D3:D15" si="0">B8/B22%</f>
        <v>#DIV/0!</v>
      </c>
    </row>
    <row r="9" spans="1:4" ht="15" thickBot="1" x14ac:dyDescent="0.4">
      <c r="A9" s="10">
        <v>2</v>
      </c>
      <c r="B9" s="11">
        <v>40</v>
      </c>
      <c r="C9" s="11">
        <v>18</v>
      </c>
      <c r="D9" t="e">
        <f t="shared" si="0"/>
        <v>#DIV/0!</v>
      </c>
    </row>
    <row r="10" spans="1:4" ht="15" thickBot="1" x14ac:dyDescent="0.4">
      <c r="A10" s="10">
        <v>7</v>
      </c>
      <c r="B10" s="11">
        <v>40</v>
      </c>
      <c r="C10" s="11">
        <v>13</v>
      </c>
      <c r="D10" t="e">
        <f t="shared" si="0"/>
        <v>#DIV/0!</v>
      </c>
    </row>
    <row r="11" spans="1:4" ht="15" thickBot="1" x14ac:dyDescent="0.4">
      <c r="A11" s="10">
        <v>6</v>
      </c>
      <c r="B11" s="11">
        <v>30</v>
      </c>
      <c r="C11" s="11">
        <v>8</v>
      </c>
      <c r="D11" t="e">
        <f t="shared" si="0"/>
        <v>#DIV/0!</v>
      </c>
    </row>
    <row r="12" spans="1:4" ht="15" thickBot="1" x14ac:dyDescent="0.4">
      <c r="A12" s="10">
        <v>4</v>
      </c>
      <c r="B12" s="11">
        <v>22</v>
      </c>
      <c r="C12" s="11">
        <v>11</v>
      </c>
      <c r="D12" t="e">
        <f t="shared" si="0"/>
        <v>#DIV/0!</v>
      </c>
    </row>
    <row r="13" spans="1:4" ht="15" thickBot="1" x14ac:dyDescent="0.4">
      <c r="A13" s="10">
        <v>14</v>
      </c>
      <c r="B13" s="11">
        <v>17</v>
      </c>
      <c r="C13" s="11">
        <v>3</v>
      </c>
      <c r="D13" t="e">
        <f t="shared" si="0"/>
        <v>#DIV/0!</v>
      </c>
    </row>
    <row r="14" spans="1:4" ht="15" thickBot="1" x14ac:dyDescent="0.4">
      <c r="A14" s="10">
        <v>13</v>
      </c>
      <c r="B14" s="11">
        <v>10</v>
      </c>
      <c r="C14" s="11">
        <v>7</v>
      </c>
      <c r="D14" t="e">
        <f t="shared" si="0"/>
        <v>#DIV/0!</v>
      </c>
    </row>
    <row r="15" spans="1:4" ht="15" thickBot="1" x14ac:dyDescent="0.4">
      <c r="A15" s="10">
        <v>12</v>
      </c>
      <c r="B15" s="11">
        <v>4</v>
      </c>
      <c r="C15" s="11">
        <v>4</v>
      </c>
      <c r="D15" t="e">
        <f t="shared" si="0"/>
        <v>#DIV/0!</v>
      </c>
    </row>
    <row r="16" spans="1:4" x14ac:dyDescent="0.35">
      <c r="B16">
        <f>SUM(B2:B15)</f>
        <v>712</v>
      </c>
      <c r="C16">
        <f>SUM(C2:C15)</f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Vostro</cp:lastModifiedBy>
  <dcterms:created xsi:type="dcterms:W3CDTF">2024-10-02T08:02:42Z</dcterms:created>
  <dcterms:modified xsi:type="dcterms:W3CDTF">2024-11-19T23:38:09Z</dcterms:modified>
</cp:coreProperties>
</file>