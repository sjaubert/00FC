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cfaicentre-my.sharepoint.com/personal/s_jaubert_poleformation-uimmcvdl_fr/Documents/Bachelor/2024 BACH/IP-RI/Stage 3 MSP - Cartes/"/>
    </mc:Choice>
  </mc:AlternateContent>
  <xr:revisionPtr revIDLastSave="87" documentId="8_{603732F2-DA92-4C83-ABA0-DD164A840EEF}" xr6:coauthVersionLast="47" xr6:coauthVersionMax="47" xr10:uidLastSave="{CDC33500-4336-46C3-BE50-111DDC46DC4A}"/>
  <bookViews>
    <workbookView xWindow="-120" yWindow="-120" windowWidth="19440" windowHeight="11640" activeTab="1" xr2:uid="{D904D84F-1924-4EBD-A699-E49FC0BA5AE7}"/>
  </bookViews>
  <sheets>
    <sheet name="Feuil1" sheetId="1" r:id="rId1"/>
    <sheet name="Question 6"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1" l="1"/>
  <c r="F10" i="1"/>
  <c r="G10" i="1"/>
  <c r="H10" i="1"/>
  <c r="I10" i="1"/>
  <c r="J10" i="1"/>
  <c r="K10" i="1"/>
  <c r="L10" i="1"/>
  <c r="M10" i="1"/>
  <c r="D10" i="1"/>
  <c r="C6" i="2"/>
  <c r="C3" i="2"/>
  <c r="C2" i="2"/>
  <c r="E10" i="2" s="1"/>
  <c r="D9" i="1"/>
  <c r="E11" i="1"/>
  <c r="F11" i="1"/>
  <c r="G11" i="1"/>
  <c r="H11" i="1"/>
  <c r="I11" i="1"/>
  <c r="J11" i="1"/>
  <c r="K11" i="1"/>
  <c r="L11" i="1"/>
  <c r="M11" i="1"/>
  <c r="D11" i="1"/>
  <c r="E9" i="1"/>
  <c r="F9" i="1"/>
  <c r="G9" i="1"/>
  <c r="H9" i="1"/>
  <c r="I9" i="1"/>
  <c r="J9" i="1"/>
  <c r="K9" i="1"/>
  <c r="L9" i="1"/>
  <c r="M9" i="1"/>
  <c r="N10" i="1" l="1"/>
  <c r="N11" i="1"/>
  <c r="T11" i="1" s="1"/>
  <c r="C4" i="2"/>
  <c r="C7" i="2" s="1"/>
  <c r="F10" i="2" s="1"/>
  <c r="E11" i="2" s="1"/>
  <c r="F11" i="2" s="1"/>
  <c r="E12" i="2" s="1"/>
  <c r="F12" i="2" s="1"/>
  <c r="E13" i="2" s="1"/>
  <c r="F13" i="2" s="1"/>
  <c r="E14" i="2" s="1"/>
  <c r="F14" i="2" s="1"/>
  <c r="E15" i="2" s="1"/>
  <c r="F15" i="2" s="1"/>
  <c r="E16" i="2" s="1"/>
  <c r="F16" i="2" s="1"/>
  <c r="T7" i="1" l="1"/>
  <c r="T10" i="1"/>
  <c r="T9" i="1"/>
  <c r="T6" i="1"/>
  <c r="T8" i="1"/>
  <c r="G36" i="2"/>
  <c r="G10" i="2" a="1"/>
  <c r="G38" i="2" l="1"/>
  <c r="G39" i="2"/>
  <c r="G10" i="2"/>
  <c r="G13" i="2"/>
  <c r="G11" i="2"/>
  <c r="G16" i="2"/>
  <c r="G14" i="2"/>
  <c r="G12" i="2"/>
  <c r="G15" i="2"/>
  <c r="G17" i="2" l="1"/>
  <c r="H10" i="2"/>
  <c r="I10" i="2" l="1"/>
  <c r="J10" i="2" s="1"/>
  <c r="H11" i="2"/>
  <c r="I11" i="2" l="1"/>
  <c r="J11" i="2" s="1"/>
  <c r="H12" i="2"/>
  <c r="H13" i="2" l="1"/>
  <c r="I12" i="2"/>
  <c r="J12" i="2" s="1"/>
  <c r="H14" i="2" l="1"/>
  <c r="I13" i="2"/>
  <c r="J13" i="2" s="1"/>
  <c r="H15" i="2" l="1"/>
  <c r="I14" i="2"/>
  <c r="J14" i="2" s="1"/>
  <c r="H16" i="2" l="1"/>
  <c r="I16" i="2" s="1"/>
  <c r="J16" i="2" s="1"/>
  <c r="I15" i="2"/>
  <c r="J15" i="2" s="1"/>
</calcChain>
</file>

<file path=xl/sharedStrings.xml><?xml version="1.0" encoding="utf-8"?>
<sst xmlns="http://schemas.openxmlformats.org/spreadsheetml/2006/main" count="39" uniqueCount="39">
  <si>
    <t>Repère des pièces</t>
  </si>
  <si>
    <t>1 à 5</t>
  </si>
  <si>
    <t>6 à 10</t>
  </si>
  <si>
    <t>11 à 15</t>
  </si>
  <si>
    <t>16 à 20</t>
  </si>
  <si>
    <t>21 à 25</t>
  </si>
  <si>
    <t>26 à 30</t>
  </si>
  <si>
    <t>31 à 35</t>
  </si>
  <si>
    <t>36 à 40</t>
  </si>
  <si>
    <t>41 à 45</t>
  </si>
  <si>
    <t>46 à 50</t>
  </si>
  <si>
    <t>Résultats des mesures</t>
  </si>
  <si>
    <r>
      <t xml:space="preserve">S </t>
    </r>
    <r>
      <rPr>
        <i/>
        <sz val="10"/>
        <rFont val="Arial"/>
        <family val="2"/>
      </rPr>
      <t>x</t>
    </r>
    <r>
      <rPr>
        <i/>
        <vertAlign val="subscript"/>
        <sz val="10"/>
        <rFont val="Arial"/>
        <family val="2"/>
      </rPr>
      <t>i</t>
    </r>
  </si>
  <si>
    <t xml:space="preserve">Moyenne </t>
  </si>
  <si>
    <t>Etendue R</t>
  </si>
  <si>
    <t>A'C</t>
  </si>
  <si>
    <t>A'S</t>
  </si>
  <si>
    <t>D'C2</t>
  </si>
  <si>
    <t>D'S2</t>
  </si>
  <si>
    <t>LCS</t>
  </si>
  <si>
    <t>LCI</t>
  </si>
  <si>
    <t>LSS</t>
  </si>
  <si>
    <t>LSI</t>
  </si>
  <si>
    <t>LC2</t>
  </si>
  <si>
    <t>LS2</t>
  </si>
  <si>
    <t>Minimum</t>
  </si>
  <si>
    <t>Maximum</t>
  </si>
  <si>
    <t>Etendue</t>
  </si>
  <si>
    <t>Nb de données</t>
  </si>
  <si>
    <t>Nb de classes</t>
  </si>
  <si>
    <t>Amplitude d'une classe</t>
  </si>
  <si>
    <t>Classes</t>
  </si>
  <si>
    <t>ni</t>
  </si>
  <si>
    <t>ECC Ni</t>
  </si>
  <si>
    <t>FCC Fi</t>
  </si>
  <si>
    <t>Quantile théorique</t>
  </si>
  <si>
    <t>Sigma</t>
  </si>
  <si>
    <t>Cp</t>
  </si>
  <si>
    <t>Cpk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</si>
</sst>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8" x14ac:knownFonts="1">
    <font>
      <sz val="11"/>
      <color theme="1"/>
      <name val="Calibri"/>
      <family val="2"/>
      <scheme val="minor"/>
    </font>
    <font>
      <i/>
      <sz val="10"/>
      <name val="Arial"/>
      <family val="2"/>
    </font>
    <font>
      <i/>
      <sz val="10"/>
      <name val="Symbol"/>
      <family val="1"/>
      <charset val="2"/>
    </font>
    <font>
      <i/>
      <vertAlign val="subscript"/>
      <sz val="10"/>
      <name val="Arial"/>
      <family val="2"/>
    </font>
    <font>
      <b/>
      <sz val="16"/>
      <color theme="1"/>
      <name val="Calibri"/>
      <family val="2"/>
      <scheme val="minor"/>
    </font>
    <font>
      <b/>
      <sz val="14"/>
      <color theme="1"/>
      <name val="Calibri"/>
      <family val="2"/>
      <scheme val="minor"/>
    </font>
    <font>
      <sz val="11"/>
      <color theme="1"/>
      <name val="Calibri"/>
      <family val="2"/>
      <scheme val="minor"/>
    </font>
    <font>
      <sz val="11"/>
      <color theme="1"/>
      <name val="Cambria Math"/>
      <family val="1"/>
    </font>
  </fonts>
  <fills count="6">
    <fill>
      <patternFill patternType="none"/>
    </fill>
    <fill>
      <patternFill patternType="gray125"/>
    </fill>
    <fill>
      <patternFill patternType="solid">
        <fgColor indexed="44"/>
        <bgColor indexed="64"/>
      </patternFill>
    </fill>
    <fill>
      <patternFill patternType="solid">
        <fgColor rgb="FFFFFF00"/>
        <bgColor indexed="64"/>
      </patternFill>
    </fill>
    <fill>
      <patternFill patternType="solid">
        <fgColor theme="4" tint="0.79998168889431442"/>
        <bgColor indexed="64"/>
      </patternFill>
    </fill>
    <fill>
      <patternFill patternType="solid">
        <fgColor theme="7" tint="0.79998168889431442"/>
        <bgColor indexed="64"/>
      </patternFill>
    </fill>
  </fills>
  <borders count="20">
    <border>
      <left/>
      <right/>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double">
        <color indexed="64"/>
      </left>
      <right/>
      <top/>
      <bottom/>
      <diagonal/>
    </border>
    <border>
      <left/>
      <right style="double">
        <color indexed="64"/>
      </right>
      <top/>
      <bottom/>
      <diagonal/>
    </border>
    <border>
      <left style="thin">
        <color indexed="64"/>
      </left>
      <right style="thin">
        <color indexed="64"/>
      </right>
      <top style="thin">
        <color indexed="64"/>
      </top>
      <bottom style="double">
        <color indexed="64"/>
      </bottom>
      <diagonal/>
    </border>
    <border>
      <left style="double">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top/>
      <bottom style="double">
        <color indexed="64"/>
      </bottom>
      <diagonal/>
    </border>
    <border>
      <left/>
      <right style="double">
        <color indexed="64"/>
      </right>
      <top/>
      <bottom style="double">
        <color indexed="64"/>
      </bottom>
      <diagonal/>
    </border>
    <border>
      <left style="double">
        <color indexed="64"/>
      </left>
      <right style="thin">
        <color indexed="64"/>
      </right>
      <top style="thin">
        <color indexed="64"/>
      </top>
      <bottom style="double">
        <color indexed="64"/>
      </bottom>
      <diagonal/>
    </border>
    <border>
      <left style="double">
        <color indexed="64"/>
      </left>
      <right/>
      <top style="thin">
        <color indexed="64"/>
      </top>
      <bottom style="double">
        <color indexed="64"/>
      </bottom>
      <diagonal/>
    </border>
  </borders>
  <cellStyleXfs count="2">
    <xf numFmtId="0" fontId="0" fillId="0" borderId="0"/>
    <xf numFmtId="9" fontId="6" fillId="0" borderId="0" applyFont="0" applyFill="0" applyBorder="0" applyAlignment="0" applyProtection="0"/>
  </cellStyleXfs>
  <cellXfs count="34">
    <xf numFmtId="0" fontId="0" fillId="0" borderId="0" xfId="0"/>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0" fillId="2" borderId="8" xfId="0" applyFill="1" applyBorder="1" applyAlignment="1">
      <alignment horizontal="center" vertical="center"/>
    </xf>
    <xf numFmtId="0" fontId="0" fillId="2" borderId="11" xfId="0" applyFill="1" applyBorder="1" applyAlignment="1">
      <alignment horizontal="center" vertical="center"/>
    </xf>
    <xf numFmtId="0" fontId="0" fillId="2" borderId="14" xfId="0" applyFill="1" applyBorder="1" applyAlignment="1">
      <alignment horizontal="center" vertical="center"/>
    </xf>
    <xf numFmtId="0" fontId="0" fillId="2" borderId="18" xfId="0" applyFill="1" applyBorder="1" applyAlignment="1">
      <alignment horizontal="center" vertical="center"/>
    </xf>
    <xf numFmtId="0" fontId="4" fillId="3" borderId="15" xfId="0" applyFont="1" applyFill="1" applyBorder="1" applyAlignment="1">
      <alignment horizontal="center" vertical="center"/>
    </xf>
    <xf numFmtId="0" fontId="5" fillId="0" borderId="15" xfId="0" applyFont="1" applyBorder="1" applyAlignment="1">
      <alignment horizontal="center"/>
    </xf>
    <xf numFmtId="0" fontId="0" fillId="0" borderId="15" xfId="0" applyBorder="1"/>
    <xf numFmtId="165" fontId="0" fillId="0" borderId="15" xfId="0" applyNumberFormat="1" applyBorder="1"/>
    <xf numFmtId="166" fontId="0" fillId="0" borderId="15" xfId="1" applyNumberFormat="1" applyFont="1" applyBorder="1"/>
    <xf numFmtId="0" fontId="0" fillId="4" borderId="15" xfId="0" applyFill="1" applyBorder="1" applyAlignment="1">
      <alignment horizontal="center" vertical="center"/>
    </xf>
    <xf numFmtId="0" fontId="0" fillId="4" borderId="15" xfId="0" applyFill="1" applyBorder="1" applyAlignment="1">
      <alignment horizontal="center" vertical="center" wrapText="1"/>
    </xf>
    <xf numFmtId="164" fontId="4" fillId="3" borderId="15" xfId="0" applyNumberFormat="1" applyFont="1" applyFill="1" applyBorder="1" applyAlignment="1">
      <alignment horizontal="center" vertical="center"/>
    </xf>
    <xf numFmtId="0" fontId="7" fillId="0" borderId="0" xfId="0" applyFont="1"/>
    <xf numFmtId="0" fontId="0" fillId="3" borderId="15" xfId="0" applyFill="1" applyBorder="1" applyAlignment="1">
      <alignment horizontal="center"/>
    </xf>
    <xf numFmtId="1" fontId="0" fillId="0" borderId="15" xfId="0" applyNumberFormat="1" applyBorder="1"/>
    <xf numFmtId="0" fontId="0" fillId="5" borderId="14" xfId="0" applyFill="1" applyBorder="1" applyAlignment="1">
      <alignment horizontal="center" vertical="center"/>
    </xf>
    <xf numFmtId="0" fontId="0" fillId="5" borderId="18" xfId="0" applyFill="1" applyBorder="1" applyAlignment="1">
      <alignment horizontal="center" vertical="center"/>
    </xf>
    <xf numFmtId="0" fontId="0" fillId="5" borderId="19" xfId="0" applyFill="1" applyBorder="1" applyAlignment="1">
      <alignment horizontal="center" vertical="center"/>
    </xf>
    <xf numFmtId="0" fontId="1" fillId="2" borderId="1" xfId="0" applyFont="1" applyFill="1" applyBorder="1" applyAlignment="1">
      <alignment horizontal="center" vertical="center" wrapText="1"/>
    </xf>
    <xf numFmtId="0" fontId="0" fillId="0" borderId="2" xfId="0"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xf>
    <xf numFmtId="0" fontId="0" fillId="4" borderId="15" xfId="0" applyFill="1" applyBorder="1" applyAlignment="1">
      <alignment horizontal="center" vertical="center"/>
    </xf>
    <xf numFmtId="2" fontId="0" fillId="3" borderId="15" xfId="0" applyNumberFormat="1" applyFill="1" applyBorder="1" applyAlignment="1">
      <alignment horizontal="center"/>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Carte des Xbar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Feuil1!$D$10:$M$10</c:f>
              <c:numCache>
                <c:formatCode>General</c:formatCode>
                <c:ptCount val="10"/>
                <c:pt idx="0">
                  <c:v>11.863999999999999</c:v>
                </c:pt>
                <c:pt idx="1">
                  <c:v>11.862</c:v>
                </c:pt>
                <c:pt idx="2">
                  <c:v>11.884</c:v>
                </c:pt>
                <c:pt idx="3">
                  <c:v>11.898</c:v>
                </c:pt>
                <c:pt idx="4">
                  <c:v>11.91</c:v>
                </c:pt>
                <c:pt idx="5">
                  <c:v>11.901999999999999</c:v>
                </c:pt>
                <c:pt idx="6">
                  <c:v>11.928000000000001</c:v>
                </c:pt>
                <c:pt idx="7">
                  <c:v>11.935199999999998</c:v>
                </c:pt>
                <c:pt idx="8">
                  <c:v>11.9422</c:v>
                </c:pt>
                <c:pt idx="9">
                  <c:v>11.9604</c:v>
                </c:pt>
              </c:numCache>
            </c:numRef>
          </c:yVal>
          <c:smooth val="0"/>
          <c:extLst>
            <c:ext xmlns:c16="http://schemas.microsoft.com/office/drawing/2014/chart" uri="{C3380CC4-5D6E-409C-BE32-E72D297353CC}">
              <c16:uniqueId val="{00000000-8C20-4082-82BA-E712AB3DC37D}"/>
            </c:ext>
          </c:extLst>
        </c:ser>
        <c:ser>
          <c:idx val="1"/>
          <c:order val="1"/>
          <c:tx>
            <c:v>Xbarbar</c:v>
          </c:tx>
          <c:spPr>
            <a:ln w="19050"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Lit>
              <c:formatCode>General</c:formatCode>
              <c:ptCount val="2"/>
              <c:pt idx="0">
                <c:v>1</c:v>
              </c:pt>
              <c:pt idx="1">
                <c:v>12</c:v>
              </c:pt>
            </c:numLit>
          </c:xVal>
          <c:yVal>
            <c:numRef>
              <c:f>(Feuil1!$N$10,Feuil1!$N$10)</c:f>
              <c:numCache>
                <c:formatCode>0.0000</c:formatCode>
                <c:ptCount val="2"/>
                <c:pt idx="0">
                  <c:v>11.908579999999997</c:v>
                </c:pt>
                <c:pt idx="1">
                  <c:v>11.908579999999997</c:v>
                </c:pt>
              </c:numCache>
            </c:numRef>
          </c:yVal>
          <c:smooth val="0"/>
          <c:extLst>
            <c:ext xmlns:c16="http://schemas.microsoft.com/office/drawing/2014/chart" uri="{C3380CC4-5D6E-409C-BE32-E72D297353CC}">
              <c16:uniqueId val="{00000002-8C20-4082-82BA-E712AB3DC37D}"/>
            </c:ext>
          </c:extLst>
        </c:ser>
        <c:ser>
          <c:idx val="2"/>
          <c:order val="2"/>
          <c:tx>
            <c:v>LCS</c:v>
          </c:tx>
          <c:spPr>
            <a:ln w="19050"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Lit>
              <c:formatCode>General</c:formatCode>
              <c:ptCount val="2"/>
              <c:pt idx="0">
                <c:v>1</c:v>
              </c:pt>
              <c:pt idx="1">
                <c:v>12</c:v>
              </c:pt>
            </c:numLit>
          </c:xVal>
          <c:yVal>
            <c:numRef>
              <c:f>(Feuil1!$T$6,Feuil1!$T$6)</c:f>
              <c:numCache>
                <c:formatCode>General</c:formatCode>
                <c:ptCount val="2"/>
                <c:pt idx="0">
                  <c:v>11.934715999999996</c:v>
                </c:pt>
                <c:pt idx="1">
                  <c:v>11.934715999999996</c:v>
                </c:pt>
              </c:numCache>
            </c:numRef>
          </c:yVal>
          <c:smooth val="0"/>
          <c:extLst>
            <c:ext xmlns:c16="http://schemas.microsoft.com/office/drawing/2014/chart" uri="{C3380CC4-5D6E-409C-BE32-E72D297353CC}">
              <c16:uniqueId val="{00000003-8C20-4082-82BA-E712AB3DC37D}"/>
            </c:ext>
          </c:extLst>
        </c:ser>
        <c:ser>
          <c:idx val="3"/>
          <c:order val="3"/>
          <c:tx>
            <c:v>LCI</c:v>
          </c:tx>
          <c:spPr>
            <a:ln w="19050" cap="rnd">
              <a:solidFill>
                <a:schemeClr val="bg2">
                  <a:lumMod val="75000"/>
                </a:schemeClr>
              </a:solidFill>
              <a:round/>
            </a:ln>
            <a:effectLst/>
          </c:spPr>
          <c:marker>
            <c:symbol val="circle"/>
            <c:size val="5"/>
            <c:spPr>
              <a:solidFill>
                <a:schemeClr val="bg2">
                  <a:lumMod val="75000"/>
                </a:schemeClr>
              </a:solidFill>
              <a:ln w="9525">
                <a:solidFill>
                  <a:schemeClr val="bg2">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Lit>
              <c:formatCode>General</c:formatCode>
              <c:ptCount val="2"/>
              <c:pt idx="0">
                <c:v>1</c:v>
              </c:pt>
              <c:pt idx="1">
                <c:v>12</c:v>
              </c:pt>
            </c:numLit>
          </c:xVal>
          <c:yVal>
            <c:numRef>
              <c:f>(Feuil1!$T$7,Feuil1!$T$7)</c:f>
              <c:numCache>
                <c:formatCode>General</c:formatCode>
                <c:ptCount val="2"/>
                <c:pt idx="0">
                  <c:v>11.882443999999998</c:v>
                </c:pt>
                <c:pt idx="1">
                  <c:v>11.882443999999998</c:v>
                </c:pt>
              </c:numCache>
            </c:numRef>
          </c:yVal>
          <c:smooth val="0"/>
          <c:extLst>
            <c:ext xmlns:c16="http://schemas.microsoft.com/office/drawing/2014/chart" uri="{C3380CC4-5D6E-409C-BE32-E72D297353CC}">
              <c16:uniqueId val="{00000004-8C20-4082-82BA-E712AB3DC37D}"/>
            </c:ext>
          </c:extLst>
        </c:ser>
        <c:ser>
          <c:idx val="4"/>
          <c:order val="4"/>
          <c:tx>
            <c:v>LSS</c:v>
          </c:tx>
          <c:spPr>
            <a:ln w="19050" cap="rnd">
              <a:solidFill>
                <a:schemeClr val="accent6">
                  <a:lumMod val="75000"/>
                </a:schemeClr>
              </a:solidFill>
              <a:round/>
            </a:ln>
            <a:effectLst/>
          </c:spPr>
          <c:marker>
            <c:symbol val="circle"/>
            <c:size val="5"/>
            <c:spPr>
              <a:solidFill>
                <a:schemeClr val="accent5"/>
              </a:solidFill>
              <a:ln w="9525">
                <a:solidFill>
                  <a:schemeClr val="accent6">
                    <a:lumMod val="75000"/>
                  </a:schemeClr>
                </a:solidFill>
              </a:ln>
              <a:effectLst/>
            </c:spPr>
          </c:marker>
          <c:dPt>
            <c:idx val="0"/>
            <c:marker>
              <c:symbol val="circle"/>
              <c:size val="5"/>
              <c:spPr>
                <a:solidFill>
                  <a:schemeClr val="accent5"/>
                </a:solidFill>
                <a:ln w="9525">
                  <a:solidFill>
                    <a:schemeClr val="accent6">
                      <a:lumMod val="75000"/>
                    </a:schemeClr>
                  </a:solidFill>
                </a:ln>
                <a:effectLst/>
              </c:spPr>
            </c:marker>
            <c:bubble3D val="0"/>
            <c:spPr>
              <a:ln w="19050" cap="flat">
                <a:solidFill>
                  <a:schemeClr val="accent6">
                    <a:lumMod val="75000"/>
                  </a:schemeClr>
                </a:solidFill>
                <a:bevel/>
              </a:ln>
              <a:effectLst/>
            </c:spPr>
            <c:extLst>
              <c:ext xmlns:c16="http://schemas.microsoft.com/office/drawing/2014/chart" uri="{C3380CC4-5D6E-409C-BE32-E72D297353CC}">
                <c16:uniqueId val="{00000001-3D52-46EE-893D-64CF3E2D70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Lit>
              <c:formatCode>General</c:formatCode>
              <c:ptCount val="2"/>
              <c:pt idx="0">
                <c:v>1</c:v>
              </c:pt>
              <c:pt idx="1">
                <c:v>12</c:v>
              </c:pt>
            </c:numLit>
          </c:xVal>
          <c:yVal>
            <c:numRef>
              <c:f>(Feuil1!$T$8,Feuil1!$T$8)</c:f>
              <c:numCache>
                <c:formatCode>General</c:formatCode>
                <c:ptCount val="2"/>
                <c:pt idx="0">
                  <c:v>11.925167999999998</c:v>
                </c:pt>
                <c:pt idx="1">
                  <c:v>11.925167999999998</c:v>
                </c:pt>
              </c:numCache>
            </c:numRef>
          </c:yVal>
          <c:smooth val="0"/>
          <c:extLst>
            <c:ext xmlns:c16="http://schemas.microsoft.com/office/drawing/2014/chart" uri="{C3380CC4-5D6E-409C-BE32-E72D297353CC}">
              <c16:uniqueId val="{00000005-8C20-4082-82BA-E712AB3DC37D}"/>
            </c:ext>
          </c:extLst>
        </c:ser>
        <c:ser>
          <c:idx val="5"/>
          <c:order val="5"/>
          <c:tx>
            <c:v>LSI</c:v>
          </c:tx>
          <c:spPr>
            <a:ln w="19050"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Lit>
              <c:formatCode>General</c:formatCode>
              <c:ptCount val="2"/>
              <c:pt idx="0">
                <c:v>1</c:v>
              </c:pt>
              <c:pt idx="1">
                <c:v>12</c:v>
              </c:pt>
            </c:numLit>
          </c:xVal>
          <c:yVal>
            <c:numRef>
              <c:f>(Feuil1!$T$9,Feuil1!$T$9)</c:f>
              <c:numCache>
                <c:formatCode>General</c:formatCode>
                <c:ptCount val="2"/>
                <c:pt idx="0">
                  <c:v>11.891991999999997</c:v>
                </c:pt>
                <c:pt idx="1">
                  <c:v>11.891991999999997</c:v>
                </c:pt>
              </c:numCache>
            </c:numRef>
          </c:yVal>
          <c:smooth val="0"/>
          <c:extLst>
            <c:ext xmlns:c16="http://schemas.microsoft.com/office/drawing/2014/chart" uri="{C3380CC4-5D6E-409C-BE32-E72D297353CC}">
              <c16:uniqueId val="{00000006-8C20-4082-82BA-E712AB3DC37D}"/>
            </c:ext>
          </c:extLst>
        </c:ser>
        <c:dLbls>
          <c:showLegendKey val="0"/>
          <c:showVal val="0"/>
          <c:showCatName val="0"/>
          <c:showSerName val="0"/>
          <c:showPercent val="0"/>
          <c:showBubbleSize val="0"/>
        </c:dLbls>
        <c:axId val="1112611631"/>
        <c:axId val="1112611215"/>
      </c:scatterChart>
      <c:valAx>
        <c:axId val="1112611631"/>
        <c:scaling>
          <c:orientation val="minMax"/>
          <c:min val="1"/>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2611215"/>
        <c:crosses val="autoZero"/>
        <c:crossBetween val="midCat"/>
        <c:majorUnit val="1"/>
      </c:valAx>
      <c:valAx>
        <c:axId val="111261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2611631"/>
        <c:crosses val="autoZero"/>
        <c:crossBetween val="midCat"/>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Carte des R</c:v>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Feuil1!$D$11:$M$11</c:f>
              <c:numCache>
                <c:formatCode>General</c:formatCode>
                <c:ptCount val="10"/>
                <c:pt idx="0">
                  <c:v>4.0000000000000924E-2</c:v>
                </c:pt>
                <c:pt idx="1">
                  <c:v>5.0000000000000711E-2</c:v>
                </c:pt>
                <c:pt idx="2">
                  <c:v>5.0000000000000711E-2</c:v>
                </c:pt>
                <c:pt idx="3">
                  <c:v>3.9999999999999147E-2</c:v>
                </c:pt>
                <c:pt idx="4">
                  <c:v>3.9999999999999147E-2</c:v>
                </c:pt>
                <c:pt idx="5">
                  <c:v>8.0000000000000071E-2</c:v>
                </c:pt>
                <c:pt idx="6">
                  <c:v>5.0000000000000711E-2</c:v>
                </c:pt>
                <c:pt idx="7">
                  <c:v>2.5999999999999801E-2</c:v>
                </c:pt>
                <c:pt idx="8">
                  <c:v>2.4000000000000909E-2</c:v>
                </c:pt>
                <c:pt idx="9">
                  <c:v>3.9999999999999147E-2</c:v>
                </c:pt>
              </c:numCache>
            </c:numRef>
          </c:yVal>
          <c:smooth val="0"/>
          <c:extLst>
            <c:ext xmlns:c16="http://schemas.microsoft.com/office/drawing/2014/chart" uri="{C3380CC4-5D6E-409C-BE32-E72D297353CC}">
              <c16:uniqueId val="{00000000-7307-4983-94C3-B46E156F6D33}"/>
            </c:ext>
          </c:extLst>
        </c:ser>
        <c:ser>
          <c:idx val="1"/>
          <c:order val="1"/>
          <c:tx>
            <c:v>Moyenne des Rbar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2"/>
              <c:pt idx="0">
                <c:v>1</c:v>
              </c:pt>
              <c:pt idx="1">
                <c:v>12</c:v>
              </c:pt>
            </c:numLit>
          </c:xVal>
          <c:yVal>
            <c:numRef>
              <c:f>(Feuil1!$N$11,Feuil1!$N$11)</c:f>
              <c:numCache>
                <c:formatCode>General</c:formatCode>
                <c:ptCount val="2"/>
                <c:pt idx="0">
                  <c:v>4.4000000000000129E-2</c:v>
                </c:pt>
                <c:pt idx="1">
                  <c:v>4.4000000000000129E-2</c:v>
                </c:pt>
              </c:numCache>
            </c:numRef>
          </c:yVal>
          <c:smooth val="0"/>
          <c:extLst>
            <c:ext xmlns:c16="http://schemas.microsoft.com/office/drawing/2014/chart" uri="{C3380CC4-5D6E-409C-BE32-E72D297353CC}">
              <c16:uniqueId val="{00000002-7307-4983-94C3-B46E156F6D33}"/>
            </c:ext>
          </c:extLst>
        </c:ser>
        <c:ser>
          <c:idx val="2"/>
          <c:order val="2"/>
          <c:tx>
            <c:v>LC2</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2"/>
              <c:pt idx="0">
                <c:v>1</c:v>
              </c:pt>
              <c:pt idx="1">
                <c:v>12</c:v>
              </c:pt>
            </c:numLit>
          </c:xVal>
          <c:yVal>
            <c:numRef>
              <c:f>(Feuil1!$T$10,Feuil1!$T$10)</c:f>
              <c:numCache>
                <c:formatCode>General</c:formatCode>
                <c:ptCount val="2"/>
                <c:pt idx="0">
                  <c:v>0.10384000000000029</c:v>
                </c:pt>
                <c:pt idx="1">
                  <c:v>0.10384000000000029</c:v>
                </c:pt>
              </c:numCache>
            </c:numRef>
          </c:yVal>
          <c:smooth val="0"/>
          <c:extLst>
            <c:ext xmlns:c16="http://schemas.microsoft.com/office/drawing/2014/chart" uri="{C3380CC4-5D6E-409C-BE32-E72D297353CC}">
              <c16:uniqueId val="{00000003-7307-4983-94C3-B46E156F6D33}"/>
            </c:ext>
          </c:extLst>
        </c:ser>
        <c:ser>
          <c:idx val="3"/>
          <c:order val="3"/>
          <c:tx>
            <c:v>LS2</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Lit>
              <c:formatCode>General</c:formatCode>
              <c:ptCount val="2"/>
              <c:pt idx="0">
                <c:v>1</c:v>
              </c:pt>
              <c:pt idx="1">
                <c:v>12</c:v>
              </c:pt>
            </c:numLit>
          </c:xVal>
          <c:yVal>
            <c:numRef>
              <c:f>(Feuil1!$T$11,Feuil1!$T$11)</c:f>
              <c:numCache>
                <c:formatCode>General</c:formatCode>
                <c:ptCount val="2"/>
                <c:pt idx="0">
                  <c:v>7.9640000000000238E-2</c:v>
                </c:pt>
                <c:pt idx="1">
                  <c:v>7.9640000000000238E-2</c:v>
                </c:pt>
              </c:numCache>
            </c:numRef>
          </c:yVal>
          <c:smooth val="0"/>
          <c:extLst>
            <c:ext xmlns:c16="http://schemas.microsoft.com/office/drawing/2014/chart" uri="{C3380CC4-5D6E-409C-BE32-E72D297353CC}">
              <c16:uniqueId val="{00000004-7307-4983-94C3-B46E156F6D33}"/>
            </c:ext>
          </c:extLst>
        </c:ser>
        <c:dLbls>
          <c:showLegendKey val="0"/>
          <c:showVal val="0"/>
          <c:showCatName val="0"/>
          <c:showSerName val="0"/>
          <c:showPercent val="0"/>
          <c:showBubbleSize val="0"/>
        </c:dLbls>
        <c:axId val="551130079"/>
        <c:axId val="1109794143"/>
      </c:scatterChart>
      <c:valAx>
        <c:axId val="551130079"/>
        <c:scaling>
          <c:orientation val="minMax"/>
          <c:min val="1"/>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09794143"/>
        <c:crosses val="autoZero"/>
        <c:crossBetween val="midCat"/>
        <c:majorUnit val="1"/>
      </c:valAx>
      <c:valAx>
        <c:axId val="110979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511300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v>Droite de Henry</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5304068241469818"/>
                  <c:y val="-1.4305555555555556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50" b="1" baseline="0">
                        <a:solidFill>
                          <a:schemeClr val="accent1">
                            <a:lumMod val="50000"/>
                          </a:schemeClr>
                        </a:solidFill>
                      </a:rPr>
                      <a:t>y = 0.0374x + 11.906</a:t>
                    </a:r>
                    <a:br>
                      <a:rPr lang="en-US" sz="1050" b="1" baseline="0">
                        <a:solidFill>
                          <a:schemeClr val="accent1">
                            <a:lumMod val="50000"/>
                          </a:schemeClr>
                        </a:solidFill>
                      </a:rPr>
                    </a:br>
                    <a:r>
                      <a:rPr lang="en-US" sz="1050" b="1" baseline="0">
                        <a:solidFill>
                          <a:schemeClr val="accent1">
                            <a:lumMod val="50000"/>
                          </a:schemeClr>
                        </a:solidFill>
                      </a:rPr>
                      <a:t>R² = 0.9841</a:t>
                    </a:r>
                    <a:endParaRPr lang="en-US" sz="1050" b="1">
                      <a:solidFill>
                        <a:schemeClr val="accent1">
                          <a:lumMod val="50000"/>
                        </a:schemeClr>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'Question 6'!$J$10:$J$15</c:f>
              <c:numCache>
                <c:formatCode>General</c:formatCode>
                <c:ptCount val="6"/>
                <c:pt idx="0">
                  <c:v>-1.0803193408149565</c:v>
                </c:pt>
                <c:pt idx="1">
                  <c:v>-0.58284150727121631</c:v>
                </c:pt>
                <c:pt idx="2">
                  <c:v>-0.20189347914185088</c:v>
                </c:pt>
                <c:pt idx="3">
                  <c:v>0.30548078809939727</c:v>
                </c:pt>
                <c:pt idx="4">
                  <c:v>0.9944578832097497</c:v>
                </c:pt>
                <c:pt idx="5">
                  <c:v>1.7506860712521695</c:v>
                </c:pt>
              </c:numCache>
            </c:numRef>
          </c:xVal>
          <c:yVal>
            <c:numRef>
              <c:f>'Question 6'!$F$10:$F$15</c:f>
              <c:numCache>
                <c:formatCode>0.000</c:formatCode>
                <c:ptCount val="6"/>
                <c:pt idx="0">
                  <c:v>11.861081832585699</c:v>
                </c:pt>
                <c:pt idx="1">
                  <c:v>11.882163665171397</c:v>
                </c:pt>
                <c:pt idx="2">
                  <c:v>11.903245497757096</c:v>
                </c:pt>
                <c:pt idx="3">
                  <c:v>11.924327330342795</c:v>
                </c:pt>
                <c:pt idx="4">
                  <c:v>11.945409162928494</c:v>
                </c:pt>
                <c:pt idx="5">
                  <c:v>11.966490995514192</c:v>
                </c:pt>
              </c:numCache>
            </c:numRef>
          </c:yVal>
          <c:smooth val="0"/>
          <c:extLst>
            <c:ext xmlns:c16="http://schemas.microsoft.com/office/drawing/2014/chart" uri="{C3380CC4-5D6E-409C-BE32-E72D297353CC}">
              <c16:uniqueId val="{00000000-2C76-402E-911B-71A5B6D16362}"/>
            </c:ext>
          </c:extLst>
        </c:ser>
        <c:dLbls>
          <c:showLegendKey val="0"/>
          <c:showVal val="0"/>
          <c:showCatName val="0"/>
          <c:showSerName val="0"/>
          <c:showPercent val="0"/>
          <c:showBubbleSize val="0"/>
        </c:dLbls>
        <c:axId val="1662813935"/>
        <c:axId val="1662814351"/>
      </c:scatterChart>
      <c:valAx>
        <c:axId val="1662813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62814351"/>
        <c:crosses val="autoZero"/>
        <c:crossBetween val="midCat"/>
      </c:valAx>
      <c:valAx>
        <c:axId val="1662814351"/>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628139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2</xdr:col>
      <xdr:colOff>142875</xdr:colOff>
      <xdr:row>9</xdr:row>
      <xdr:rowOff>35719</xdr:rowOff>
    </xdr:from>
    <xdr:ext cx="523875" cy="175113"/>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DACE2351-4C49-430B-BFC6-53041DF12AD1}"/>
                </a:ext>
              </a:extLst>
            </xdr:cNvPr>
            <xdr:cNvSpPr txBox="1"/>
          </xdr:nvSpPr>
          <xdr:spPr>
            <a:xfrm>
              <a:off x="857250" y="12075319"/>
              <a:ext cx="523875" cy="175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fr-FR" sz="1100" i="1">
                            <a:latin typeface="Cambria Math" panose="02040503050406030204" pitchFamily="18" charset="0"/>
                          </a:rPr>
                        </m:ctrlPr>
                      </m:accPr>
                      <m:e>
                        <m:r>
                          <a:rPr lang="fr-FR" sz="1100" b="0" i="1">
                            <a:latin typeface="Cambria Math" panose="02040503050406030204" pitchFamily="18" charset="0"/>
                          </a:rPr>
                          <m:t>𝑋</m:t>
                        </m:r>
                      </m:e>
                    </m:acc>
                  </m:oMath>
                </m:oMathPara>
              </a14:m>
              <a:endParaRPr lang="fr-FR" sz="1100"/>
            </a:p>
          </xdr:txBody>
        </xdr:sp>
      </mc:Choice>
      <mc:Fallback xmlns="">
        <xdr:sp macro="" textlink="">
          <xdr:nvSpPr>
            <xdr:cNvPr id="3" name="ZoneTexte 2">
              <a:extLst>
                <a:ext uri="{FF2B5EF4-FFF2-40B4-BE49-F238E27FC236}">
                  <a16:creationId xmlns:a16="http://schemas.microsoft.com/office/drawing/2014/main" id="{DACE2351-4C49-430B-BFC6-53041DF12AD1}"/>
                </a:ext>
              </a:extLst>
            </xdr:cNvPr>
            <xdr:cNvSpPr txBox="1"/>
          </xdr:nvSpPr>
          <xdr:spPr>
            <a:xfrm>
              <a:off x="857250" y="12075319"/>
              <a:ext cx="523875" cy="175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fr-FR" sz="1100" b="0" i="0">
                  <a:latin typeface="Cambria Math" panose="02040503050406030204" pitchFamily="18" charset="0"/>
                </a:rPr>
                <a:t>𝑋 ̅</a:t>
              </a:r>
              <a:endParaRPr lang="fr-FR" sz="1100"/>
            </a:p>
          </xdr:txBody>
        </xdr:sp>
      </mc:Fallback>
    </mc:AlternateContent>
    <xdr:clientData/>
  </xdr:oneCellAnchor>
  <xdr:oneCellAnchor>
    <xdr:from>
      <xdr:col>14</xdr:col>
      <xdr:colOff>81416</xdr:colOff>
      <xdr:row>8</xdr:row>
      <xdr:rowOff>206146</xdr:rowOff>
    </xdr:from>
    <xdr:ext cx="212045" cy="310791"/>
    <mc:AlternateContent xmlns:mc="http://schemas.openxmlformats.org/markup-compatibility/2006" xmlns:a14="http://schemas.microsoft.com/office/drawing/2010/main">
      <mc:Choice Requires="a14">
        <xdr:sp macro="" textlink="">
          <xdr:nvSpPr>
            <xdr:cNvPr id="7" name="ZoneTexte 6">
              <a:extLst>
                <a:ext uri="{FF2B5EF4-FFF2-40B4-BE49-F238E27FC236}">
                  <a16:creationId xmlns:a16="http://schemas.microsoft.com/office/drawing/2014/main" id="{A437AA29-054B-4DB0-BC06-484CAAF19AC6}"/>
                </a:ext>
              </a:extLst>
            </xdr:cNvPr>
            <xdr:cNvSpPr txBox="1"/>
          </xdr:nvSpPr>
          <xdr:spPr>
            <a:xfrm>
              <a:off x="10717666" y="1997753"/>
              <a:ext cx="212045" cy="3107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fr-FR" sz="1800" b="1" i="1">
                            <a:latin typeface="Cambria Math" panose="02040503050406030204" pitchFamily="18" charset="0"/>
                          </a:rPr>
                        </m:ctrlPr>
                      </m:accPr>
                      <m:e>
                        <m:r>
                          <a:rPr lang="fr-FR" sz="1800" b="1" i="1">
                            <a:latin typeface="Cambria Math" panose="02040503050406030204" pitchFamily="18" charset="0"/>
                          </a:rPr>
                          <m:t>𝑿</m:t>
                        </m:r>
                      </m:e>
                    </m:acc>
                  </m:oMath>
                </m:oMathPara>
              </a14:m>
              <a:endParaRPr lang="fr-FR" sz="1100" b="1"/>
            </a:p>
          </xdr:txBody>
        </xdr:sp>
      </mc:Choice>
      <mc:Fallback xmlns="">
        <xdr:sp macro="" textlink="">
          <xdr:nvSpPr>
            <xdr:cNvPr id="7" name="ZoneTexte 6">
              <a:extLst>
                <a:ext uri="{FF2B5EF4-FFF2-40B4-BE49-F238E27FC236}">
                  <a16:creationId xmlns:a16="http://schemas.microsoft.com/office/drawing/2014/main" id="{A437AA29-054B-4DB0-BC06-484CAAF19AC6}"/>
                </a:ext>
              </a:extLst>
            </xdr:cNvPr>
            <xdr:cNvSpPr txBox="1"/>
          </xdr:nvSpPr>
          <xdr:spPr>
            <a:xfrm>
              <a:off x="10717666" y="1997753"/>
              <a:ext cx="212045" cy="3107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fr-FR" sz="1800" b="1" i="0">
                  <a:latin typeface="Cambria Math" panose="02040503050406030204" pitchFamily="18" charset="0"/>
                </a:rPr>
                <a:t>𝑿 ̿</a:t>
              </a:r>
              <a:endParaRPr lang="fr-FR" sz="1100" b="1"/>
            </a:p>
          </xdr:txBody>
        </xdr:sp>
      </mc:Fallback>
    </mc:AlternateContent>
    <xdr:clientData/>
  </xdr:oneCellAnchor>
  <xdr:twoCellAnchor>
    <xdr:from>
      <xdr:col>0</xdr:col>
      <xdr:colOff>78240</xdr:colOff>
      <xdr:row>11</xdr:row>
      <xdr:rowOff>74158</xdr:rowOff>
    </xdr:from>
    <xdr:to>
      <xdr:col>11</xdr:col>
      <xdr:colOff>377407</xdr:colOff>
      <xdr:row>25</xdr:row>
      <xdr:rowOff>107269</xdr:rowOff>
    </xdr:to>
    <xdr:graphicFrame macro="">
      <xdr:nvGraphicFramePr>
        <xdr:cNvPr id="9" name="Graphique 8">
          <a:extLst>
            <a:ext uri="{FF2B5EF4-FFF2-40B4-BE49-F238E27FC236}">
              <a16:creationId xmlns:a16="http://schemas.microsoft.com/office/drawing/2014/main" id="{8C831C04-066F-415C-8270-5E0E8A6F76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13</xdr:col>
      <xdr:colOff>680357</xdr:colOff>
      <xdr:row>9</xdr:row>
      <xdr:rowOff>272142</xdr:rowOff>
    </xdr:from>
    <xdr:ext cx="523875" cy="254685"/>
    <mc:AlternateContent xmlns:mc="http://schemas.openxmlformats.org/markup-compatibility/2006" xmlns:a14="http://schemas.microsoft.com/office/drawing/2010/main">
      <mc:Choice Requires="a14">
        <xdr:sp macro="" textlink="">
          <xdr:nvSpPr>
            <xdr:cNvPr id="10" name="ZoneTexte 9">
              <a:extLst>
                <a:ext uri="{FF2B5EF4-FFF2-40B4-BE49-F238E27FC236}">
                  <a16:creationId xmlns:a16="http://schemas.microsoft.com/office/drawing/2014/main" id="{89FD0114-1835-4ACF-9762-E2F8290965B0}"/>
                </a:ext>
              </a:extLst>
            </xdr:cNvPr>
            <xdr:cNvSpPr txBox="1"/>
          </xdr:nvSpPr>
          <xdr:spPr>
            <a:xfrm>
              <a:off x="10556875" y="2097767"/>
              <a:ext cx="523875" cy="254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fr-FR" sz="1600" i="1">
                            <a:latin typeface="Cambria Math" panose="02040503050406030204" pitchFamily="18" charset="0"/>
                          </a:rPr>
                        </m:ctrlPr>
                      </m:accPr>
                      <m:e>
                        <m:r>
                          <a:rPr lang="fr-FR" sz="1600" b="0" i="1">
                            <a:latin typeface="Cambria Math" panose="02040503050406030204" pitchFamily="18" charset="0"/>
                          </a:rPr>
                          <m:t>𝑅</m:t>
                        </m:r>
                      </m:e>
                    </m:acc>
                  </m:oMath>
                </m:oMathPara>
              </a14:m>
              <a:endParaRPr lang="fr-FR" sz="1100"/>
            </a:p>
          </xdr:txBody>
        </xdr:sp>
      </mc:Choice>
      <mc:Fallback xmlns="">
        <xdr:sp macro="" textlink="">
          <xdr:nvSpPr>
            <xdr:cNvPr id="10" name="ZoneTexte 9">
              <a:extLst>
                <a:ext uri="{FF2B5EF4-FFF2-40B4-BE49-F238E27FC236}">
                  <a16:creationId xmlns:a16="http://schemas.microsoft.com/office/drawing/2014/main" id="{89FD0114-1835-4ACF-9762-E2F8290965B0}"/>
                </a:ext>
              </a:extLst>
            </xdr:cNvPr>
            <xdr:cNvSpPr txBox="1"/>
          </xdr:nvSpPr>
          <xdr:spPr>
            <a:xfrm>
              <a:off x="10556875" y="2097767"/>
              <a:ext cx="523875" cy="254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fr-FR" sz="1600" b="0" i="0">
                  <a:latin typeface="Cambria Math" panose="02040503050406030204" pitchFamily="18" charset="0"/>
                </a:rPr>
                <a:t>𝑅 ̅</a:t>
              </a:r>
              <a:endParaRPr lang="fr-FR" sz="1100"/>
            </a:p>
          </xdr:txBody>
        </xdr:sp>
      </mc:Fallback>
    </mc:AlternateContent>
    <xdr:clientData/>
  </xdr:oneCellAnchor>
  <xdr:twoCellAnchor>
    <xdr:from>
      <xdr:col>0</xdr:col>
      <xdr:colOff>116816</xdr:colOff>
      <xdr:row>26</xdr:row>
      <xdr:rowOff>56187</xdr:rowOff>
    </xdr:from>
    <xdr:to>
      <xdr:col>11</xdr:col>
      <xdr:colOff>379759</xdr:colOff>
      <xdr:row>40</xdr:row>
      <xdr:rowOff>98284</xdr:rowOff>
    </xdr:to>
    <xdr:graphicFrame macro="">
      <xdr:nvGraphicFramePr>
        <xdr:cNvPr id="11" name="Graphique 10">
          <a:extLst>
            <a:ext uri="{FF2B5EF4-FFF2-40B4-BE49-F238E27FC236}">
              <a16:creationId xmlns:a16="http://schemas.microsoft.com/office/drawing/2014/main" id="{B079A565-FAC3-4D12-B6F1-EF0EC6AAA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564101</xdr:colOff>
      <xdr:row>17</xdr:row>
      <xdr:rowOff>138714</xdr:rowOff>
    </xdr:from>
    <xdr:to>
      <xdr:col>17</xdr:col>
      <xdr:colOff>36990</xdr:colOff>
      <xdr:row>21</xdr:row>
      <xdr:rowOff>157209</xdr:rowOff>
    </xdr:to>
    <xdr:sp macro="" textlink="">
      <xdr:nvSpPr>
        <xdr:cNvPr id="2" name="ZoneTexte 1">
          <a:extLst>
            <a:ext uri="{FF2B5EF4-FFF2-40B4-BE49-F238E27FC236}">
              <a16:creationId xmlns:a16="http://schemas.microsoft.com/office/drawing/2014/main" id="{CBE9499B-1408-13FB-0835-DA7223497CBC}"/>
            </a:ext>
          </a:extLst>
        </xdr:cNvPr>
        <xdr:cNvSpPr txBox="1"/>
      </xdr:nvSpPr>
      <xdr:spPr>
        <a:xfrm>
          <a:off x="8905412" y="3920971"/>
          <a:ext cx="4022695" cy="7952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t>Les points sont en dérive constante. Il est incompréhensible que l'opérateur n'est rien fait  ! Il faut arrêter immédiatement le processus</a:t>
          </a:r>
          <a:r>
            <a:rPr lang="fr-FR" sz="1100" b="1" baseline="0"/>
            <a:t> et r</a:t>
          </a:r>
          <a:r>
            <a:rPr lang="fr-FR" sz="1100" b="1"/>
            <a:t>echercher la ou les causes assignables</a:t>
          </a:r>
          <a:r>
            <a:rPr lang="fr-FR" sz="1100"/>
            <a:t>.</a:t>
          </a:r>
        </a:p>
      </xdr:txBody>
    </xdr:sp>
    <xdr:clientData/>
  </xdr:twoCellAnchor>
  <xdr:twoCellAnchor>
    <xdr:from>
      <xdr:col>11</xdr:col>
      <xdr:colOff>545607</xdr:colOff>
      <xdr:row>32</xdr:row>
      <xdr:rowOff>46238</xdr:rowOff>
    </xdr:from>
    <xdr:to>
      <xdr:col>17</xdr:col>
      <xdr:colOff>73981</xdr:colOff>
      <xdr:row>35</xdr:row>
      <xdr:rowOff>55485</xdr:rowOff>
    </xdr:to>
    <xdr:sp macro="" textlink="">
      <xdr:nvSpPr>
        <xdr:cNvPr id="4" name="ZoneTexte 3">
          <a:extLst>
            <a:ext uri="{FF2B5EF4-FFF2-40B4-BE49-F238E27FC236}">
              <a16:creationId xmlns:a16="http://schemas.microsoft.com/office/drawing/2014/main" id="{8C5E1654-A60E-7C96-67B4-99A5DF590187}"/>
            </a:ext>
          </a:extLst>
        </xdr:cNvPr>
        <xdr:cNvSpPr txBox="1"/>
      </xdr:nvSpPr>
      <xdr:spPr>
        <a:xfrm>
          <a:off x="8886918" y="6741481"/>
          <a:ext cx="4078180" cy="5918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t>La variabilité semble obéir</a:t>
          </a:r>
          <a:r>
            <a:rPr lang="fr-FR" sz="1100" b="1" baseline="0"/>
            <a:t> à une loi normale, pas de grande variation de l'étendue.</a:t>
          </a:r>
          <a:endParaRPr lang="fr-FR"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31750</xdr:colOff>
      <xdr:row>18</xdr:row>
      <xdr:rowOff>21432</xdr:rowOff>
    </xdr:from>
    <xdr:to>
      <xdr:col>10</xdr:col>
      <xdr:colOff>142875</xdr:colOff>
      <xdr:row>32</xdr:row>
      <xdr:rowOff>97632</xdr:rowOff>
    </xdr:to>
    <xdr:graphicFrame macro="">
      <xdr:nvGraphicFramePr>
        <xdr:cNvPr id="2" name="Graphique 1">
          <a:extLst>
            <a:ext uri="{FF2B5EF4-FFF2-40B4-BE49-F238E27FC236}">
              <a16:creationId xmlns:a16="http://schemas.microsoft.com/office/drawing/2014/main" id="{247E804C-DFD7-45E7-B7F5-6144FB77A3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277813</xdr:colOff>
      <xdr:row>23</xdr:row>
      <xdr:rowOff>1</xdr:rowOff>
    </xdr:from>
    <xdr:to>
      <xdr:col>4</xdr:col>
      <xdr:colOff>7938</xdr:colOff>
      <xdr:row>27</xdr:row>
      <xdr:rowOff>87313</xdr:rowOff>
    </xdr:to>
    <xdr:sp macro="" textlink="">
      <xdr:nvSpPr>
        <xdr:cNvPr id="3" name="ZoneTexte 2">
          <a:extLst>
            <a:ext uri="{FF2B5EF4-FFF2-40B4-BE49-F238E27FC236}">
              <a16:creationId xmlns:a16="http://schemas.microsoft.com/office/drawing/2014/main" id="{C1D5E5FA-DC76-49D7-A912-565050D21D33}"/>
            </a:ext>
          </a:extLst>
        </xdr:cNvPr>
        <xdr:cNvSpPr txBox="1"/>
      </xdr:nvSpPr>
      <xdr:spPr>
        <a:xfrm>
          <a:off x="1039813" y="4540251"/>
          <a:ext cx="2595563" cy="849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i="1"/>
            <a:t>La droite de Henry m'indique que les points sont alignés, on peut amettre</a:t>
          </a:r>
          <a:r>
            <a:rPr lang="fr-FR" sz="1100" b="1" i="1" baseline="0"/>
            <a:t> que </a:t>
          </a:r>
          <a:r>
            <a:rPr lang="fr-FR" sz="1100" b="1" i="1"/>
            <a:t>la distribution est normale,</a:t>
          </a:r>
          <a:r>
            <a:rPr lang="fr-FR" sz="1100" b="1" i="1" baseline="0"/>
            <a:t> l</a:t>
          </a:r>
          <a:r>
            <a:rPr lang="fr-FR" sz="1100" b="1" i="1"/>
            <a:t>e calcul des capabilités</a:t>
          </a:r>
          <a:r>
            <a:rPr lang="fr-FR" sz="1100" b="1" i="1" baseline="0"/>
            <a:t> peut-être envisagé.</a:t>
          </a:r>
          <a:endParaRPr lang="fr-FR" sz="1100" b="1" i="1"/>
        </a:p>
        <a:p>
          <a:endParaRPr lang="fr-FR" sz="1100"/>
        </a:p>
        <a:p>
          <a:endParaRPr lang="fr-FR" sz="1100"/>
        </a:p>
        <a:p>
          <a:endParaRPr lang="fr-FR" sz="1100"/>
        </a:p>
        <a:p>
          <a:endParaRPr lang="fr-FR" sz="1100"/>
        </a:p>
      </xdr:txBody>
    </xdr:sp>
    <xdr:clientData/>
  </xdr:twoCellAnchor>
  <xdr:twoCellAnchor>
    <xdr:from>
      <xdr:col>1</xdr:col>
      <xdr:colOff>15875</xdr:colOff>
      <xdr:row>33</xdr:row>
      <xdr:rowOff>71438</xdr:rowOff>
    </xdr:from>
    <xdr:to>
      <xdr:col>4</xdr:col>
      <xdr:colOff>460375</xdr:colOff>
      <xdr:row>38</xdr:row>
      <xdr:rowOff>127000</xdr:rowOff>
    </xdr:to>
    <mc:AlternateContent xmlns:mc="http://schemas.openxmlformats.org/markup-compatibility/2006" xmlns:a14="http://schemas.microsoft.com/office/drawing/2010/main">
      <mc:Choice Requires="a14">
        <xdr:sp macro="" textlink="">
          <xdr:nvSpPr>
            <xdr:cNvPr id="4" name="ZoneTexte 3">
              <a:extLst>
                <a:ext uri="{FF2B5EF4-FFF2-40B4-BE49-F238E27FC236}">
                  <a16:creationId xmlns:a16="http://schemas.microsoft.com/office/drawing/2014/main" id="{933BBD07-894E-41AF-98B8-9A72D1E1A51A}"/>
                </a:ext>
              </a:extLst>
            </xdr:cNvPr>
            <xdr:cNvSpPr txBox="1"/>
          </xdr:nvSpPr>
          <xdr:spPr>
            <a:xfrm>
              <a:off x="777875" y="6516688"/>
              <a:ext cx="3309938" cy="1008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Calcul de</a:t>
              </a:r>
              <a:r>
                <a:rPr lang="fr-FR" sz="1100" baseline="0"/>
                <a:t> la capabilité :</a:t>
              </a:r>
            </a:p>
            <a:p>
              <a:r>
                <a:rPr lang="fr-FR" sz="1100" baseline="0"/>
                <a:t>(d5 = 2.326)</a:t>
              </a:r>
            </a:p>
            <a:p>
              <a:pPr/>
              <a14:m>
                <m:oMathPara xmlns:m="http://schemas.openxmlformats.org/officeDocument/2006/math">
                  <m:oMathParaPr>
                    <m:jc m:val="centerGroup"/>
                  </m:oMathParaPr>
                  <m:oMath xmlns:m="http://schemas.openxmlformats.org/officeDocument/2006/math">
                    <m:r>
                      <a:rPr lang="fr-FR" sz="1100" b="0" i="1">
                        <a:latin typeface="Cambria Math" panose="02040503050406030204" pitchFamily="18" charset="0"/>
                        <a:ea typeface="Cambria Math" panose="02040503050406030204" pitchFamily="18" charset="0"/>
                      </a:rPr>
                      <m:t>𝐶𝑝</m:t>
                    </m:r>
                    <m:r>
                      <a:rPr lang="fr-FR" sz="1100" b="0" i="1">
                        <a:latin typeface="Cambria Math" panose="02040503050406030204" pitchFamily="18" charset="0"/>
                        <a:ea typeface="Cambria Math" panose="02040503050406030204" pitchFamily="18" charset="0"/>
                      </a:rPr>
                      <m:t>=</m:t>
                    </m:r>
                    <m:f>
                      <m:fPr>
                        <m:ctrlPr>
                          <a:rPr lang="fr-FR" sz="1100" b="0" i="1">
                            <a:latin typeface="Cambria Math" panose="02040503050406030204" pitchFamily="18" charset="0"/>
                            <a:ea typeface="Cambria Math" panose="02040503050406030204" pitchFamily="18" charset="0"/>
                          </a:rPr>
                        </m:ctrlPr>
                      </m:fPr>
                      <m:num>
                        <m:r>
                          <a:rPr lang="fr-FR" sz="1100" b="0" i="1">
                            <a:latin typeface="Cambria Math" panose="02040503050406030204" pitchFamily="18" charset="0"/>
                            <a:ea typeface="Cambria Math" panose="02040503050406030204" pitchFamily="18" charset="0"/>
                          </a:rPr>
                          <m:t>𝐼𝑇</m:t>
                        </m:r>
                      </m:num>
                      <m:den>
                        <m:r>
                          <a:rPr lang="fr-FR" sz="1100" b="0" i="1">
                            <a:latin typeface="Cambria Math" panose="02040503050406030204" pitchFamily="18" charset="0"/>
                            <a:ea typeface="Cambria Math" panose="02040503050406030204" pitchFamily="18" charset="0"/>
                          </a:rPr>
                          <m:t>6</m:t>
                        </m:r>
                        <m:r>
                          <a:rPr lang="fr-FR" sz="1100" b="0" i="1">
                            <a:latin typeface="Cambria Math" panose="02040503050406030204" pitchFamily="18" charset="0"/>
                            <a:ea typeface="Cambria Math" panose="02040503050406030204" pitchFamily="18" charset="0"/>
                          </a:rPr>
                          <m:t>𝜎</m:t>
                        </m:r>
                      </m:den>
                    </m:f>
                    <m:r>
                      <a:rPr lang="fr-FR" sz="1100" b="0" i="1">
                        <a:latin typeface="Cambria Math" panose="02040503050406030204" pitchFamily="18" charset="0"/>
                        <a:ea typeface="Cambria Math" panose="02040503050406030204" pitchFamily="18" charset="0"/>
                      </a:rPr>
                      <m:t>       (</m:t>
                    </m:r>
                    <m:r>
                      <a:rPr lang="fr-FR" sz="1100" b="0" i="1">
                        <a:latin typeface="Cambria Math" panose="02040503050406030204" pitchFamily="18" charset="0"/>
                        <a:ea typeface="Cambria Math" panose="02040503050406030204" pitchFamily="18" charset="0"/>
                      </a:rPr>
                      <m:t>𝑎𝑣𝑒𝑐</m:t>
                    </m:r>
                    <m:r>
                      <a:rPr lang="fr-FR" sz="1100" b="0" i="1">
                        <a:latin typeface="Cambria Math" panose="02040503050406030204" pitchFamily="18" charset="0"/>
                        <a:ea typeface="Cambria Math" panose="02040503050406030204" pitchFamily="18" charset="0"/>
                      </a:rPr>
                      <m:t> </m:t>
                    </m:r>
                    <m:r>
                      <a:rPr lang="fr-FR" sz="1100" b="0" i="1">
                        <a:latin typeface="Cambria Math" panose="02040503050406030204" pitchFamily="18" charset="0"/>
                        <a:ea typeface="Cambria Math" panose="02040503050406030204" pitchFamily="18" charset="0"/>
                      </a:rPr>
                      <m:t>𝜎</m:t>
                    </m:r>
                    <m:r>
                      <a:rPr lang="fr-FR" sz="1100" b="0" i="1">
                        <a:latin typeface="Cambria Math" panose="02040503050406030204" pitchFamily="18" charset="0"/>
                        <a:ea typeface="Cambria Math" panose="02040503050406030204" pitchFamily="18" charset="0"/>
                      </a:rPr>
                      <m:t>=</m:t>
                    </m:r>
                    <m:f>
                      <m:fPr>
                        <m:ctrlPr>
                          <a:rPr lang="fr-FR" sz="1100" b="0" i="1">
                            <a:latin typeface="Cambria Math" panose="02040503050406030204" pitchFamily="18" charset="0"/>
                            <a:ea typeface="Cambria Math" panose="02040503050406030204" pitchFamily="18" charset="0"/>
                          </a:rPr>
                        </m:ctrlPr>
                      </m:fPr>
                      <m:num>
                        <m:acc>
                          <m:accPr>
                            <m:chr m:val="̅"/>
                            <m:ctrlPr>
                              <a:rPr lang="fr-FR" sz="1100" b="0" i="1">
                                <a:latin typeface="Cambria Math" panose="02040503050406030204" pitchFamily="18" charset="0"/>
                                <a:ea typeface="Cambria Math" panose="02040503050406030204" pitchFamily="18" charset="0"/>
                              </a:rPr>
                            </m:ctrlPr>
                          </m:accPr>
                          <m:e>
                            <m:r>
                              <a:rPr lang="fr-FR" sz="1100" b="0" i="1">
                                <a:latin typeface="Cambria Math" panose="02040503050406030204" pitchFamily="18" charset="0"/>
                                <a:ea typeface="Cambria Math" panose="02040503050406030204" pitchFamily="18" charset="0"/>
                              </a:rPr>
                              <m:t>𝑅</m:t>
                            </m:r>
                          </m:e>
                        </m:acc>
                      </m:num>
                      <m:den>
                        <m:r>
                          <a:rPr lang="fr-FR" sz="1100" b="0" i="1">
                            <a:latin typeface="Cambria Math" panose="02040503050406030204" pitchFamily="18" charset="0"/>
                            <a:ea typeface="Cambria Math" panose="02040503050406030204" pitchFamily="18" charset="0"/>
                          </a:rPr>
                          <m:t>𝑑</m:t>
                        </m:r>
                        <m:r>
                          <a:rPr lang="fr-FR" sz="1100" b="0" i="1">
                            <a:latin typeface="Cambria Math" panose="02040503050406030204" pitchFamily="18" charset="0"/>
                            <a:ea typeface="Cambria Math" panose="02040503050406030204" pitchFamily="18" charset="0"/>
                          </a:rPr>
                          <m:t>5</m:t>
                        </m:r>
                      </m:den>
                    </m:f>
                    <m:r>
                      <a:rPr lang="fr-FR" sz="1100" b="0" i="1">
                        <a:latin typeface="Cambria Math" panose="02040503050406030204" pitchFamily="18" charset="0"/>
                        <a:ea typeface="Cambria Math" panose="02040503050406030204" pitchFamily="18" charset="0"/>
                      </a:rPr>
                      <m:t>)</m:t>
                    </m:r>
                  </m:oMath>
                </m:oMathPara>
              </a14:m>
              <a:endParaRPr lang="fr-FR" sz="1100"/>
            </a:p>
          </xdr:txBody>
        </xdr:sp>
      </mc:Choice>
      <mc:Fallback xmlns="">
        <xdr:sp macro="" textlink="">
          <xdr:nvSpPr>
            <xdr:cNvPr id="4" name="ZoneTexte 3">
              <a:extLst>
                <a:ext uri="{FF2B5EF4-FFF2-40B4-BE49-F238E27FC236}">
                  <a16:creationId xmlns:a16="http://schemas.microsoft.com/office/drawing/2014/main" id="{933BBD07-894E-41AF-98B8-9A72D1E1A51A}"/>
                </a:ext>
              </a:extLst>
            </xdr:cNvPr>
            <xdr:cNvSpPr txBox="1"/>
          </xdr:nvSpPr>
          <xdr:spPr>
            <a:xfrm>
              <a:off x="777875" y="6516688"/>
              <a:ext cx="3309938" cy="1008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Calcul de</a:t>
              </a:r>
              <a:r>
                <a:rPr lang="fr-FR" sz="1100" baseline="0"/>
                <a:t> la capabilité :</a:t>
              </a:r>
            </a:p>
            <a:p>
              <a:r>
                <a:rPr lang="fr-FR" sz="1100" baseline="0"/>
                <a:t>(d5 = 2.326)</a:t>
              </a:r>
            </a:p>
            <a:p>
              <a:pPr/>
              <a:r>
                <a:rPr lang="fr-FR" sz="1100" b="0" i="0">
                  <a:latin typeface="Cambria Math" panose="02040503050406030204" pitchFamily="18" charset="0"/>
                  <a:ea typeface="Cambria Math" panose="02040503050406030204" pitchFamily="18" charset="0"/>
                </a:rPr>
                <a:t>𝐶𝑝=𝐼𝑇/6𝜎        (𝑎𝑣𝑒𝑐 𝜎=𝑅 ̅/𝑑5)</a:t>
              </a:r>
              <a:endParaRPr lang="fr-FR" sz="1100"/>
            </a:p>
          </xdr:txBody>
        </xdr:sp>
      </mc:Fallback>
    </mc:AlternateContent>
    <xdr:clientData/>
  </xdr:twoCellAnchor>
  <xdr:twoCellAnchor>
    <xdr:from>
      <xdr:col>7</xdr:col>
      <xdr:colOff>238125</xdr:colOff>
      <xdr:row>34</xdr:row>
      <xdr:rowOff>111125</xdr:rowOff>
    </xdr:from>
    <xdr:to>
      <xdr:col>11</xdr:col>
      <xdr:colOff>198437</xdr:colOff>
      <xdr:row>39</xdr:row>
      <xdr:rowOff>158750</xdr:rowOff>
    </xdr:to>
    <xdr:sp macro="" textlink="">
      <xdr:nvSpPr>
        <xdr:cNvPr id="5" name="ZoneTexte 4">
          <a:extLst>
            <a:ext uri="{FF2B5EF4-FFF2-40B4-BE49-F238E27FC236}">
              <a16:creationId xmlns:a16="http://schemas.microsoft.com/office/drawing/2014/main" id="{AA44AE16-D73A-1729-AF1F-1CA8B3AF3B55}"/>
            </a:ext>
          </a:extLst>
        </xdr:cNvPr>
        <xdr:cNvSpPr txBox="1"/>
      </xdr:nvSpPr>
      <xdr:spPr>
        <a:xfrm>
          <a:off x="6151563" y="6746875"/>
          <a:ext cx="2897187" cy="1000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i="1"/>
            <a:t>La valeur du Cp bien qu'excellente</a:t>
          </a:r>
          <a:r>
            <a:rPr lang="fr-FR" sz="1100" b="1" i="1" baseline="0"/>
            <a:t> (car nous sommes dans l'intervalle de tolérance) ne dit rien sur la dérive du processus qui elles est inquiétante... Le Cpk nous renseigne bien sur un décentrage, il faut améliorer le procédé.</a:t>
          </a:r>
        </a:p>
        <a:p>
          <a:endParaRPr lang="fr-FR" sz="1100" b="1" i="1"/>
        </a:p>
      </xdr:txBody>
    </xdr:sp>
    <xdr:clientData/>
  </xdr:twoCellAnchor>
  <xdr:twoCellAnchor>
    <xdr:from>
      <xdr:col>8</xdr:col>
      <xdr:colOff>23812</xdr:colOff>
      <xdr:row>18</xdr:row>
      <xdr:rowOff>103188</xdr:rowOff>
    </xdr:from>
    <xdr:to>
      <xdr:col>9</xdr:col>
      <xdr:colOff>39687</xdr:colOff>
      <xdr:row>20</xdr:row>
      <xdr:rowOff>1</xdr:rowOff>
    </xdr:to>
    <xdr:sp macro="" textlink="">
      <xdr:nvSpPr>
        <xdr:cNvPr id="6" name="ZoneTexte 5">
          <a:extLst>
            <a:ext uri="{FF2B5EF4-FFF2-40B4-BE49-F238E27FC236}">
              <a16:creationId xmlns:a16="http://schemas.microsoft.com/office/drawing/2014/main" id="{F2272EA1-00C3-6FBE-5EB5-7C6C0D83092A}"/>
            </a:ext>
          </a:extLst>
        </xdr:cNvPr>
        <xdr:cNvSpPr txBox="1"/>
      </xdr:nvSpPr>
      <xdr:spPr>
        <a:xfrm>
          <a:off x="6699250" y="3690938"/>
          <a:ext cx="777875" cy="2778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t>y = </a:t>
          </a:r>
          <a:r>
            <a:rPr lang="fr-FR" sz="1100" b="1">
              <a:sym typeface="Symbol" panose="05050102010706020507" pitchFamily="18" charset="2"/>
            </a:rPr>
            <a:t>x + </a:t>
          </a:r>
          <a:endParaRPr lang="fr-FR" sz="1100" b="1"/>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D4DED-B34E-4F9E-A4F0-10EFF8E42A59}">
  <sheetPr>
    <pageSetUpPr fitToPage="1"/>
  </sheetPr>
  <dimension ref="B2:T12"/>
  <sheetViews>
    <sheetView topLeftCell="A9" zoomScaleNormal="100" workbookViewId="0">
      <selection activeCell="I43" sqref="I43"/>
    </sheetView>
  </sheetViews>
  <sheetFormatPr baseColWidth="10" defaultRowHeight="15" x14ac:dyDescent="0.25"/>
  <sheetData>
    <row r="2" spans="2:20" ht="15.75" thickBot="1" x14ac:dyDescent="0.3"/>
    <row r="3" spans="2:20" ht="16.5" thickTop="1" thickBot="1" x14ac:dyDescent="0.3">
      <c r="B3" s="22" t="s">
        <v>0</v>
      </c>
      <c r="C3" s="23"/>
      <c r="D3" s="1" t="s">
        <v>1</v>
      </c>
      <c r="E3" s="2" t="s">
        <v>2</v>
      </c>
      <c r="F3" s="2" t="s">
        <v>3</v>
      </c>
      <c r="G3" s="2" t="s">
        <v>4</v>
      </c>
      <c r="H3" s="2" t="s">
        <v>5</v>
      </c>
      <c r="I3" s="2" t="s">
        <v>6</v>
      </c>
      <c r="J3" s="2" t="s">
        <v>7</v>
      </c>
      <c r="K3" s="2" t="s">
        <v>8</v>
      </c>
      <c r="L3" s="2" t="s">
        <v>9</v>
      </c>
      <c r="M3" s="3" t="s">
        <v>10</v>
      </c>
    </row>
    <row r="4" spans="2:20" ht="16.5" thickTop="1" thickBot="1" x14ac:dyDescent="0.3">
      <c r="B4" s="24" t="s">
        <v>11</v>
      </c>
      <c r="C4" s="25"/>
      <c r="D4" s="4">
        <v>11.87</v>
      </c>
      <c r="E4" s="4">
        <v>11.87</v>
      </c>
      <c r="F4" s="4">
        <v>11.91</v>
      </c>
      <c r="G4" s="4">
        <v>11.89</v>
      </c>
      <c r="H4" s="4">
        <v>11.91</v>
      </c>
      <c r="I4" s="4">
        <v>11.85</v>
      </c>
      <c r="J4" s="4">
        <v>11.928000000000001</v>
      </c>
      <c r="K4" s="4">
        <v>11.939</v>
      </c>
      <c r="L4" s="4">
        <v>11.945</v>
      </c>
      <c r="M4" s="4">
        <v>11.981999999999999</v>
      </c>
    </row>
    <row r="5" spans="2:20" ht="16.5" thickTop="1" thickBot="1" x14ac:dyDescent="0.3">
      <c r="B5" s="24"/>
      <c r="C5" s="25"/>
      <c r="D5" s="4">
        <v>11.86</v>
      </c>
      <c r="E5" s="4">
        <v>11.85</v>
      </c>
      <c r="F5" s="4">
        <v>11.9</v>
      </c>
      <c r="G5" s="4">
        <v>11.91</v>
      </c>
      <c r="H5" s="4">
        <v>11.92</v>
      </c>
      <c r="I5" s="4">
        <v>11.91</v>
      </c>
      <c r="J5" s="4">
        <v>11.904</v>
      </c>
      <c r="K5" s="4">
        <v>11.929</v>
      </c>
      <c r="L5" s="4">
        <v>11.951000000000001</v>
      </c>
      <c r="M5" s="4">
        <v>11.942</v>
      </c>
    </row>
    <row r="6" spans="2:20" ht="20.25" thickTop="1" thickBot="1" x14ac:dyDescent="0.35">
      <c r="B6" s="24"/>
      <c r="C6" s="25"/>
      <c r="D6" s="4">
        <v>11.84</v>
      </c>
      <c r="E6" s="4">
        <v>11.86</v>
      </c>
      <c r="F6" s="4">
        <v>11.86</v>
      </c>
      <c r="G6" s="4">
        <v>11.89</v>
      </c>
      <c r="H6" s="4">
        <v>11.93</v>
      </c>
      <c r="I6" s="4">
        <v>11.92</v>
      </c>
      <c r="J6" s="4">
        <v>11.911</v>
      </c>
      <c r="K6" s="4">
        <v>11.94</v>
      </c>
      <c r="L6" s="4">
        <v>11.941000000000001</v>
      </c>
      <c r="M6" s="4">
        <v>11.977</v>
      </c>
      <c r="P6" s="9" t="s">
        <v>15</v>
      </c>
      <c r="Q6" s="9">
        <v>0.59399999999999997</v>
      </c>
      <c r="S6" s="9" t="s">
        <v>19</v>
      </c>
      <c r="T6" s="9">
        <f>N10+Q6*N11</f>
        <v>11.934715999999996</v>
      </c>
    </row>
    <row r="7" spans="2:20" ht="20.25" thickTop="1" thickBot="1" x14ac:dyDescent="0.35">
      <c r="B7" s="24"/>
      <c r="C7" s="25"/>
      <c r="D7" s="4">
        <v>11.88</v>
      </c>
      <c r="E7" s="4">
        <v>11.84</v>
      </c>
      <c r="F7" s="4">
        <v>11.88</v>
      </c>
      <c r="G7" s="4">
        <v>11.88</v>
      </c>
      <c r="H7" s="4">
        <v>11.89</v>
      </c>
      <c r="I7" s="4">
        <v>11.93</v>
      </c>
      <c r="J7" s="4">
        <v>11.943</v>
      </c>
      <c r="K7" s="4">
        <v>11.946999999999999</v>
      </c>
      <c r="L7" s="4">
        <v>11.927</v>
      </c>
      <c r="M7" s="4">
        <v>11.952999999999999</v>
      </c>
      <c r="P7" s="9" t="s">
        <v>16</v>
      </c>
      <c r="Q7" s="9">
        <v>0.377</v>
      </c>
      <c r="S7" s="9" t="s">
        <v>20</v>
      </c>
      <c r="T7" s="9">
        <f>N10-Q6*N11</f>
        <v>11.882443999999998</v>
      </c>
    </row>
    <row r="8" spans="2:20" ht="20.25" thickTop="1" thickBot="1" x14ac:dyDescent="0.35">
      <c r="B8" s="24"/>
      <c r="C8" s="25"/>
      <c r="D8" s="4">
        <v>11.87</v>
      </c>
      <c r="E8" s="4">
        <v>11.89</v>
      </c>
      <c r="F8" s="4">
        <v>11.87</v>
      </c>
      <c r="G8" s="4">
        <v>11.92</v>
      </c>
      <c r="H8" s="4">
        <v>11.9</v>
      </c>
      <c r="I8" s="4">
        <v>11.9</v>
      </c>
      <c r="J8" s="4">
        <v>11.954000000000001</v>
      </c>
      <c r="K8" s="4">
        <v>11.920999999999999</v>
      </c>
      <c r="L8" s="4">
        <v>11.946999999999999</v>
      </c>
      <c r="M8" s="4">
        <v>11.948</v>
      </c>
      <c r="P8" s="9" t="s">
        <v>17</v>
      </c>
      <c r="Q8" s="9">
        <v>2.36</v>
      </c>
      <c r="S8" s="9" t="s">
        <v>21</v>
      </c>
      <c r="T8" s="9">
        <f>N10+Q7*N11</f>
        <v>11.925167999999998</v>
      </c>
    </row>
    <row r="9" spans="2:20" ht="19.5" thickTop="1" x14ac:dyDescent="0.3">
      <c r="B9" s="26" t="s">
        <v>12</v>
      </c>
      <c r="C9" s="27"/>
      <c r="D9" s="5">
        <f>SUM(D4:D8)</f>
        <v>59.319999999999993</v>
      </c>
      <c r="E9" s="5">
        <f t="shared" ref="E9:M9" si="0">SUM(E4:E8)</f>
        <v>59.31</v>
      </c>
      <c r="F9" s="5">
        <f t="shared" si="0"/>
        <v>59.42</v>
      </c>
      <c r="G9" s="5">
        <f t="shared" si="0"/>
        <v>59.49</v>
      </c>
      <c r="H9" s="5">
        <f t="shared" si="0"/>
        <v>59.55</v>
      </c>
      <c r="I9" s="5">
        <f t="shared" si="0"/>
        <v>59.51</v>
      </c>
      <c r="J9" s="5">
        <f t="shared" si="0"/>
        <v>59.64</v>
      </c>
      <c r="K9" s="5">
        <f t="shared" si="0"/>
        <v>59.675999999999995</v>
      </c>
      <c r="L9" s="5">
        <f t="shared" si="0"/>
        <v>59.710999999999999</v>
      </c>
      <c r="M9" s="5">
        <f t="shared" si="0"/>
        <v>59.802</v>
      </c>
      <c r="P9" s="9" t="s">
        <v>18</v>
      </c>
      <c r="Q9" s="9">
        <v>1.81</v>
      </c>
      <c r="S9" s="9" t="s">
        <v>22</v>
      </c>
      <c r="T9" s="9">
        <f>N10-Q7*N11</f>
        <v>11.891991999999997</v>
      </c>
    </row>
    <row r="10" spans="2:20" ht="21" x14ac:dyDescent="0.3">
      <c r="B10" s="28" t="s">
        <v>13</v>
      </c>
      <c r="C10" s="29"/>
      <c r="D10" s="6">
        <f>AVERAGE(D4:D8)</f>
        <v>11.863999999999999</v>
      </c>
      <c r="E10" s="6">
        <f t="shared" ref="E10:M10" si="1">AVERAGE(E4:E8)</f>
        <v>11.862</v>
      </c>
      <c r="F10" s="6">
        <f t="shared" si="1"/>
        <v>11.884</v>
      </c>
      <c r="G10" s="6">
        <f t="shared" si="1"/>
        <v>11.898</v>
      </c>
      <c r="H10" s="6">
        <f t="shared" si="1"/>
        <v>11.91</v>
      </c>
      <c r="I10" s="6">
        <f t="shared" si="1"/>
        <v>11.901999999999999</v>
      </c>
      <c r="J10" s="19">
        <f t="shared" si="1"/>
        <v>11.928000000000001</v>
      </c>
      <c r="K10" s="19">
        <f t="shared" si="1"/>
        <v>11.935199999999998</v>
      </c>
      <c r="L10" s="19">
        <f t="shared" si="1"/>
        <v>11.9422</v>
      </c>
      <c r="M10" s="19">
        <f t="shared" si="1"/>
        <v>11.9604</v>
      </c>
      <c r="N10" s="15">
        <f>AVERAGE(D10:M10)</f>
        <v>11.908579999999997</v>
      </c>
      <c r="S10" s="9" t="s">
        <v>23</v>
      </c>
      <c r="T10" s="9">
        <f>Q8*N11</f>
        <v>0.10384000000000029</v>
      </c>
    </row>
    <row r="11" spans="2:20" ht="21.75" thickBot="1" x14ac:dyDescent="0.35">
      <c r="B11" s="30" t="s">
        <v>14</v>
      </c>
      <c r="C11" s="31"/>
      <c r="D11" s="7">
        <f>MAX(D4:D8)-MIN(D4:D8)</f>
        <v>4.0000000000000924E-2</v>
      </c>
      <c r="E11" s="7">
        <f t="shared" ref="E11:M11" si="2">MAX(E4:E8)-MIN(E4:E8)</f>
        <v>5.0000000000000711E-2</v>
      </c>
      <c r="F11" s="7">
        <f t="shared" si="2"/>
        <v>5.0000000000000711E-2</v>
      </c>
      <c r="G11" s="7">
        <f t="shared" si="2"/>
        <v>3.9999999999999147E-2</v>
      </c>
      <c r="H11" s="7">
        <f t="shared" si="2"/>
        <v>3.9999999999999147E-2</v>
      </c>
      <c r="I11" s="7">
        <f t="shared" si="2"/>
        <v>8.0000000000000071E-2</v>
      </c>
      <c r="J11" s="20">
        <f t="shared" si="2"/>
        <v>5.0000000000000711E-2</v>
      </c>
      <c r="K11" s="20">
        <f t="shared" si="2"/>
        <v>2.5999999999999801E-2</v>
      </c>
      <c r="L11" s="20">
        <f t="shared" si="2"/>
        <v>2.4000000000000909E-2</v>
      </c>
      <c r="M11" s="21">
        <f t="shared" si="2"/>
        <v>3.9999999999999147E-2</v>
      </c>
      <c r="N11" s="8">
        <f>AVERAGE(D11:M11)</f>
        <v>4.4000000000000129E-2</v>
      </c>
      <c r="S11" s="9" t="s">
        <v>24</v>
      </c>
      <c r="T11" s="9">
        <f>Q9*N11</f>
        <v>7.9640000000000238E-2</v>
      </c>
    </row>
    <row r="12" spans="2:20" ht="15.75" thickTop="1" x14ac:dyDescent="0.25"/>
  </sheetData>
  <mergeCells count="5">
    <mergeCell ref="B3:C3"/>
    <mergeCell ref="B4:C8"/>
    <mergeCell ref="B9:C9"/>
    <mergeCell ref="B10:C10"/>
    <mergeCell ref="B11:C11"/>
  </mergeCells>
  <pageMargins left="0.7" right="0.7" top="0.75" bottom="0.75" header="0.3" footer="0.3"/>
  <pageSetup paperSize="9" scale="5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0BF0D-7D4E-4C3B-A401-F4CB5C8E564A}">
  <sheetPr>
    <pageSetUpPr fitToPage="1"/>
  </sheetPr>
  <dimension ref="B2:J42"/>
  <sheetViews>
    <sheetView tabSelected="1" topLeftCell="B16" zoomScale="120" zoomScaleNormal="120" workbookViewId="0">
      <selection activeCell="L20" sqref="L20"/>
    </sheetView>
  </sheetViews>
  <sheetFormatPr baseColWidth="10" defaultRowHeight="15" x14ac:dyDescent="0.25"/>
  <cols>
    <col min="2" max="2" width="25.140625" customWidth="1"/>
    <col min="3" max="3" width="6.42578125" customWidth="1"/>
    <col min="10" max="10" width="9.7109375" customWidth="1"/>
  </cols>
  <sheetData>
    <row r="2" spans="2:10" x14ac:dyDescent="0.25">
      <c r="B2" s="10" t="s">
        <v>25</v>
      </c>
      <c r="C2" s="10">
        <f>MIN(Feuil1!D4:M8)</f>
        <v>11.84</v>
      </c>
    </row>
    <row r="3" spans="2:10" x14ac:dyDescent="0.25">
      <c r="B3" s="10" t="s">
        <v>26</v>
      </c>
      <c r="C3" s="10">
        <f>MAX(Feuil1!D4:M8)</f>
        <v>11.981999999999999</v>
      </c>
    </row>
    <row r="4" spans="2:10" x14ac:dyDescent="0.25">
      <c r="B4" s="10" t="s">
        <v>27</v>
      </c>
      <c r="C4" s="10">
        <f>C3-C2</f>
        <v>0.14199999999999946</v>
      </c>
    </row>
    <row r="5" spans="2:10" x14ac:dyDescent="0.25">
      <c r="B5" s="10" t="s">
        <v>28</v>
      </c>
      <c r="C5" s="10">
        <v>50</v>
      </c>
    </row>
    <row r="6" spans="2:10" x14ac:dyDescent="0.25">
      <c r="B6" s="10" t="s">
        <v>29</v>
      </c>
      <c r="C6" s="18">
        <f>SQRT(C5)</f>
        <v>7.0710678118654755</v>
      </c>
    </row>
    <row r="7" spans="2:10" x14ac:dyDescent="0.25">
      <c r="B7" s="10" t="s">
        <v>30</v>
      </c>
      <c r="C7" s="10">
        <f>C4/C6+0.001</f>
        <v>2.1081832585697874E-2</v>
      </c>
    </row>
    <row r="9" spans="2:10" ht="27.75" customHeight="1" x14ac:dyDescent="0.25">
      <c r="E9" s="32" t="s">
        <v>31</v>
      </c>
      <c r="F9" s="32"/>
      <c r="G9" s="13" t="s">
        <v>32</v>
      </c>
      <c r="H9" s="13" t="s">
        <v>33</v>
      </c>
      <c r="I9" s="13" t="s">
        <v>34</v>
      </c>
      <c r="J9" s="14" t="s">
        <v>35</v>
      </c>
    </row>
    <row r="10" spans="2:10" x14ac:dyDescent="0.25">
      <c r="E10" s="11">
        <f>C2</f>
        <v>11.84</v>
      </c>
      <c r="F10" s="11">
        <f>E10+$C$7</f>
        <v>11.861081832585699</v>
      </c>
      <c r="G10" s="10">
        <f t="array" ref="G10:G16">FREQUENCY(Feuil1!D4:M8,'Question 6'!F10:F16)</f>
        <v>7</v>
      </c>
      <c r="H10" s="10">
        <f>G10</f>
        <v>7</v>
      </c>
      <c r="I10" s="12">
        <f t="shared" ref="I10:I16" si="0">H10/$G$17</f>
        <v>0.14000000000000001</v>
      </c>
      <c r="J10" s="10">
        <f>_xlfn.NORM.S.INV(I10)</f>
        <v>-1.0803193408149565</v>
      </c>
    </row>
    <row r="11" spans="2:10" x14ac:dyDescent="0.25">
      <c r="E11" s="11">
        <f>F10</f>
        <v>11.861081832585699</v>
      </c>
      <c r="F11" s="11">
        <f t="shared" ref="F11:F16" si="1">E11+$C$7</f>
        <v>11.882163665171397</v>
      </c>
      <c r="G11" s="10">
        <v>7</v>
      </c>
      <c r="H11" s="10">
        <f>H10+G11</f>
        <v>14</v>
      </c>
      <c r="I11" s="12">
        <f t="shared" si="0"/>
        <v>0.28000000000000003</v>
      </c>
      <c r="J11" s="10">
        <f t="shared" ref="J11:J16" si="2">_xlfn.NORM.S.INV(I11)</f>
        <v>-0.58284150727121631</v>
      </c>
    </row>
    <row r="12" spans="2:10" x14ac:dyDescent="0.25">
      <c r="E12" s="11">
        <f t="shared" ref="E12:E16" si="3">F11</f>
        <v>11.882163665171397</v>
      </c>
      <c r="F12" s="11">
        <f t="shared" si="1"/>
        <v>11.903245497757096</v>
      </c>
      <c r="G12" s="10">
        <v>7</v>
      </c>
      <c r="H12" s="10">
        <f t="shared" ref="H12:H16" si="4">H11+G12</f>
        <v>21</v>
      </c>
      <c r="I12" s="12">
        <f t="shared" si="0"/>
        <v>0.42</v>
      </c>
      <c r="J12" s="10">
        <f t="shared" si="2"/>
        <v>-0.20189347914185088</v>
      </c>
    </row>
    <row r="13" spans="2:10" x14ac:dyDescent="0.25">
      <c r="E13" s="11">
        <f t="shared" si="3"/>
        <v>11.903245497757096</v>
      </c>
      <c r="F13" s="11">
        <f t="shared" si="1"/>
        <v>11.924327330342795</v>
      </c>
      <c r="G13" s="10">
        <v>10</v>
      </c>
      <c r="H13" s="10">
        <f t="shared" si="4"/>
        <v>31</v>
      </c>
      <c r="I13" s="12">
        <f t="shared" si="0"/>
        <v>0.62</v>
      </c>
      <c r="J13" s="10">
        <f t="shared" si="2"/>
        <v>0.30548078809939727</v>
      </c>
    </row>
    <row r="14" spans="2:10" x14ac:dyDescent="0.25">
      <c r="E14" s="11">
        <f t="shared" si="3"/>
        <v>11.924327330342795</v>
      </c>
      <c r="F14" s="11">
        <f t="shared" si="1"/>
        <v>11.945409162928494</v>
      </c>
      <c r="G14" s="10">
        <v>11</v>
      </c>
      <c r="H14" s="10">
        <f t="shared" si="4"/>
        <v>42</v>
      </c>
      <c r="I14" s="12">
        <f t="shared" si="0"/>
        <v>0.84</v>
      </c>
      <c r="J14" s="10">
        <f t="shared" si="2"/>
        <v>0.9944578832097497</v>
      </c>
    </row>
    <row r="15" spans="2:10" x14ac:dyDescent="0.25">
      <c r="E15" s="11">
        <f t="shared" si="3"/>
        <v>11.945409162928494</v>
      </c>
      <c r="F15" s="11">
        <f t="shared" si="1"/>
        <v>11.966490995514192</v>
      </c>
      <c r="G15" s="10">
        <v>6</v>
      </c>
      <c r="H15" s="10">
        <f t="shared" si="4"/>
        <v>48</v>
      </c>
      <c r="I15" s="12">
        <f t="shared" si="0"/>
        <v>0.96</v>
      </c>
      <c r="J15" s="10">
        <f t="shared" si="2"/>
        <v>1.7506860712521695</v>
      </c>
    </row>
    <row r="16" spans="2:10" x14ac:dyDescent="0.25">
      <c r="E16" s="11">
        <f t="shared" si="3"/>
        <v>11.966490995514192</v>
      </c>
      <c r="F16" s="11">
        <f t="shared" si="1"/>
        <v>11.987572828099891</v>
      </c>
      <c r="G16" s="10">
        <v>2</v>
      </c>
      <c r="H16" s="10">
        <f t="shared" si="4"/>
        <v>50</v>
      </c>
      <c r="I16" s="12">
        <f t="shared" si="0"/>
        <v>1</v>
      </c>
      <c r="J16" s="10" t="e">
        <f t="shared" si="2"/>
        <v>#NUM!</v>
      </c>
    </row>
    <row r="17" spans="7:7" x14ac:dyDescent="0.25">
      <c r="G17" s="10">
        <f>SUM(G10:G16)</f>
        <v>50</v>
      </c>
    </row>
    <row r="36" spans="3:7" x14ac:dyDescent="0.25">
      <c r="F36" t="s">
        <v>36</v>
      </c>
      <c r="G36">
        <f>Feuil1!N11/2.326</f>
        <v>1.8916595012897733E-2</v>
      </c>
    </row>
    <row r="38" spans="3:7" x14ac:dyDescent="0.25">
      <c r="F38" s="17" t="s">
        <v>37</v>
      </c>
      <c r="G38" s="33">
        <f>0.15/(6*G36)</f>
        <v>1.3215909090909053</v>
      </c>
    </row>
    <row r="39" spans="3:7" x14ac:dyDescent="0.25">
      <c r="F39" s="17" t="s">
        <v>38</v>
      </c>
      <c r="G39" s="33">
        <f>MIN((Feuil1!N10-11.85)/(3*G36),(12-Feuil1!N10)/(3*'Question 6'!G36))</f>
        <v>1.0322506060605574</v>
      </c>
    </row>
    <row r="42" spans="3:7" ht="35.25" customHeight="1" x14ac:dyDescent="3.5">
      <c r="C42" s="16"/>
    </row>
  </sheetData>
  <mergeCells count="1">
    <mergeCell ref="E9:F9"/>
  </mergeCells>
  <pageMargins left="0.7" right="0.7" top="0.75" bottom="0.75" header="0.3" footer="0.3"/>
  <pageSetup paperSize="9" scale="8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Question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Stéphane JAUBERT</dc:creator>
  <cp:lastModifiedBy>Stéphane JAUBERT</cp:lastModifiedBy>
  <cp:lastPrinted>2022-10-06T07:00:54Z</cp:lastPrinted>
  <dcterms:created xsi:type="dcterms:W3CDTF">2021-07-20T13:35:28Z</dcterms:created>
  <dcterms:modified xsi:type="dcterms:W3CDTF">2023-11-24T07:13:42Z</dcterms:modified>
</cp:coreProperties>
</file>