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TQ_2026 CQPM Technicien qualité - Bourges 5-6 Novembre  2026/V3_Formation_Salaries/"/>
    </mc:Choice>
  </mc:AlternateContent>
  <xr:revisionPtr revIDLastSave="13" documentId="11_F9490EB66F15501B7E4EA62C01BC0C8D3914521F" xr6:coauthVersionLast="47" xr6:coauthVersionMax="47" xr10:uidLastSave="{36243C6B-D283-47D2-AA5F-09F2A7B5626A}"/>
  <bookViews>
    <workbookView xWindow="-120" yWindow="-120" windowWidth="29040" windowHeight="15720" tabRatio="500" xr2:uid="{00000000-000D-0000-FFFF-FFFF00000000}"/>
  </bookViews>
  <sheets>
    <sheet name="Saisie" sheetId="1" r:id="rId1"/>
    <sheet name="Projec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2" l="1"/>
  <c r="G16" i="2"/>
  <c r="G13" i="2"/>
  <c r="F13" i="2"/>
  <c r="E13" i="2"/>
  <c r="D13" i="2"/>
  <c r="C13" i="2"/>
  <c r="B13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J15" i="1"/>
  <c r="J14" i="1"/>
  <c r="J13" i="1"/>
  <c r="J12" i="1"/>
  <c r="J11" i="1"/>
  <c r="J10" i="1"/>
  <c r="J16" i="1" s="1"/>
  <c r="E3" i="2" s="1"/>
  <c r="G19" i="2" l="1"/>
  <c r="G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100-000001000000}">
      <text>
        <r>
          <rPr>
            <sz val="10"/>
            <rFont val="Arial"/>
            <family val="2"/>
          </rPr>
          <t>Choisir OUI quand les 36 mesures sont saisies. Avant : les cases saisies affichent seulement « ✓ ».</t>
        </r>
      </text>
    </comment>
  </commentList>
</comments>
</file>

<file path=xl/sharedStrings.xml><?xml version="1.0" encoding="utf-8"?>
<sst xmlns="http://schemas.openxmlformats.org/spreadsheetml/2006/main" count="45" uniqueCount="35">
  <si>
    <t>Flash mesure en aveugle · saisie des mesures (fiche A du livret)</t>
  </si>
  <si>
    <t>CQPM Technicien Qualité TQ6 · 5 novembre 2026 · petit diamètre des butées, en mm</t>
  </si>
  <si>
    <t>Mode d'emploi</t>
  </si>
  <si>
    <t>1. Chaque stagiaire saisit SES 6 mesures sur SA ligne, dans les cases jaunes. Virgule décimale : 11,88.</t>
  </si>
  <si>
    <t>2. Les valeurs disparaissent dès qu'on valide (mesure en aveugle). La colonne « Mesures » compte vos 6 mesures, sans le n° du micromètre.</t>
  </si>
  <si>
    <t>3. Une valeur hors de 11,70 à 12,10 mm est refusée (faute de frappe probable). Pour corriger : sélectionner la case et retaper.</t>
  </si>
  <si>
    <t>4. Quand la colonne « Mesures » affiche 6 partout, le formateur passe sur l'onglet « Projection » et choisit OUI dans « Révéler ».</t>
  </si>
  <si>
    <t>Stagiaire</t>
  </si>
  <si>
    <t>Prénom (facultatif)</t>
  </si>
  <si>
    <t>N° du
micromètre</t>
  </si>
  <si>
    <t>Butée 1
pied</t>
  </si>
  <si>
    <t>Butée 2
pied</t>
  </si>
  <si>
    <t>Butée 3
pied</t>
  </si>
  <si>
    <t>Butée 4
pied</t>
  </si>
  <si>
    <t>Butée 5
pied</t>
  </si>
  <si>
    <t>Butée 1
micromètre</t>
  </si>
  <si>
    <t>Mesures
(sur 6)</t>
  </si>
  <si>
    <t>Total</t>
  </si>
  <si>
    <t>Exemple de saisie (ne pas remplir ici) : M3 ; pied 11,88 · 11,90 · 11,86 · 11,92 · 11,88 ; micromètre 11,874.</t>
  </si>
  <si>
    <t>Cases jaunes : à remplir. Les autres cases sont calculées. Le pied à coulisse lit au 0,02 mm, le micromètre au 0,001 mm.</t>
  </si>
  <si>
    <t>Flash mesure en aveugle · la grille du groupe</t>
  </si>
  <si>
    <t>Butées n° 1 à 5 au pied à coulisse, butée n° 1 au micromètre · petit diamètre (mm) · tolérance 11,85 / 12,00</t>
  </si>
  <si>
    <t>Révéler les valeurs ?</t>
  </si>
  <si>
    <t>NON</t>
  </si>
  <si>
    <t>Écart sur mes
5 butées (pied)</t>
  </si>
  <si>
    <t>Écart maxi
(colonne)</t>
  </si>
  <si>
    <t>Valeurs</t>
  </si>
  <si>
    <t>Lecture</t>
  </si>
  <si>
    <t>Butée 1, écart entre personnes au pied à coulisse :</t>
  </si>
  <si>
    <t>mm</t>
  </si>
  <si>
    <t>Butée 1, écart entre personnes au micromètre :</t>
  </si>
  <si>
    <t>Moyenne des écarts en colonne (même butée, six personnes) :</t>
  </si>
  <si>
    <t>Moyenne des écarts en ligne (même personne, cinq butées) :</t>
  </si>
  <si>
    <t>Questions de la fiche A : quelle est la vraie valeur de la butée n° 1 ? Qu'est-ce qui varie le plus, les pièces ou les mesures ? Quel instrument pour 11,85 / 12,00 ?</t>
  </si>
  <si>
    <t>Couleurs après révélation : dans chaque colonne, bleu = plus petites valeurs, orange = plus grandes. Valeur en rouge gras : hors tolérance.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</si>
</sst>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.000"/>
  </numFmts>
  <fonts count="26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color rgb="FF666666"/>
      <name val="Arial"/>
      <charset val="1"/>
    </font>
    <font>
      <b/>
      <sz val="12"/>
      <color rgb="FF1F3864"/>
      <name val="Arial"/>
      <charset val="1"/>
    </font>
    <font>
      <sz val="11"/>
      <color rgb="FF222222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sz val="12"/>
      <color rgb="FF0000FF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i/>
      <sz val="10"/>
      <color rgb="FF666666"/>
      <name val="Arial"/>
      <charset val="1"/>
    </font>
    <font>
      <b/>
      <sz val="20"/>
      <color rgb="FF1F3864"/>
      <name val="Arial"/>
      <charset val="1"/>
    </font>
    <font>
      <sz val="11"/>
      <color rgb="FF666666"/>
      <name val="Arial"/>
      <charset val="1"/>
    </font>
    <font>
      <b/>
      <sz val="14"/>
      <color rgb="FFC55A11"/>
      <name val="Arial"/>
      <charset val="1"/>
    </font>
    <font>
      <b/>
      <sz val="14"/>
      <color rgb="FF0000FF"/>
      <name val="Arial"/>
      <charset val="1"/>
    </font>
    <font>
      <b/>
      <sz val="14"/>
      <color rgb="FF1F3864"/>
      <name val="Arial"/>
      <charset val="1"/>
    </font>
    <font>
      <b/>
      <sz val="13"/>
      <color rgb="FFFFFFFF"/>
      <name val="Arial"/>
      <charset val="1"/>
    </font>
    <font>
      <b/>
      <sz val="13"/>
      <name val="Arial"/>
      <charset val="1"/>
    </font>
    <font>
      <sz val="15"/>
      <name val="Arial"/>
      <charset val="1"/>
    </font>
    <font>
      <b/>
      <sz val="15"/>
      <color rgb="FFC55A11"/>
      <name val="Arial"/>
      <charset val="1"/>
    </font>
    <font>
      <b/>
      <sz val="12"/>
      <color rgb="FFFFFFFF"/>
      <name val="Arial"/>
      <charset val="1"/>
    </font>
    <font>
      <b/>
      <sz val="15"/>
      <color rgb="FFB91C1C"/>
      <name val="Arial"/>
      <charset val="1"/>
    </font>
    <font>
      <sz val="13"/>
      <name val="Arial"/>
      <charset val="1"/>
    </font>
    <font>
      <sz val="12"/>
      <color rgb="FF666666"/>
      <name val="Arial"/>
      <charset val="1"/>
    </font>
    <font>
      <i/>
      <sz val="12"/>
      <color rgb="FFC55A11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FDECEC"/>
      </patternFill>
    </fill>
    <fill>
      <patternFill patternType="solid">
        <fgColor rgb="FFC55A11"/>
        <bgColor rgb="FF993366"/>
      </patternFill>
    </fill>
    <fill>
      <patternFill patternType="solid">
        <fgColor rgb="FFB91C1C"/>
        <bgColor rgb="FF993366"/>
      </patternFill>
    </fill>
    <fill>
      <patternFill patternType="solid">
        <fgColor rgb="FFFDECEC"/>
        <bgColor rgb="FFFFF2CC"/>
      </patternFill>
    </fill>
    <fill>
      <patternFill patternType="solid">
        <fgColor rgb="FFE5E7EB"/>
        <bgColor rgb="FFFDECEC"/>
      </patternFill>
    </fill>
  </fills>
  <borders count="2">
    <border>
      <left/>
      <right/>
      <top/>
      <bottom/>
      <diagonal/>
    </border>
    <border>
      <left style="thin">
        <color rgb="FF9FB3CF"/>
      </left>
      <right style="thin">
        <color rgb="FF9FB3CF"/>
      </right>
      <top style="thin">
        <color rgb="FF9FB3CF"/>
      </top>
      <bottom style="thin">
        <color rgb="FF9FB3C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4" fillId="0" borderId="0" xfId="0" applyFont="1" applyAlignment="1">
      <alignment horizontal="left" vertical="center" wrapText="1"/>
    </xf>
    <xf numFmtId="0" fontId="22" fillId="0" borderId="0" xfId="0" applyFont="1"/>
    <xf numFmtId="0" fontId="15" fillId="0" borderId="0" xfId="0" applyFont="1"/>
    <xf numFmtId="0" fontId="13" fillId="0" borderId="0" xfId="0" applyFont="1"/>
    <xf numFmtId="0" fontId="2" fillId="0" borderId="0" xfId="0" applyFont="1"/>
    <xf numFmtId="0" fontId="10" fillId="0" borderId="0" xfId="0" applyFo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65" fontId="21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0" fontId="23" fillId="0" borderId="0" xfId="0" applyFont="1"/>
    <xf numFmtId="165" fontId="1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B91C1C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3CF"/>
      <rgbColor rgb="FF808080"/>
      <rgbColor rgb="FF9999FF"/>
      <rgbColor rgb="FF993366"/>
      <rgbColor rgb="FFFFF2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003300"/>
      <rgbColor rgb="FF333300"/>
      <rgbColor rgb="FFB91C1C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zoomScaleNormal="100" workbookViewId="0">
      <pane ySplit="9" topLeftCell="A10" activePane="bottomLeft" state="frozen"/>
      <selection pane="bottomLeft" activeCell="I23" sqref="I23"/>
    </sheetView>
  </sheetViews>
  <sheetFormatPr baseColWidth="10" defaultColWidth="8.7109375" defaultRowHeight="15" x14ac:dyDescent="0.25"/>
  <cols>
    <col min="1" max="1" width="11" customWidth="1"/>
    <col min="2" max="2" width="20" customWidth="1"/>
    <col min="3" max="3" width="13" customWidth="1"/>
    <col min="4" max="8" width="11" customWidth="1"/>
    <col min="9" max="9" width="13" customWidth="1"/>
    <col min="10" max="10" width="11" customWidth="1"/>
  </cols>
  <sheetData>
    <row r="1" spans="1:10" ht="20.25" x14ac:dyDescent="0.3">
      <c r="A1" s="9" t="s">
        <v>0</v>
      </c>
    </row>
    <row r="2" spans="1:10" x14ac:dyDescent="0.25">
      <c r="A2" s="10" t="s">
        <v>1</v>
      </c>
    </row>
    <row r="3" spans="1:10" ht="15" customHeight="1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0" ht="15" customHeight="1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pans="1:10" ht="26.85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ht="15" customHeight="1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ht="15" customHeight="1" x14ac:dyDescent="0.25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</row>
    <row r="9" spans="1:10" ht="33.75" customHeight="1" x14ac:dyDescent="0.25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14</v>
      </c>
      <c r="I9" s="11" t="s">
        <v>15</v>
      </c>
      <c r="J9" s="11" t="s">
        <v>16</v>
      </c>
    </row>
    <row r="10" spans="1:10" ht="24" customHeight="1" x14ac:dyDescent="0.25">
      <c r="A10" s="12">
        <v>1</v>
      </c>
      <c r="B10" s="13"/>
      <c r="C10" s="14"/>
      <c r="D10" s="15"/>
      <c r="E10" s="15"/>
      <c r="F10" s="15"/>
      <c r="G10" s="15"/>
      <c r="H10" s="15"/>
      <c r="I10" s="15"/>
      <c r="J10" s="16">
        <f t="shared" ref="J10:J15" si="0">COUNT(D10,E10,F10,G10,H10,I10)</f>
        <v>0</v>
      </c>
    </row>
    <row r="11" spans="1:10" ht="24" customHeight="1" x14ac:dyDescent="0.25">
      <c r="A11" s="12">
        <v>2</v>
      </c>
      <c r="B11" s="13"/>
      <c r="C11" s="14"/>
      <c r="D11" s="15"/>
      <c r="E11" s="15"/>
      <c r="F11" s="15"/>
      <c r="G11" s="15"/>
      <c r="H11" s="15"/>
      <c r="I11" s="15"/>
      <c r="J11" s="16">
        <f t="shared" si="0"/>
        <v>0</v>
      </c>
    </row>
    <row r="12" spans="1:10" ht="24" customHeight="1" x14ac:dyDescent="0.25">
      <c r="A12" s="12">
        <v>3</v>
      </c>
      <c r="B12" s="13"/>
      <c r="C12" s="14"/>
      <c r="D12" s="15"/>
      <c r="E12" s="15"/>
      <c r="F12" s="15"/>
      <c r="G12" s="15"/>
      <c r="H12" s="15"/>
      <c r="I12" s="15"/>
      <c r="J12" s="16">
        <f t="shared" si="0"/>
        <v>0</v>
      </c>
    </row>
    <row r="13" spans="1:10" ht="24" customHeight="1" x14ac:dyDescent="0.25">
      <c r="A13" s="12">
        <v>4</v>
      </c>
      <c r="B13" s="13"/>
      <c r="C13" s="14"/>
      <c r="D13" s="15"/>
      <c r="E13" s="15"/>
      <c r="F13" s="15"/>
      <c r="G13" s="15"/>
      <c r="H13" s="15"/>
      <c r="I13" s="15"/>
      <c r="J13" s="16">
        <f t="shared" si="0"/>
        <v>0</v>
      </c>
    </row>
    <row r="14" spans="1:10" ht="24" customHeight="1" x14ac:dyDescent="0.25">
      <c r="A14" s="12">
        <v>5</v>
      </c>
      <c r="B14" s="13"/>
      <c r="C14" s="14"/>
      <c r="D14" s="15"/>
      <c r="E14" s="15"/>
      <c r="F14" s="15"/>
      <c r="G14" s="15"/>
      <c r="H14" s="15"/>
      <c r="I14" s="15"/>
      <c r="J14" s="16">
        <f t="shared" si="0"/>
        <v>0</v>
      </c>
    </row>
    <row r="15" spans="1:10" ht="24" customHeight="1" x14ac:dyDescent="0.25">
      <c r="A15" s="12">
        <v>6</v>
      </c>
      <c r="B15" s="13"/>
      <c r="C15" s="14"/>
      <c r="D15" s="15"/>
      <c r="E15" s="15"/>
      <c r="F15" s="15"/>
      <c r="G15" s="15"/>
      <c r="H15" s="15"/>
      <c r="I15" s="15"/>
      <c r="J15" s="16">
        <f t="shared" si="0"/>
        <v>0</v>
      </c>
    </row>
    <row r="16" spans="1:10" x14ac:dyDescent="0.25">
      <c r="A16" s="17" t="s">
        <v>17</v>
      </c>
      <c r="J16" s="18" t="str">
        <f>SUM(J10:J15)&amp;" / 36"</f>
        <v>0 / 36</v>
      </c>
    </row>
    <row r="18" spans="1:10" x14ac:dyDescent="0.25">
      <c r="A18" s="6" t="s">
        <v>18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5" t="s">
        <v>19</v>
      </c>
      <c r="B19" s="5"/>
      <c r="C19" s="5"/>
      <c r="D19" s="5"/>
      <c r="E19" s="5"/>
      <c r="F19" s="5"/>
      <c r="G19" s="5"/>
      <c r="H19" s="5"/>
      <c r="I19" s="5"/>
      <c r="J19" s="5"/>
    </row>
  </sheetData>
  <mergeCells count="7">
    <mergeCell ref="A18:J18"/>
    <mergeCell ref="A19:J19"/>
    <mergeCell ref="A3:J3"/>
    <mergeCell ref="A4:J4"/>
    <mergeCell ref="A5:J5"/>
    <mergeCell ref="A6:J6"/>
    <mergeCell ref="A7:J7"/>
  </mergeCells>
  <dataValidations count="2">
    <dataValidation type="decimal" allowBlank="1" showInputMessage="1" showErrorMessage="1" errorTitle="Valeur refusée" error="Valeur attendue entre 11,70 et 12,10 mm, avec une virgule décimale (exemple : 11,88)." promptTitle="Mesure en mm" prompt="Exemple : 11,88 au pied, 11,874 au micromètre." sqref="D10:I15" xr:uid="{00000000-0002-0000-0000-000000000000}">
      <formula1>11.7</formula1>
      <formula2>12.1</formula2>
    </dataValidation>
    <dataValidation type="list" allowBlank="1" showInputMessage="1" promptTitle="N° du micromètre" prompt="M1 à M6 (ou 1 à 6). Ce n'est pas une mesure : il n'est pas compté." sqref="C10:C15" xr:uid="{00000000-0002-0000-0000-000001000000}">
      <formula1>"M1,M2,M3,M4,M5,M6"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zoomScale="130" zoomScaleNormal="130" workbookViewId="0"/>
  </sheetViews>
  <sheetFormatPr baseColWidth="10" defaultColWidth="8.7109375" defaultRowHeight="15" x14ac:dyDescent="0.25"/>
  <cols>
    <col min="1" max="1" width="16" customWidth="1"/>
    <col min="2" max="6" width="13" customWidth="1"/>
    <col min="7" max="7" width="15" customWidth="1"/>
    <col min="8" max="8" width="17" customWidth="1"/>
  </cols>
  <sheetData>
    <row r="1" spans="1:8" ht="26.25" x14ac:dyDescent="0.4">
      <c r="A1" s="19" t="s">
        <v>20</v>
      </c>
    </row>
    <row r="2" spans="1:8" x14ac:dyDescent="0.25">
      <c r="A2" s="20" t="s">
        <v>21</v>
      </c>
    </row>
    <row r="3" spans="1:8" ht="18" x14ac:dyDescent="0.25">
      <c r="A3" s="4" t="s">
        <v>22</v>
      </c>
      <c r="B3" s="4"/>
      <c r="C3" s="21" t="s">
        <v>23</v>
      </c>
      <c r="E3" s="3" t="str">
        <f>Saisie!J16&amp;" mesures saisies"</f>
        <v>0 / 36 mesures saisies</v>
      </c>
      <c r="F3" s="3"/>
      <c r="G3" s="3"/>
      <c r="H3" s="3"/>
    </row>
    <row r="5" spans="1:8" ht="42" customHeight="1" x14ac:dyDescent="0.25">
      <c r="A5" s="23" t="s">
        <v>7</v>
      </c>
      <c r="B5" s="23" t="s">
        <v>10</v>
      </c>
      <c r="C5" s="23" t="s">
        <v>11</v>
      </c>
      <c r="D5" s="23" t="s">
        <v>12</v>
      </c>
      <c r="E5" s="23" t="s">
        <v>13</v>
      </c>
      <c r="F5" s="23" t="s">
        <v>14</v>
      </c>
      <c r="G5" s="23" t="s">
        <v>15</v>
      </c>
      <c r="H5" s="24" t="s">
        <v>24</v>
      </c>
    </row>
    <row r="6" spans="1:8" ht="27.75" customHeight="1" x14ac:dyDescent="0.25">
      <c r="A6" s="25">
        <f>IF(Saisie!B10="",1,1&amp;" · "&amp;Saisie!B10)</f>
        <v>1</v>
      </c>
      <c r="B6" s="26" t="str">
        <f>IF(Saisie!D10="","",IF($C$3="OUI",Saisie!D10,"✓"))</f>
        <v/>
      </c>
      <c r="C6" s="26" t="str">
        <f>IF(Saisie!E10="","",IF($C$3="OUI",Saisie!E10,"✓"))</f>
        <v/>
      </c>
      <c r="D6" s="26" t="str">
        <f>IF(Saisie!F10="","",IF($C$3="OUI",Saisie!F10,"✓"))</f>
        <v/>
      </c>
      <c r="E6" s="26" t="str">
        <f>IF(Saisie!G10="","",IF($C$3="OUI",Saisie!G10,"✓"))</f>
        <v/>
      </c>
      <c r="F6" s="26" t="str">
        <f>IF(Saisie!H10="","",IF($C$3="OUI",Saisie!H10,"✓"))</f>
        <v/>
      </c>
      <c r="G6" s="27" t="str">
        <f>IF(Saisie!I10="","",IF($C$3="OUI",Saisie!I10,"✓"))</f>
        <v/>
      </c>
      <c r="H6" s="28" t="str">
        <f>IF(AND($C$3="OUI",COUNT(Saisie!D10:H10)=5),ROUND(MAX(Saisie!D10:H10)-MIN(Saisie!D10:H10),3),"")</f>
        <v/>
      </c>
    </row>
    <row r="7" spans="1:8" ht="27.75" customHeight="1" x14ac:dyDescent="0.25">
      <c r="A7" s="25">
        <f>IF(Saisie!B11="",2,2&amp;" · "&amp;Saisie!B11)</f>
        <v>2</v>
      </c>
      <c r="B7" s="26" t="str">
        <f>IF(Saisie!D11="","",IF($C$3="OUI",Saisie!D11,"✓"))</f>
        <v/>
      </c>
      <c r="C7" s="26" t="str">
        <f>IF(Saisie!E11="","",IF($C$3="OUI",Saisie!E11,"✓"))</f>
        <v/>
      </c>
      <c r="D7" s="26" t="str">
        <f>IF(Saisie!F11="","",IF($C$3="OUI",Saisie!F11,"✓"))</f>
        <v/>
      </c>
      <c r="E7" s="26" t="str">
        <f>IF(Saisie!G11="","",IF($C$3="OUI",Saisie!G11,"✓"))</f>
        <v/>
      </c>
      <c r="F7" s="26" t="str">
        <f>IF(Saisie!H11="","",IF($C$3="OUI",Saisie!H11,"✓"))</f>
        <v/>
      </c>
      <c r="G7" s="27" t="str">
        <f>IF(Saisie!I11="","",IF($C$3="OUI",Saisie!I11,"✓"))</f>
        <v/>
      </c>
      <c r="H7" s="28" t="str">
        <f>IF(AND($C$3="OUI",COUNT(Saisie!D11:H11)=5),ROUND(MAX(Saisie!D11:H11)-MIN(Saisie!D11:H11),3),"")</f>
        <v/>
      </c>
    </row>
    <row r="8" spans="1:8" ht="27.75" customHeight="1" x14ac:dyDescent="0.25">
      <c r="A8" s="25">
        <f>IF(Saisie!B12="",3,3&amp;" · "&amp;Saisie!B12)</f>
        <v>3</v>
      </c>
      <c r="B8" s="26" t="str">
        <f>IF(Saisie!D12="","",IF($C$3="OUI",Saisie!D12,"✓"))</f>
        <v/>
      </c>
      <c r="C8" s="26" t="str">
        <f>IF(Saisie!E12="","",IF($C$3="OUI",Saisie!E12,"✓"))</f>
        <v/>
      </c>
      <c r="D8" s="26" t="str">
        <f>IF(Saisie!F12="","",IF($C$3="OUI",Saisie!F12,"✓"))</f>
        <v/>
      </c>
      <c r="E8" s="26" t="str">
        <f>IF(Saisie!G12="","",IF($C$3="OUI",Saisie!G12,"✓"))</f>
        <v/>
      </c>
      <c r="F8" s="26" t="str">
        <f>IF(Saisie!H12="","",IF($C$3="OUI",Saisie!H12,"✓"))</f>
        <v/>
      </c>
      <c r="G8" s="27" t="str">
        <f>IF(Saisie!I12="","",IF($C$3="OUI",Saisie!I12,"✓"))</f>
        <v/>
      </c>
      <c r="H8" s="28" t="str">
        <f>IF(AND($C$3="OUI",COUNT(Saisie!D12:H12)=5),ROUND(MAX(Saisie!D12:H12)-MIN(Saisie!D12:H12),3),"")</f>
        <v/>
      </c>
    </row>
    <row r="9" spans="1:8" ht="27.75" customHeight="1" x14ac:dyDescent="0.25">
      <c r="A9" s="25">
        <f>IF(Saisie!B13="",4,4&amp;" · "&amp;Saisie!B13)</f>
        <v>4</v>
      </c>
      <c r="B9" s="26" t="str">
        <f>IF(Saisie!D13="","",IF($C$3="OUI",Saisie!D13,"✓"))</f>
        <v/>
      </c>
      <c r="C9" s="26" t="str">
        <f>IF(Saisie!E13="","",IF($C$3="OUI",Saisie!E13,"✓"))</f>
        <v/>
      </c>
      <c r="D9" s="26" t="str">
        <f>IF(Saisie!F13="","",IF($C$3="OUI",Saisie!F13,"✓"))</f>
        <v/>
      </c>
      <c r="E9" s="26" t="str">
        <f>IF(Saisie!G13="","",IF($C$3="OUI",Saisie!G13,"✓"))</f>
        <v/>
      </c>
      <c r="F9" s="26" t="str">
        <f>IF(Saisie!H13="","",IF($C$3="OUI",Saisie!H13,"✓"))</f>
        <v/>
      </c>
      <c r="G9" s="27" t="str">
        <f>IF(Saisie!I13="","",IF($C$3="OUI",Saisie!I13,"✓"))</f>
        <v/>
      </c>
      <c r="H9" s="28" t="str">
        <f>IF(AND($C$3="OUI",COUNT(Saisie!D13:H13)=5),ROUND(MAX(Saisie!D13:H13)-MIN(Saisie!D13:H13),3),"")</f>
        <v/>
      </c>
    </row>
    <row r="10" spans="1:8" ht="27.75" customHeight="1" x14ac:dyDescent="0.25">
      <c r="A10" s="25">
        <f>IF(Saisie!B14="",5,5&amp;" · "&amp;Saisie!B14)</f>
        <v>5</v>
      </c>
      <c r="B10" s="26" t="str">
        <f>IF(Saisie!D14="","",IF($C$3="OUI",Saisie!D14,"✓"))</f>
        <v/>
      </c>
      <c r="C10" s="26" t="str">
        <f>IF(Saisie!E14="","",IF($C$3="OUI",Saisie!E14,"✓"))</f>
        <v/>
      </c>
      <c r="D10" s="26" t="str">
        <f>IF(Saisie!F14="","",IF($C$3="OUI",Saisie!F14,"✓"))</f>
        <v/>
      </c>
      <c r="E10" s="26" t="str">
        <f>IF(Saisie!G14="","",IF($C$3="OUI",Saisie!G14,"✓"))</f>
        <v/>
      </c>
      <c r="F10" s="26" t="str">
        <f>IF(Saisie!H14="","",IF($C$3="OUI",Saisie!H14,"✓"))</f>
        <v/>
      </c>
      <c r="G10" s="27" t="str">
        <f>IF(Saisie!I14="","",IF($C$3="OUI",Saisie!I14,"✓"))</f>
        <v/>
      </c>
      <c r="H10" s="28" t="str">
        <f>IF(AND($C$3="OUI",COUNT(Saisie!D14:H14)=5),ROUND(MAX(Saisie!D14:H14)-MIN(Saisie!D14:H14),3),"")</f>
        <v/>
      </c>
    </row>
    <row r="11" spans="1:8" ht="27.75" customHeight="1" x14ac:dyDescent="0.25">
      <c r="A11" s="25">
        <f>IF(Saisie!B15="",6,6&amp;" · "&amp;Saisie!B15)</f>
        <v>6</v>
      </c>
      <c r="B11" s="26" t="str">
        <f>IF(Saisie!D15="","",IF($C$3="OUI",Saisie!D15,"✓"))</f>
        <v/>
      </c>
      <c r="C11" s="26" t="str">
        <f>IF(Saisie!E15="","",IF($C$3="OUI",Saisie!E15,"✓"))</f>
        <v/>
      </c>
      <c r="D11" s="26" t="str">
        <f>IF(Saisie!F15="","",IF($C$3="OUI",Saisie!F15,"✓"))</f>
        <v/>
      </c>
      <c r="E11" s="26" t="str">
        <f>IF(Saisie!G15="","",IF($C$3="OUI",Saisie!G15,"✓"))</f>
        <v/>
      </c>
      <c r="F11" s="26" t="str">
        <f>IF(Saisie!H15="","",IF($C$3="OUI",Saisie!H15,"✓"))</f>
        <v/>
      </c>
      <c r="G11" s="27" t="str">
        <f>IF(Saisie!I15="","",IF($C$3="OUI",Saisie!I15,"✓"))</f>
        <v/>
      </c>
      <c r="H11" s="28" t="str">
        <f>IF(AND($C$3="OUI",COUNT(Saisie!D15:H15)=5),ROUND(MAX(Saisie!D15:H15)-MIN(Saisie!D15:H15),3),"")</f>
        <v/>
      </c>
    </row>
    <row r="12" spans="1:8" ht="33.75" customHeight="1" x14ac:dyDescent="0.25">
      <c r="A12" s="29" t="s">
        <v>25</v>
      </c>
      <c r="B12" s="30" t="str">
        <f>IF(AND($C$3="OUI",COUNT(Saisie!D10:D15)&gt;=2),ROUND(MAX(Saisie!D10:D15)-MIN(Saisie!D10:D15),3),"")</f>
        <v/>
      </c>
      <c r="C12" s="30" t="str">
        <f>IF(AND($C$3="OUI",COUNT(Saisie!E10:E15)&gt;=2),ROUND(MAX(Saisie!E10:E15)-MIN(Saisie!E10:E15),3),"")</f>
        <v/>
      </c>
      <c r="D12" s="30" t="str">
        <f>IF(AND($C$3="OUI",COUNT(Saisie!F10:F15)&gt;=2),ROUND(MAX(Saisie!F10:F15)-MIN(Saisie!F10:F15),3),"")</f>
        <v/>
      </c>
      <c r="E12" s="30" t="str">
        <f>IF(AND($C$3="OUI",COUNT(Saisie!G10:G15)&gt;=2),ROUND(MAX(Saisie!G10:G15)-MIN(Saisie!G10:G15),3),"")</f>
        <v/>
      </c>
      <c r="F12" s="30" t="str">
        <f>IF(AND($C$3="OUI",COUNT(Saisie!H10:H15)&gt;=2),ROUND(MAX(Saisie!H10:H15)-MIN(Saisie!H10:H15),3),"")</f>
        <v/>
      </c>
      <c r="G12" s="31" t="str">
        <f>IF(AND($C$3="OUI",COUNT(Saisie!I10:I15)&gt;=2),ROUND(MAX(Saisie!I10:I15)-MIN(Saisie!I10:I15),3),"")</f>
        <v/>
      </c>
      <c r="H12" s="32"/>
    </row>
    <row r="13" spans="1:8" x14ac:dyDescent="0.25">
      <c r="A13" s="33" t="s">
        <v>26</v>
      </c>
      <c r="B13" s="33">
        <f>COUNT(Saisie!D10:D15)</f>
        <v>0</v>
      </c>
      <c r="C13" s="33">
        <f>COUNT(Saisie!E10:E15)</f>
        <v>0</v>
      </c>
      <c r="D13" s="33">
        <f>COUNT(Saisie!F10:F15)</f>
        <v>0</v>
      </c>
      <c r="E13" s="33">
        <f>COUNT(Saisie!G10:G15)</f>
        <v>0</v>
      </c>
      <c r="F13" s="33">
        <f>COUNT(Saisie!H10:H15)</f>
        <v>0</v>
      </c>
      <c r="G13" s="33">
        <f>COUNT(Saisie!I10:I15)</f>
        <v>0</v>
      </c>
    </row>
    <row r="15" spans="1:8" ht="18" x14ac:dyDescent="0.25">
      <c r="A15" s="22" t="s">
        <v>27</v>
      </c>
    </row>
    <row r="16" spans="1:8" ht="18" x14ac:dyDescent="0.25">
      <c r="A16" s="2" t="s">
        <v>28</v>
      </c>
      <c r="B16" s="2"/>
      <c r="C16" s="2"/>
      <c r="D16" s="2"/>
      <c r="E16" s="2"/>
      <c r="F16" s="2"/>
      <c r="G16" s="34" t="str">
        <f>IF(AND($C$3="OUI",COUNT(Saisie!D10:D15)&gt;=2),ROUND(MAX(Saisie!D10:D15)-MIN(Saisie!D10:D15),3),"")</f>
        <v/>
      </c>
      <c r="H16" s="35" t="s">
        <v>29</v>
      </c>
    </row>
    <row r="17" spans="1:8" ht="18" x14ac:dyDescent="0.25">
      <c r="A17" s="2" t="s">
        <v>30</v>
      </c>
      <c r="B17" s="2"/>
      <c r="C17" s="2"/>
      <c r="D17" s="2"/>
      <c r="E17" s="2"/>
      <c r="F17" s="2"/>
      <c r="G17" s="36" t="str">
        <f>IF(AND($C$3="OUI",COUNT(Saisie!I10:I15)&gt;=2),ROUND(MAX(Saisie!I10:I15)-MIN(Saisie!I10:I15),3),"")</f>
        <v/>
      </c>
      <c r="H17" s="35" t="s">
        <v>29</v>
      </c>
    </row>
    <row r="18" spans="1:8" ht="18" x14ac:dyDescent="0.25">
      <c r="A18" s="2" t="s">
        <v>31</v>
      </c>
      <c r="B18" s="2"/>
      <c r="C18" s="2"/>
      <c r="D18" s="2"/>
      <c r="E18" s="2"/>
      <c r="F18" s="2"/>
      <c r="G18" s="36" t="str">
        <f>IF(AND($C$3="OUI",COUNT(B12:F12)&gt;=1),AVERAGE(B12:F12),"")</f>
        <v/>
      </c>
      <c r="H18" s="35" t="s">
        <v>29</v>
      </c>
    </row>
    <row r="19" spans="1:8" ht="18" x14ac:dyDescent="0.25">
      <c r="A19" s="2" t="s">
        <v>32</v>
      </c>
      <c r="B19" s="2"/>
      <c r="C19" s="2"/>
      <c r="D19" s="2"/>
      <c r="E19" s="2"/>
      <c r="F19" s="2"/>
      <c r="G19" s="36" t="str">
        <f>IF(AND($C$3="OUI",COUNT(H6:H11)&gt;=1),AVERAGE(H6:H11),"")</f>
        <v/>
      </c>
      <c r="H19" s="35" t="s">
        <v>29</v>
      </c>
    </row>
    <row r="21" spans="1:8" ht="15" customHeight="1" x14ac:dyDescent="0.25">
      <c r="A21" s="1" t="s">
        <v>33</v>
      </c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4" spans="1:8" x14ac:dyDescent="0.25">
      <c r="A24" s="5" t="s">
        <v>34</v>
      </c>
      <c r="B24" s="5"/>
      <c r="C24" s="5"/>
      <c r="D24" s="5"/>
      <c r="E24" s="5"/>
      <c r="F24" s="5"/>
      <c r="G24" s="5"/>
      <c r="H24" s="5"/>
    </row>
  </sheetData>
  <mergeCells count="8">
    <mergeCell ref="A19:F19"/>
    <mergeCell ref="A21:H22"/>
    <mergeCell ref="A24:H24"/>
    <mergeCell ref="A3:B3"/>
    <mergeCell ref="E3:H3"/>
    <mergeCell ref="A16:F16"/>
    <mergeCell ref="A17:F17"/>
    <mergeCell ref="A18:F18"/>
  </mergeCells>
  <conditionalFormatting sqref="B6:B11">
    <cfRule type="colorScale" priority="2">
      <colorScale>
        <cfvo type="min"/>
        <cfvo type="percentile" val="50"/>
        <cfvo type="max"/>
        <color rgb="FFDCEBFA"/>
        <color rgb="FFFFFFFF"/>
        <color rgb="FFFAD7C8"/>
      </colorScale>
    </cfRule>
  </conditionalFormatting>
  <conditionalFormatting sqref="B6:G11">
    <cfRule type="expression" dxfId="0" priority="8">
      <formula>AND(ISNUMBER(B6),OR(B6&lt;11.85,B6&gt;12))</formula>
    </cfRule>
  </conditionalFormatting>
  <conditionalFormatting sqref="C6:C11">
    <cfRule type="colorScale" priority="3">
      <colorScale>
        <cfvo type="min"/>
        <cfvo type="percentile" val="50"/>
        <cfvo type="max"/>
        <color rgb="FFDCEBFA"/>
        <color rgb="FFFFFFFF"/>
        <color rgb="FFFAD7C8"/>
      </colorScale>
    </cfRule>
  </conditionalFormatting>
  <conditionalFormatting sqref="D6:D11">
    <cfRule type="colorScale" priority="4">
      <colorScale>
        <cfvo type="min"/>
        <cfvo type="percentile" val="50"/>
        <cfvo type="max"/>
        <color rgb="FFDCEBFA"/>
        <color rgb="FFFFFFFF"/>
        <color rgb="FFFAD7C8"/>
      </colorScale>
    </cfRule>
  </conditionalFormatting>
  <conditionalFormatting sqref="E6:E11">
    <cfRule type="colorScale" priority="5">
      <colorScale>
        <cfvo type="min"/>
        <cfvo type="percentile" val="50"/>
        <cfvo type="max"/>
        <color rgb="FFDCEBFA"/>
        <color rgb="FFFFFFFF"/>
        <color rgb="FFFAD7C8"/>
      </colorScale>
    </cfRule>
  </conditionalFormatting>
  <conditionalFormatting sqref="F6:F11">
    <cfRule type="colorScale" priority="6">
      <colorScale>
        <cfvo type="min"/>
        <cfvo type="percentile" val="50"/>
        <cfvo type="max"/>
        <color rgb="FFDCEBFA"/>
        <color rgb="FFFFFFFF"/>
        <color rgb="FFFAD7C8"/>
      </colorScale>
    </cfRule>
  </conditionalFormatting>
  <conditionalFormatting sqref="G6:G11">
    <cfRule type="colorScale" priority="7">
      <colorScale>
        <cfvo type="min"/>
        <cfvo type="percentile" val="50"/>
        <cfvo type="max"/>
        <color rgb="FFDCEBFA"/>
        <color rgb="FFFFFFFF"/>
        <color rgb="FFFAD7C8"/>
      </colorScale>
    </cfRule>
  </conditionalFormatting>
  <dataValidations count="1">
    <dataValidation type="list" sqref="C3" xr:uid="{00000000-0002-0000-0100-000000000000}">
      <formula1>"NON,OUI"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Saisie</vt:lpstr>
      <vt:lpstr>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Stéphane JAUBERT</cp:lastModifiedBy>
  <cp:revision>0</cp:revision>
  <dcterms:created xsi:type="dcterms:W3CDTF">2026-10-29T07:26:57Z</dcterms:created>
  <dcterms:modified xsi:type="dcterms:W3CDTF">2026-10-30T06:31:39Z</dcterms:modified>
  <dc:language>en-US</dc:language>
</cp:coreProperties>
</file>