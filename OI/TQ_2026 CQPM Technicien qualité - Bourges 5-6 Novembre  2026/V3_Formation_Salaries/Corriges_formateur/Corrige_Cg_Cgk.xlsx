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<sst xmlns="http://schemas.openxmlformats.org/spreadsheetml/2006/main" count="18" uniqueCount="18">
  <si>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Essai</t>
  </si>
  <si>
    <t xml:space="preserve">Micrometre_op1</t>
  </si>
  <si>
    <t xml:space="preserve">Micrometre_op2</t>
  </si>
  <si>
    <t xml:space="preserve">Pied_a_coulisse_op3</t>
  </si>
  <si>
    <t xml:space="preserve">x_réf</t>
  </si>
  <si>
    <t xml:space="preserve">x_réf + 0,1 T</t>
  </si>
  <si>
    <t xml:space="preserve">x_réf - 0,1 T</t>
  </si>
  <si>
    <t xml:space="preserve">Valeur de référence x_réf</t>
  </si>
  <si>
    <t xml:space="preserve">Tolérance T</t>
  </si>
  <si>
    <t xml:space="preserve">Corrigé formateur : saisir x_réf en G2 (butée R, moyenne de 10 mesures soignées) puis les 3 séries de 25 valeurs (cases orange). Tout se recalcule. Exigence : Cg ≥ 1,33 et Cgk ≥ 1,33 (Bosch, Booklet 10, 2019, procédure 1).</t>
  </si>
  <si>
    <t xml:space="preserve">Moyenne lue</t>
  </si>
  <si>
    <t xml:space="preserve">Écart-type s</t>
  </si>
  <si>
    <t xml:space="preserve">Biais</t>
  </si>
  <si>
    <t xml:space="preserve">Cg</t>
  </si>
  <si>
    <t xml:space="preserve">Cgk</t>
  </si>
  <si>
    <t xml:space="preserve">Nombre de valeurs distinctes</t>
  </si>
  <si>
    <t xml:space="preserve">Écart des moyennes op1 - op2</t>
  </si>
  <si>
    <t xml:space="preserve">Comparé à 0,1 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</si>
</sst>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0.00"/>
    <numFmt numFmtId="168" formatCode="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1F4E9E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4E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Série 1 · micromètre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Cg!B1</c:f>
              <c:strCache>
                <c:ptCount val="1"/>
                <c:pt idx="0">
                  <c:v>Micrometre_op1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Cg!$B$2:$B$26</c:f>
              <c:numCache>
                <c:formatCode>General</c:formatCode>
                <c:ptCount val="25"/>
              </c:numCache>
            </c:numRef>
          </c:val>
          <c:smooth val="0"/>
        </c:ser>
        <c:ser>
          <c:idx val="1"/>
          <c:order val="1"/>
          <c:tx>
            <c:strRef>
              <c:f>Cg!I1</c:f>
              <c:strCache>
                <c:ptCount val="1"/>
                <c:pt idx="0">
                  <c:v>x_réf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Cg!$I$2:$I$26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Cg!J1</c:f>
              <c:strCache>
                <c:ptCount val="1"/>
                <c:pt idx="0">
                  <c:v>x_réf + 0,1 T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Cg!$J$2:$J$26</c:f>
              <c:numCache>
                <c:formatCode>0.000</c:formatCode>
                <c:ptCount val="25"/>
                <c:pt idx="0">
                  <c:v>0.015</c:v>
                </c:pt>
                <c:pt idx="1">
                  <c:v>0.015</c:v>
                </c:pt>
                <c:pt idx="2">
                  <c:v>0.015</c:v>
                </c:pt>
                <c:pt idx="3">
                  <c:v>0.015</c:v>
                </c:pt>
                <c:pt idx="4">
                  <c:v>0.015</c:v>
                </c:pt>
                <c:pt idx="5">
                  <c:v>0.015</c:v>
                </c:pt>
                <c:pt idx="6">
                  <c:v>0.015</c:v>
                </c:pt>
                <c:pt idx="7">
                  <c:v>0.015</c:v>
                </c:pt>
                <c:pt idx="8">
                  <c:v>0.015</c:v>
                </c:pt>
                <c:pt idx="9">
                  <c:v>0.015</c:v>
                </c:pt>
                <c:pt idx="10">
                  <c:v>0.015</c:v>
                </c:pt>
                <c:pt idx="11">
                  <c:v>0.015</c:v>
                </c:pt>
                <c:pt idx="12">
                  <c:v>0.015</c:v>
                </c:pt>
                <c:pt idx="13">
                  <c:v>0.015</c:v>
                </c:pt>
                <c:pt idx="14">
                  <c:v>0.015</c:v>
                </c:pt>
                <c:pt idx="15">
                  <c:v>0.015</c:v>
                </c:pt>
                <c:pt idx="16">
                  <c:v>0.015</c:v>
                </c:pt>
                <c:pt idx="17">
                  <c:v>0.015</c:v>
                </c:pt>
                <c:pt idx="18">
                  <c:v>0.015</c:v>
                </c:pt>
                <c:pt idx="19">
                  <c:v>0.015</c:v>
                </c:pt>
                <c:pt idx="20">
                  <c:v>0.015</c:v>
                </c:pt>
                <c:pt idx="21">
                  <c:v>0.015</c:v>
                </c:pt>
                <c:pt idx="22">
                  <c:v>0.015</c:v>
                </c:pt>
                <c:pt idx="23">
                  <c:v>0.015</c:v>
                </c:pt>
                <c:pt idx="24">
                  <c:v>0.015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Cg!K1</c:f>
              <c:strCache>
                <c:ptCount val="1"/>
                <c:pt idx="0">
                  <c:v>x_réf - 0,1 T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Cg!$K$2:$K$26</c:f>
              <c:numCache>
                <c:formatCode>0.000</c:formatCode>
                <c:ptCount val="25"/>
                <c:pt idx="0">
                  <c:v>-0.015</c:v>
                </c:pt>
                <c:pt idx="1">
                  <c:v>-0.015</c:v>
                </c:pt>
                <c:pt idx="2">
                  <c:v>-0.015</c:v>
                </c:pt>
                <c:pt idx="3">
                  <c:v>-0.015</c:v>
                </c:pt>
                <c:pt idx="4">
                  <c:v>-0.015</c:v>
                </c:pt>
                <c:pt idx="5">
                  <c:v>-0.015</c:v>
                </c:pt>
                <c:pt idx="6">
                  <c:v>-0.015</c:v>
                </c:pt>
                <c:pt idx="7">
                  <c:v>-0.015</c:v>
                </c:pt>
                <c:pt idx="8">
                  <c:v>-0.015</c:v>
                </c:pt>
                <c:pt idx="9">
                  <c:v>-0.015</c:v>
                </c:pt>
                <c:pt idx="10">
                  <c:v>-0.015</c:v>
                </c:pt>
                <c:pt idx="11">
                  <c:v>-0.015</c:v>
                </c:pt>
                <c:pt idx="12">
                  <c:v>-0.015</c:v>
                </c:pt>
                <c:pt idx="13">
                  <c:v>-0.015</c:v>
                </c:pt>
                <c:pt idx="14">
                  <c:v>-0.015</c:v>
                </c:pt>
                <c:pt idx="15">
                  <c:v>-0.015</c:v>
                </c:pt>
                <c:pt idx="16">
                  <c:v>-0.015</c:v>
                </c:pt>
                <c:pt idx="17">
                  <c:v>-0.015</c:v>
                </c:pt>
                <c:pt idx="18">
                  <c:v>-0.015</c:v>
                </c:pt>
                <c:pt idx="19">
                  <c:v>-0.015</c:v>
                </c:pt>
                <c:pt idx="20">
                  <c:v>-0.015</c:v>
                </c:pt>
                <c:pt idx="21">
                  <c:v>-0.015</c:v>
                </c:pt>
                <c:pt idx="22">
                  <c:v>-0.015</c:v>
                </c:pt>
                <c:pt idx="23">
                  <c:v>-0.015</c:v>
                </c:pt>
                <c:pt idx="24">
                  <c:v>-0.015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444529"/>
        <c:axId val="3327214"/>
      </c:lineChart>
      <c:catAx>
        <c:axId val="14444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7214"/>
        <c:crosses val="autoZero"/>
        <c:auto val="1"/>
        <c:lblAlgn val="ctr"/>
        <c:lblOffset val="100"/>
        <c:noMultiLvlLbl val="0"/>
      </c:catAx>
      <c:valAx>
        <c:axId val="332721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44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Série 3 · pied à coulisse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Cg!D1</c:f>
              <c:strCache>
                <c:ptCount val="1"/>
                <c:pt idx="0">
                  <c:v>Pied_a_coulisse_op3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Cg!$D$2:$D$26</c:f>
              <c:numCache>
                <c:formatCode>General</c:formatCode>
                <c:ptCount val="25"/>
              </c:numCache>
            </c:numRef>
          </c:val>
          <c:smooth val="0"/>
        </c:ser>
        <c:ser>
          <c:idx val="1"/>
          <c:order val="1"/>
          <c:tx>
            <c:strRef>
              <c:f>Cg!I1</c:f>
              <c:strCache>
                <c:ptCount val="1"/>
                <c:pt idx="0">
                  <c:v>x_réf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Cg!$I$2:$I$26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Cg!J1</c:f>
              <c:strCache>
                <c:ptCount val="1"/>
                <c:pt idx="0">
                  <c:v>x_réf + 0,1 T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Cg!$J$2:$J$26</c:f>
              <c:numCache>
                <c:formatCode>0.000</c:formatCode>
                <c:ptCount val="25"/>
                <c:pt idx="0">
                  <c:v>0.015</c:v>
                </c:pt>
                <c:pt idx="1">
                  <c:v>0.015</c:v>
                </c:pt>
                <c:pt idx="2">
                  <c:v>0.015</c:v>
                </c:pt>
                <c:pt idx="3">
                  <c:v>0.015</c:v>
                </c:pt>
                <c:pt idx="4">
                  <c:v>0.015</c:v>
                </c:pt>
                <c:pt idx="5">
                  <c:v>0.015</c:v>
                </c:pt>
                <c:pt idx="6">
                  <c:v>0.015</c:v>
                </c:pt>
                <c:pt idx="7">
                  <c:v>0.015</c:v>
                </c:pt>
                <c:pt idx="8">
                  <c:v>0.015</c:v>
                </c:pt>
                <c:pt idx="9">
                  <c:v>0.015</c:v>
                </c:pt>
                <c:pt idx="10">
                  <c:v>0.015</c:v>
                </c:pt>
                <c:pt idx="11">
                  <c:v>0.015</c:v>
                </c:pt>
                <c:pt idx="12">
                  <c:v>0.015</c:v>
                </c:pt>
                <c:pt idx="13">
                  <c:v>0.015</c:v>
                </c:pt>
                <c:pt idx="14">
                  <c:v>0.015</c:v>
                </c:pt>
                <c:pt idx="15">
                  <c:v>0.015</c:v>
                </c:pt>
                <c:pt idx="16">
                  <c:v>0.015</c:v>
                </c:pt>
                <c:pt idx="17">
                  <c:v>0.015</c:v>
                </c:pt>
                <c:pt idx="18">
                  <c:v>0.015</c:v>
                </c:pt>
                <c:pt idx="19">
                  <c:v>0.015</c:v>
                </c:pt>
                <c:pt idx="20">
                  <c:v>0.015</c:v>
                </c:pt>
                <c:pt idx="21">
                  <c:v>0.015</c:v>
                </c:pt>
                <c:pt idx="22">
                  <c:v>0.015</c:v>
                </c:pt>
                <c:pt idx="23">
                  <c:v>0.015</c:v>
                </c:pt>
                <c:pt idx="24">
                  <c:v>0.015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Cg!K1</c:f>
              <c:strCache>
                <c:ptCount val="1"/>
                <c:pt idx="0">
                  <c:v>x_réf - 0,1 T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Cg!$A$2:$A$26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Cg!$K$2:$K$26</c:f>
              <c:numCache>
                <c:formatCode>0.000</c:formatCode>
                <c:ptCount val="25"/>
                <c:pt idx="0">
                  <c:v>-0.015</c:v>
                </c:pt>
                <c:pt idx="1">
                  <c:v>-0.015</c:v>
                </c:pt>
                <c:pt idx="2">
                  <c:v>-0.015</c:v>
                </c:pt>
                <c:pt idx="3">
                  <c:v>-0.015</c:v>
                </c:pt>
                <c:pt idx="4">
                  <c:v>-0.015</c:v>
                </c:pt>
                <c:pt idx="5">
                  <c:v>-0.015</c:v>
                </c:pt>
                <c:pt idx="6">
                  <c:v>-0.015</c:v>
                </c:pt>
                <c:pt idx="7">
                  <c:v>-0.015</c:v>
                </c:pt>
                <c:pt idx="8">
                  <c:v>-0.015</c:v>
                </c:pt>
                <c:pt idx="9">
                  <c:v>-0.015</c:v>
                </c:pt>
                <c:pt idx="10">
                  <c:v>-0.015</c:v>
                </c:pt>
                <c:pt idx="11">
                  <c:v>-0.015</c:v>
                </c:pt>
                <c:pt idx="12">
                  <c:v>-0.015</c:v>
                </c:pt>
                <c:pt idx="13">
                  <c:v>-0.015</c:v>
                </c:pt>
                <c:pt idx="14">
                  <c:v>-0.015</c:v>
                </c:pt>
                <c:pt idx="15">
                  <c:v>-0.015</c:v>
                </c:pt>
                <c:pt idx="16">
                  <c:v>-0.015</c:v>
                </c:pt>
                <c:pt idx="17">
                  <c:v>-0.015</c:v>
                </c:pt>
                <c:pt idx="18">
                  <c:v>-0.015</c:v>
                </c:pt>
                <c:pt idx="19">
                  <c:v>-0.015</c:v>
                </c:pt>
                <c:pt idx="20">
                  <c:v>-0.015</c:v>
                </c:pt>
                <c:pt idx="21">
                  <c:v>-0.015</c:v>
                </c:pt>
                <c:pt idx="22">
                  <c:v>-0.015</c:v>
                </c:pt>
                <c:pt idx="23">
                  <c:v>-0.015</c:v>
                </c:pt>
                <c:pt idx="24">
                  <c:v>-0.015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054988"/>
        <c:axId val="71880197"/>
      </c:lineChart>
      <c:catAx>
        <c:axId val="97054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80197"/>
        <c:crosses val="autoZero"/>
        <c:auto val="1"/>
        <c:lblAlgn val="ctr"/>
        <c:lblOffset val="100"/>
        <c:noMultiLvlLbl val="0"/>
      </c:catAx>
      <c:valAx>
        <c:axId val="71880197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54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190440</xdr:rowOff>
    </xdr:from>
    <xdr:to>
      <xdr:col>21</xdr:col>
      <xdr:colOff>255960</xdr:colOff>
      <xdr:row>13</xdr:row>
      <xdr:rowOff>64080</xdr:rowOff>
    </xdr:to>
    <xdr:graphicFrame>
      <xdr:nvGraphicFramePr>
        <xdr:cNvPr id="0" name="Chart 1"/>
        <xdr:cNvGraphicFramePr/>
      </xdr:nvGraphicFramePr>
      <xdr:xfrm>
        <a:off x="11633760" y="190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15</xdr:row>
      <xdr:rowOff>21240</xdr:rowOff>
    </xdr:from>
    <xdr:to>
      <xdr:col>21</xdr:col>
      <xdr:colOff>255960</xdr:colOff>
      <xdr:row>28</xdr:row>
      <xdr:rowOff>64080</xdr:rowOff>
    </xdr:to>
    <xdr:graphicFrame>
      <xdr:nvGraphicFramePr>
        <xdr:cNvPr id="1" name="Chart 2"/>
        <xdr:cNvGraphicFramePr/>
      </xdr:nvGraphicFramePr>
      <xdr:xfrm>
        <a:off x="11633760" y="3048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5"/>
    <col collapsed="false" customWidth="true" hidden="false" outlineLevel="0" max="4" min="4" style="0" width="19"/>
    <col collapsed="false" customWidth="true" hidden="false" outlineLevel="0" max="6" min="6" style="0" width="2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  <c r="J1" s="1" t="s">
        <v>5</v>
      </c>
      <c r="K1" s="1" t="s">
        <v>6</v>
      </c>
    </row>
    <row r="2" customFormat="false" ht="15" hidden="false" customHeight="false" outlineLevel="0" collapsed="false">
      <c r="A2" s="0" t="n">
        <v>1</v>
      </c>
      <c r="B2" s="2"/>
      <c r="C2" s="2"/>
      <c r="D2" s="2"/>
      <c r="F2" s="3" t="s">
        <v>7</v>
      </c>
      <c r="G2" s="2"/>
      <c r="I2" s="4" t="n">
        <f aca="false">$G$2</f>
        <v>0</v>
      </c>
      <c r="J2" s="4" t="n">
        <f aca="false">$G$2+0.1*$G$3</f>
        <v>0.015</v>
      </c>
      <c r="K2" s="4" t="n">
        <f aca="false">$G$2-0.1*$G$3</f>
        <v>-0.015</v>
      </c>
    </row>
    <row r="3" customFormat="false" ht="15" hidden="false" customHeight="false" outlineLevel="0" collapsed="false">
      <c r="A3" s="0" t="n">
        <v>2</v>
      </c>
      <c r="B3" s="2"/>
      <c r="C3" s="2"/>
      <c r="D3" s="2"/>
      <c r="F3" s="3" t="s">
        <v>8</v>
      </c>
      <c r="G3" s="0" t="n">
        <v>0.15</v>
      </c>
      <c r="I3" s="4" t="n">
        <f aca="false">$G$2</f>
        <v>0</v>
      </c>
      <c r="J3" s="4" t="n">
        <f aca="false">$G$2+0.1*$G$3</f>
        <v>0.015</v>
      </c>
      <c r="K3" s="4" t="n">
        <f aca="false">$G$2-0.1*$G$3</f>
        <v>-0.015</v>
      </c>
    </row>
    <row r="4" customFormat="false" ht="15" hidden="false" customHeight="false" outlineLevel="0" collapsed="false">
      <c r="A4" s="0" t="n">
        <v>3</v>
      </c>
      <c r="B4" s="2"/>
      <c r="C4" s="2"/>
      <c r="D4" s="2"/>
      <c r="I4" s="4" t="n">
        <f aca="false">$G$2</f>
        <v>0</v>
      </c>
      <c r="J4" s="4" t="n">
        <f aca="false">$G$2+0.1*$G$3</f>
        <v>0.015</v>
      </c>
      <c r="K4" s="4" t="n">
        <f aca="false">$G$2-0.1*$G$3</f>
        <v>-0.015</v>
      </c>
    </row>
    <row r="5" customFormat="false" ht="15" hidden="false" customHeight="true" outlineLevel="0" collapsed="false">
      <c r="A5" s="0" t="n">
        <v>4</v>
      </c>
      <c r="B5" s="2"/>
      <c r="C5" s="2"/>
      <c r="D5" s="2"/>
      <c r="F5" s="5" t="s">
        <v>9</v>
      </c>
      <c r="G5" s="5"/>
      <c r="I5" s="4" t="n">
        <f aca="false">$G$2</f>
        <v>0</v>
      </c>
      <c r="J5" s="4" t="n">
        <f aca="false">$G$2+0.1*$G$3</f>
        <v>0.015</v>
      </c>
      <c r="K5" s="4" t="n">
        <f aca="false">$G$2-0.1*$G$3</f>
        <v>-0.015</v>
      </c>
    </row>
    <row r="6" customFormat="false" ht="15" hidden="false" customHeight="false" outlineLevel="0" collapsed="false">
      <c r="A6" s="0" t="n">
        <v>5</v>
      </c>
      <c r="B6" s="2"/>
      <c r="C6" s="2"/>
      <c r="D6" s="2"/>
      <c r="F6" s="5"/>
      <c r="G6" s="5"/>
      <c r="I6" s="4" t="n">
        <f aca="false">$G$2</f>
        <v>0</v>
      </c>
      <c r="J6" s="4" t="n">
        <f aca="false">$G$2+0.1*$G$3</f>
        <v>0.015</v>
      </c>
      <c r="K6" s="4" t="n">
        <f aca="false">$G$2-0.1*$G$3</f>
        <v>-0.015</v>
      </c>
    </row>
    <row r="7" customFormat="false" ht="15" hidden="false" customHeight="false" outlineLevel="0" collapsed="false">
      <c r="A7" s="0" t="n">
        <v>6</v>
      </c>
      <c r="B7" s="2"/>
      <c r="C7" s="2"/>
      <c r="D7" s="2"/>
      <c r="F7" s="5"/>
      <c r="G7" s="5"/>
      <c r="I7" s="4" t="n">
        <f aca="false">$G$2</f>
        <v>0</v>
      </c>
      <c r="J7" s="4" t="n">
        <f aca="false">$G$2+0.1*$G$3</f>
        <v>0.015</v>
      </c>
      <c r="K7" s="4" t="n">
        <f aca="false">$G$2-0.1*$G$3</f>
        <v>-0.015</v>
      </c>
    </row>
    <row r="8" customFormat="false" ht="15" hidden="false" customHeight="false" outlineLevel="0" collapsed="false">
      <c r="A8" s="0" t="n">
        <v>7</v>
      </c>
      <c r="B8" s="2"/>
      <c r="C8" s="2"/>
      <c r="D8" s="2"/>
      <c r="F8" s="5"/>
      <c r="G8" s="5"/>
      <c r="I8" s="4" t="n">
        <f aca="false">$G$2</f>
        <v>0</v>
      </c>
      <c r="J8" s="4" t="n">
        <f aca="false">$G$2+0.1*$G$3</f>
        <v>0.015</v>
      </c>
      <c r="K8" s="4" t="n">
        <f aca="false">$G$2-0.1*$G$3</f>
        <v>-0.015</v>
      </c>
    </row>
    <row r="9" customFormat="false" ht="15" hidden="false" customHeight="false" outlineLevel="0" collapsed="false">
      <c r="A9" s="0" t="n">
        <v>8</v>
      </c>
      <c r="B9" s="2"/>
      <c r="C9" s="2"/>
      <c r="D9" s="2"/>
      <c r="F9" s="5"/>
      <c r="G9" s="5"/>
      <c r="I9" s="4" t="n">
        <f aca="false">$G$2</f>
        <v>0</v>
      </c>
      <c r="J9" s="4" t="n">
        <f aca="false">$G$2+0.1*$G$3</f>
        <v>0.015</v>
      </c>
      <c r="K9" s="4" t="n">
        <f aca="false">$G$2-0.1*$G$3</f>
        <v>-0.015</v>
      </c>
    </row>
    <row r="10" customFormat="false" ht="15" hidden="false" customHeight="false" outlineLevel="0" collapsed="false">
      <c r="A10" s="0" t="n">
        <v>9</v>
      </c>
      <c r="B10" s="2"/>
      <c r="C10" s="2"/>
      <c r="D10" s="2"/>
      <c r="F10" s="5"/>
      <c r="G10" s="5"/>
      <c r="I10" s="4" t="n">
        <f aca="false">$G$2</f>
        <v>0</v>
      </c>
      <c r="J10" s="4" t="n">
        <f aca="false">$G$2+0.1*$G$3</f>
        <v>0.015</v>
      </c>
      <c r="K10" s="4" t="n">
        <f aca="false">$G$2-0.1*$G$3</f>
        <v>-0.015</v>
      </c>
    </row>
    <row r="11" customFormat="false" ht="15" hidden="false" customHeight="false" outlineLevel="0" collapsed="false">
      <c r="A11" s="0" t="n">
        <v>10</v>
      </c>
      <c r="B11" s="2"/>
      <c r="C11" s="2"/>
      <c r="D11" s="2"/>
      <c r="F11" s="5"/>
      <c r="G11" s="5"/>
      <c r="I11" s="4" t="n">
        <f aca="false">$G$2</f>
        <v>0</v>
      </c>
      <c r="J11" s="4" t="n">
        <f aca="false">$G$2+0.1*$G$3</f>
        <v>0.015</v>
      </c>
      <c r="K11" s="4" t="n">
        <f aca="false">$G$2-0.1*$G$3</f>
        <v>-0.015</v>
      </c>
    </row>
    <row r="12" customFormat="false" ht="15" hidden="false" customHeight="false" outlineLevel="0" collapsed="false">
      <c r="A12" s="0" t="n">
        <v>11</v>
      </c>
      <c r="B12" s="2"/>
      <c r="C12" s="2"/>
      <c r="D12" s="2"/>
      <c r="F12" s="5"/>
      <c r="G12" s="5"/>
      <c r="I12" s="4" t="n">
        <f aca="false">$G$2</f>
        <v>0</v>
      </c>
      <c r="J12" s="4" t="n">
        <f aca="false">$G$2+0.1*$G$3</f>
        <v>0.015</v>
      </c>
      <c r="K12" s="4" t="n">
        <f aca="false">$G$2-0.1*$G$3</f>
        <v>-0.015</v>
      </c>
    </row>
    <row r="13" customFormat="false" ht="15" hidden="false" customHeight="false" outlineLevel="0" collapsed="false">
      <c r="A13" s="0" t="n">
        <v>12</v>
      </c>
      <c r="B13" s="2"/>
      <c r="C13" s="2"/>
      <c r="D13" s="2"/>
      <c r="I13" s="4" t="n">
        <f aca="false">$G$2</f>
        <v>0</v>
      </c>
      <c r="J13" s="4" t="n">
        <f aca="false">$G$2+0.1*$G$3</f>
        <v>0.015</v>
      </c>
      <c r="K13" s="4" t="n">
        <f aca="false">$G$2-0.1*$G$3</f>
        <v>-0.015</v>
      </c>
    </row>
    <row r="14" customFormat="false" ht="15" hidden="false" customHeight="false" outlineLevel="0" collapsed="false">
      <c r="A14" s="0" t="n">
        <v>13</v>
      </c>
      <c r="B14" s="2"/>
      <c r="C14" s="2"/>
      <c r="D14" s="2"/>
      <c r="I14" s="4" t="n">
        <f aca="false">$G$2</f>
        <v>0</v>
      </c>
      <c r="J14" s="4" t="n">
        <f aca="false">$G$2+0.1*$G$3</f>
        <v>0.015</v>
      </c>
      <c r="K14" s="4" t="n">
        <f aca="false">$G$2-0.1*$G$3</f>
        <v>-0.015</v>
      </c>
    </row>
    <row r="15" customFormat="false" ht="15" hidden="false" customHeight="false" outlineLevel="0" collapsed="false">
      <c r="A15" s="0" t="n">
        <v>14</v>
      </c>
      <c r="B15" s="2"/>
      <c r="C15" s="2"/>
      <c r="D15" s="2"/>
      <c r="I15" s="4" t="n">
        <f aca="false">$G$2</f>
        <v>0</v>
      </c>
      <c r="J15" s="4" t="n">
        <f aca="false">$G$2+0.1*$G$3</f>
        <v>0.015</v>
      </c>
      <c r="K15" s="4" t="n">
        <f aca="false">$G$2-0.1*$G$3</f>
        <v>-0.015</v>
      </c>
    </row>
    <row r="16" customFormat="false" ht="15" hidden="false" customHeight="false" outlineLevel="0" collapsed="false">
      <c r="A16" s="0" t="n">
        <v>15</v>
      </c>
      <c r="B16" s="2"/>
      <c r="C16" s="2"/>
      <c r="D16" s="2"/>
      <c r="I16" s="4" t="n">
        <f aca="false">$G$2</f>
        <v>0</v>
      </c>
      <c r="J16" s="4" t="n">
        <f aca="false">$G$2+0.1*$G$3</f>
        <v>0.015</v>
      </c>
      <c r="K16" s="4" t="n">
        <f aca="false">$G$2-0.1*$G$3</f>
        <v>-0.015</v>
      </c>
    </row>
    <row r="17" customFormat="false" ht="15" hidden="false" customHeight="false" outlineLevel="0" collapsed="false">
      <c r="A17" s="0" t="n">
        <v>16</v>
      </c>
      <c r="B17" s="2"/>
      <c r="C17" s="2"/>
      <c r="D17" s="2"/>
      <c r="I17" s="4" t="n">
        <f aca="false">$G$2</f>
        <v>0</v>
      </c>
      <c r="J17" s="4" t="n">
        <f aca="false">$G$2+0.1*$G$3</f>
        <v>0.015</v>
      </c>
      <c r="K17" s="4" t="n">
        <f aca="false">$G$2-0.1*$G$3</f>
        <v>-0.015</v>
      </c>
    </row>
    <row r="18" customFormat="false" ht="15" hidden="false" customHeight="false" outlineLevel="0" collapsed="false">
      <c r="A18" s="0" t="n">
        <v>17</v>
      </c>
      <c r="B18" s="2"/>
      <c r="C18" s="2"/>
      <c r="D18" s="2"/>
      <c r="I18" s="4" t="n">
        <f aca="false">$G$2</f>
        <v>0</v>
      </c>
      <c r="J18" s="4" t="n">
        <f aca="false">$G$2+0.1*$G$3</f>
        <v>0.015</v>
      </c>
      <c r="K18" s="4" t="n">
        <f aca="false">$G$2-0.1*$G$3</f>
        <v>-0.015</v>
      </c>
    </row>
    <row r="19" customFormat="false" ht="15" hidden="false" customHeight="false" outlineLevel="0" collapsed="false">
      <c r="A19" s="0" t="n">
        <v>18</v>
      </c>
      <c r="B19" s="2"/>
      <c r="C19" s="2"/>
      <c r="D19" s="2"/>
      <c r="I19" s="4" t="n">
        <f aca="false">$G$2</f>
        <v>0</v>
      </c>
      <c r="J19" s="4" t="n">
        <f aca="false">$G$2+0.1*$G$3</f>
        <v>0.015</v>
      </c>
      <c r="K19" s="4" t="n">
        <f aca="false">$G$2-0.1*$G$3</f>
        <v>-0.015</v>
      </c>
    </row>
    <row r="20" customFormat="false" ht="15" hidden="false" customHeight="false" outlineLevel="0" collapsed="false">
      <c r="A20" s="0" t="n">
        <v>19</v>
      </c>
      <c r="B20" s="2"/>
      <c r="C20" s="2"/>
      <c r="D20" s="2"/>
      <c r="I20" s="4" t="n">
        <f aca="false">$G$2</f>
        <v>0</v>
      </c>
      <c r="J20" s="4" t="n">
        <f aca="false">$G$2+0.1*$G$3</f>
        <v>0.015</v>
      </c>
      <c r="K20" s="4" t="n">
        <f aca="false">$G$2-0.1*$G$3</f>
        <v>-0.015</v>
      </c>
    </row>
    <row r="21" customFormat="false" ht="15" hidden="false" customHeight="false" outlineLevel="0" collapsed="false">
      <c r="A21" s="0" t="n">
        <v>20</v>
      </c>
      <c r="B21" s="2"/>
      <c r="C21" s="2"/>
      <c r="D21" s="2"/>
      <c r="I21" s="4" t="n">
        <f aca="false">$G$2</f>
        <v>0</v>
      </c>
      <c r="J21" s="4" t="n">
        <f aca="false">$G$2+0.1*$G$3</f>
        <v>0.015</v>
      </c>
      <c r="K21" s="4" t="n">
        <f aca="false">$G$2-0.1*$G$3</f>
        <v>-0.015</v>
      </c>
    </row>
    <row r="22" customFormat="false" ht="15" hidden="false" customHeight="false" outlineLevel="0" collapsed="false">
      <c r="A22" s="0" t="n">
        <v>21</v>
      </c>
      <c r="B22" s="2"/>
      <c r="C22" s="2"/>
      <c r="D22" s="2"/>
      <c r="I22" s="4" t="n">
        <f aca="false">$G$2</f>
        <v>0</v>
      </c>
      <c r="J22" s="4" t="n">
        <f aca="false">$G$2+0.1*$G$3</f>
        <v>0.015</v>
      </c>
      <c r="K22" s="4" t="n">
        <f aca="false">$G$2-0.1*$G$3</f>
        <v>-0.015</v>
      </c>
    </row>
    <row r="23" customFormat="false" ht="15" hidden="false" customHeight="false" outlineLevel="0" collapsed="false">
      <c r="A23" s="0" t="n">
        <v>22</v>
      </c>
      <c r="B23" s="2"/>
      <c r="C23" s="2"/>
      <c r="D23" s="2"/>
      <c r="I23" s="4" t="n">
        <f aca="false">$G$2</f>
        <v>0</v>
      </c>
      <c r="J23" s="4" t="n">
        <f aca="false">$G$2+0.1*$G$3</f>
        <v>0.015</v>
      </c>
      <c r="K23" s="4" t="n">
        <f aca="false">$G$2-0.1*$G$3</f>
        <v>-0.015</v>
      </c>
    </row>
    <row r="24" customFormat="false" ht="15" hidden="false" customHeight="false" outlineLevel="0" collapsed="false">
      <c r="A24" s="0" t="n">
        <v>23</v>
      </c>
      <c r="B24" s="2"/>
      <c r="C24" s="2"/>
      <c r="D24" s="2"/>
      <c r="I24" s="4" t="n">
        <f aca="false">$G$2</f>
        <v>0</v>
      </c>
      <c r="J24" s="4" t="n">
        <f aca="false">$G$2+0.1*$G$3</f>
        <v>0.015</v>
      </c>
      <c r="K24" s="4" t="n">
        <f aca="false">$G$2-0.1*$G$3</f>
        <v>-0.015</v>
      </c>
    </row>
    <row r="25" customFormat="false" ht="15" hidden="false" customHeight="false" outlineLevel="0" collapsed="false">
      <c r="A25" s="0" t="n">
        <v>24</v>
      </c>
      <c r="B25" s="2"/>
      <c r="C25" s="2"/>
      <c r="D25" s="2"/>
      <c r="I25" s="4" t="n">
        <f aca="false">$G$2</f>
        <v>0</v>
      </c>
      <c r="J25" s="4" t="n">
        <f aca="false">$G$2+0.1*$G$3</f>
        <v>0.015</v>
      </c>
      <c r="K25" s="4" t="n">
        <f aca="false">$G$2-0.1*$G$3</f>
        <v>-0.015</v>
      </c>
    </row>
    <row r="26" customFormat="false" ht="15" hidden="false" customHeight="false" outlineLevel="0" collapsed="false">
      <c r="A26" s="0" t="n">
        <v>25</v>
      </c>
      <c r="B26" s="2"/>
      <c r="C26" s="2"/>
      <c r="D26" s="2"/>
      <c r="I26" s="4" t="n">
        <f aca="false">$G$2</f>
        <v>0</v>
      </c>
      <c r="J26" s="4" t="n">
        <f aca="false">$G$2+0.1*$G$3</f>
        <v>0.015</v>
      </c>
      <c r="K26" s="4" t="n">
        <f aca="false">$G$2-0.1*$G$3</f>
        <v>-0.015</v>
      </c>
    </row>
    <row r="28" customFormat="false" ht="15" hidden="false" customHeight="false" outlineLevel="0" collapsed="false">
      <c r="A28" s="6" t="s">
        <v>10</v>
      </c>
      <c r="B28" s="7" t="e">
        <f aca="false">IF(COUNT(B2:B26)&lt;2,NA(),AVERAGE(B2:B26))</f>
        <v>#N/A</v>
      </c>
      <c r="C28" s="7" t="e">
        <f aca="false">IF(COUNT(C2:C26)&lt;2,NA(),AVERAGE(C2:C26))</f>
        <v>#N/A</v>
      </c>
      <c r="D28" s="7" t="e">
        <f aca="false">IF(COUNT(D2:D26)&lt;2,NA(),AVERAGE(D2:D26))</f>
        <v>#N/A</v>
      </c>
    </row>
    <row r="29" customFormat="false" ht="15" hidden="false" customHeight="false" outlineLevel="0" collapsed="false">
      <c r="A29" s="6" t="s">
        <v>11</v>
      </c>
      <c r="B29" s="7" t="e">
        <f aca="false">IF(COUNT(B2:B26)&lt;2,NA(),_xlfn.STDEV.S(B2:B26))</f>
        <v>#N/A</v>
      </c>
      <c r="C29" s="7" t="e">
        <f aca="false">IF(COUNT(C2:C26)&lt;2,NA(),_xlfn.STDEV.S(C2:C26))</f>
        <v>#N/A</v>
      </c>
      <c r="D29" s="7" t="e">
        <f aca="false">IF(COUNT(D2:D26)&lt;2,NA(),_xlfn.STDEV.S(D2:D26))</f>
        <v>#N/A</v>
      </c>
    </row>
    <row r="30" customFormat="false" ht="15" hidden="false" customHeight="false" outlineLevel="0" collapsed="false">
      <c r="A30" s="6" t="s">
        <v>12</v>
      </c>
      <c r="B30" s="7" t="e">
        <f aca="false">B28-$G$2</f>
        <v>#N/A</v>
      </c>
      <c r="C30" s="7" t="e">
        <f aca="false">C28-$G$2</f>
        <v>#N/A</v>
      </c>
      <c r="D30" s="7" t="e">
        <f aca="false">D28-$G$2</f>
        <v>#N/A</v>
      </c>
    </row>
    <row r="31" customFormat="false" ht="15" hidden="false" customHeight="false" outlineLevel="0" collapsed="false">
      <c r="A31" s="6" t="s">
        <v>13</v>
      </c>
      <c r="B31" s="8" t="e">
        <f aca="false">0.2*$G$3/(6*B29)</f>
        <v>#N/A</v>
      </c>
      <c r="C31" s="8" t="e">
        <f aca="false">0.2*$G$3/(6*C29)</f>
        <v>#N/A</v>
      </c>
      <c r="D31" s="8" t="e">
        <f aca="false">0.2*$G$3/(6*D29)</f>
        <v>#N/A</v>
      </c>
    </row>
    <row r="32" customFormat="false" ht="15" hidden="false" customHeight="false" outlineLevel="0" collapsed="false">
      <c r="A32" s="6" t="s">
        <v>14</v>
      </c>
      <c r="B32" s="8" t="e">
        <f aca="false">(0.1*$G$3-ABS(B30))/(3*B29)</f>
        <v>#N/A</v>
      </c>
      <c r="C32" s="8" t="e">
        <f aca="false">(0.1*$G$3-ABS(C30))/(3*C29)</f>
        <v>#N/A</v>
      </c>
      <c r="D32" s="8" t="e">
        <f aca="false">(0.1*$G$3-ABS(D30))/(3*D29)</f>
        <v>#N/A</v>
      </c>
    </row>
    <row r="33" customFormat="false" ht="15" hidden="false" customHeight="false" outlineLevel="0" collapsed="false">
      <c r="A33" s="6" t="s">
        <v>15</v>
      </c>
      <c r="B33" s="9" t="n">
        <f aca="false">SUMPRODUCT((B2:B26&lt;&gt;"")/COUNTIF(B2:B26,B2:B26&amp;""))</f>
        <v>0</v>
      </c>
      <c r="C33" s="9" t="n">
        <f aca="false">SUMPRODUCT((C2:C26&lt;&gt;"")/COUNTIF(C2:C26,C2:C26&amp;""))</f>
        <v>0</v>
      </c>
      <c r="D33" s="9" t="n">
        <f aca="false">SUMPRODUCT((D2:D26&lt;&gt;"")/COUNTIF(D2:D26,D2:D26&amp;""))</f>
        <v>0</v>
      </c>
    </row>
    <row r="35" customFormat="false" ht="15" hidden="false" customHeight="false" outlineLevel="0" collapsed="false">
      <c r="A35" s="6" t="s">
        <v>16</v>
      </c>
      <c r="B35" s="7" t="e">
        <f aca="false">B28-C28</f>
        <v>#N/A</v>
      </c>
    </row>
    <row r="36" customFormat="false" ht="15" hidden="false" customHeight="false" outlineLevel="0" collapsed="false">
      <c r="A36" s="6" t="s">
        <v>17</v>
      </c>
      <c r="B36" s="10" t="e">
        <f aca="false">ABS(B35)/(0.1*$G$3)</f>
        <v>#N/A</v>
      </c>
    </row>
  </sheetData>
  <mergeCells count="1">
    <mergeCell ref="F5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2026-10-02T05:50:20Z</dcterms:created>
  <dc:creator>openpyxl</dc:creator>
  <dc:description/>
  <dc:language>en-US</dc:language>
  <cp:lastModifiedBy/>
  <dcterms:modified xsi:type="dcterms:W3CDTF">2026-10-02T07:50:25Z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