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1_pression" sheetId="1" state="visible" r:id="rId3"/>
    <sheet name="E2_liquide" sheetId="2" state="visible" r:id="rId4"/>
    <sheet name="E3_billes" sheetId="3" state="visible" r:id="rId5"/>
    <sheet name="E4_dimension" sheetId="4" state="visible" r:id="rId6"/>
    <sheet name="E5_X_sans" sheetId="5" state="visible" r:id="rId7"/>
    <sheet name="E5_Y_avec" sheetId="6" state="visible" r:id="rId8"/>
    <sheet name="G1_inspection" sheetId="7" state="visible" r:id="rId9"/>
    <sheet name="G2_revisi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<sst xmlns="http://schemas.openxmlformats.org/spreadsheetml/2006/main" count="162" uniqueCount="94">
  <si>
    <t xml:space="preserve">Jour</t>
  </si>
  <si>
    <t xml:space="preserve">Date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</si>
  <si>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</si>
  <si>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</si>
  <si>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</si>
  <si>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</si>
  <si>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</si>
  <si>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Moyenne</t>
  </si>
  <si>
    <t xml:space="preserve">Etendue</t>
  </si>
  <si>
    <t xml:space="preserve">LC</t>
  </si>
  <si>
    <t xml:space="preserve">LCS</t>
  </si>
  <si>
    <t xml:space="preserve">LCI</t>
  </si>
  <si>
    <t xml:space="preserve">R barre</t>
  </si>
  <si>
    <t xml:space="preserve">LCS R</t>
  </si>
  <si>
    <t xml:space="preserve">1 déc</t>
  </si>
  <si>
    <t xml:space="preserve">Échantillons utilisés pour les limites : 1 à</t>
  </si>
  <si>
    <t xml:space="preserve">2 déc</t>
  </si>
  <si>
    <t xml:space="preserve">X double barre</t>
  </si>
  <si>
    <t xml:space="preserve">3 déc</t>
  </si>
  <si>
    <t xml:space="preserve">4 déc</t>
  </si>
  <si>
    <t xml:space="preserve">A2 (n = 5)</t>
  </si>
  <si>
    <t xml:space="preserve">7 déc</t>
  </si>
  <si>
    <t xml:space="preserve">D4 (n = 5)</t>
  </si>
  <si>
    <t xml:space="preserve">8 déc</t>
  </si>
  <si>
    <t xml:space="preserve">D3 (n = 5)</t>
  </si>
  <si>
    <t xml:space="preserve">9 déc</t>
  </si>
  <si>
    <t xml:space="preserve">10 déc</t>
  </si>
  <si>
    <t xml:space="preserve">Hors limites X barre</t>
  </si>
  <si>
    <t xml:space="preserve">11 déc</t>
  </si>
  <si>
    <t xml:space="preserve">Hors limites R</t>
  </si>
  <si>
    <t xml:space="preserve">14 déc</t>
  </si>
  <si>
    <t xml:space="preserve">15 déc</t>
  </si>
  <si>
    <t xml:space="preserve">E1 pression : mettre 12 puis 24. Limites à 3 sigmas. Changer la case orange (Q2) pour choisir les échantillons de calcul. </t>
  </si>
  <si>
    <t xml:space="preserve">16 déc</t>
  </si>
  <si>
    <t xml:space="preserve">17 déc</t>
  </si>
  <si>
    <t xml:space="preserve">18 déc</t>
  </si>
  <si>
    <t xml:space="preserve">21 déc</t>
  </si>
  <si>
    <t xml:space="preserve">22 déc</t>
  </si>
  <si>
    <t xml:space="preserve">4 janv</t>
  </si>
  <si>
    <t xml:space="preserve">5 janv</t>
  </si>
  <si>
    <t xml:space="preserve">6 janv</t>
  </si>
  <si>
    <t xml:space="preserve">7 janv</t>
  </si>
  <si>
    <t xml:space="preserve">8 janv</t>
  </si>
  <si>
    <t xml:space="preserve">11 janv</t>
  </si>
  <si>
    <t xml:space="preserve">12 janv</t>
  </si>
  <si>
    <t xml:space="preserve">13 janv</t>
  </si>
  <si>
    <t xml:space="preserve">n°</t>
  </si>
  <si>
    <t xml:space="preserve">Valeur</t>
  </si>
  <si>
    <t xml:space="preserve">mR</t>
  </si>
  <si>
    <t xml:space="preserve">mR barre</t>
  </si>
  <si>
    <t xml:space="preserve">LCS mR</t>
  </si>
  <si>
    <t xml:space="preserve">Valeurs utilisées pour les limites : 1 à</t>
  </si>
  <si>
    <t xml:space="preserve">σ estimé par la carte (mR barre / 1,128)</t>
  </si>
  <si>
    <t xml:space="preserve">Écart-type s des valeurs</t>
  </si>
  <si>
    <t xml:space="preserve">Points hors limites (X)</t>
  </si>
  <si>
    <t xml:space="preserve">Points hors limites (mR)</t>
  </si>
  <si>
    <t xml:space="preserve">E2 liquide : limites sur les 15 premiers lots, lots 16 et 17 ajoutés. </t>
  </si>
  <si>
    <t xml:space="preserve">Echantillon</t>
  </si>
  <si>
    <t xml:space="preserve">n</t>
  </si>
  <si>
    <t xml:space="preserve">Xbar</t>
  </si>
  <si>
    <t xml:space="preserve">R</t>
  </si>
  <si>
    <t xml:space="preserve">Retenu (1/0)</t>
  </si>
  <si>
    <t xml:space="preserve">X double barre (échantillons retenus)</t>
  </si>
  <si>
    <t xml:space="preserve">R barre (échantillons retenus)</t>
  </si>
  <si>
    <t xml:space="preserve">E3 billes : n = 5, limites à 3 sigmas. Mettre 0 dans la colonne E pour retirer un échantillon du calcul des limites (12 et 15 au premier passage).</t>
  </si>
  <si>
    <t xml:space="preserve">E4 dimension : limites sur 1 à 20. Limites à 3 sigmas. Changer la case orange (P2) pour choisir les échantillons de calcul. Le fichier donne 2681 pour la 3e pièce de l'échantillon 15, l'énoncé papier d'origine 2651.</t>
  </si>
  <si>
    <t xml:space="preserve">X</t>
  </si>
  <si>
    <t xml:space="preserve">Valeurs hors tolérance</t>
  </si>
  <si>
    <t xml:space="preserve">E5 sans intervention. Tolérance 66,5 / 71,5.</t>
  </si>
  <si>
    <t xml:space="preserve">Y</t>
  </si>
  <si>
    <t xml:space="preserve">E5 avec intervention à chaque valeur hors tolérance. Tolérance 66,5 / 71,5.</t>
  </si>
  <si>
    <t xml:space="preserve">Lot</t>
  </si>
  <si>
    <t xml:space="preserve">Taille_lot</t>
  </si>
  <si>
    <t xml:space="preserve">Non_conformes</t>
  </si>
  <si>
    <t xml:space="preserve">p</t>
  </si>
  <si>
    <t xml:space="preserve">LCS p</t>
  </si>
  <si>
    <t xml:space="preserve">LCI p</t>
  </si>
  <si>
    <t xml:space="preserve">p barre</t>
  </si>
  <si>
    <t xml:space="preserve">np barre</t>
  </si>
  <si>
    <t xml:space="preserve">LCS np</t>
  </si>
  <si>
    <t xml:space="preserve">LCI np</t>
  </si>
  <si>
    <t xml:space="preserve">Lots hors limites p</t>
  </si>
  <si>
    <t xml:space="preserve">Lots hors limites np</t>
  </si>
  <si>
    <t xml:space="preserve">Carte</t>
  </si>
  <si>
    <t xml:space="preserve">Données</t>
  </si>
  <si>
    <t xml:space="preserve">n = 100 ; p barre = 0,05</t>
  </si>
  <si>
    <t xml:space="preserve">np</t>
  </si>
  <si>
    <t xml:space="preserve">n = 150 ; p barre = 0,07</t>
  </si>
  <si>
    <t xml:space="preserve">c</t>
  </si>
  <si>
    <t xml:space="preserve">c barre = 4</t>
  </si>
  <si>
    <t xml:space="preserve">X barre (3 sigmas)</t>
  </si>
  <si>
    <t xml:space="preserve">n = 4 ; X = 15 ; R = 6</t>
  </si>
  <si>
    <t xml:space="preserve">XmR</t>
  </si>
  <si>
    <t xml:space="preserve">X = 35 ; mR = 5,5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</si>
</sst>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"/>
    <numFmt numFmtId="166" formatCode="0.0000"/>
    <numFmt numFmtId="167" formatCode="0"/>
    <numFmt numFmtId="168" formatCode="0.00"/>
    <numFmt numFmtId="169" formatCode="0.0%"/>
    <numFmt numFmtId="170" formatCode="0.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1F4E9E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FFF4E5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4E5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1F4E9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Carte X barre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E1_pression!H1</c:f>
              <c:strCache>
                <c:ptCount val="1"/>
                <c:pt idx="0">
                  <c:v>Moyenne</c:v>
                </c:pt>
              </c:strCache>
            </c:strRef>
          </c:tx>
          <c:spPr>
            <a:solidFill>
              <a:srgbClr val="1f3864"/>
            </a:solidFill>
            <a:ln w="19080">
              <a:solidFill>
                <a:srgbClr val="1f3864"/>
              </a:solidFill>
              <a:round/>
            </a:ln>
          </c:spPr>
          <c:marker>
            <c:symbol val="circle"/>
            <c:size val="6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E1_pression!$A$2:$A$25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E1_pression!$H$2:$H$25</c:f>
              <c:numCache>
                <c:formatCode>0.000</c:formatCode>
                <c:ptCount val="24"/>
                <c:pt idx="0">
                  <c:v>57.6</c:v>
                </c:pt>
                <c:pt idx="1">
                  <c:v>59.4</c:v>
                </c:pt>
                <c:pt idx="2">
                  <c:v>58.2</c:v>
                </c:pt>
                <c:pt idx="3">
                  <c:v>60</c:v>
                </c:pt>
                <c:pt idx="4">
                  <c:v>57.8</c:v>
                </c:pt>
                <c:pt idx="5">
                  <c:v>57</c:v>
                </c:pt>
                <c:pt idx="6">
                  <c:v>55.4</c:v>
                </c:pt>
                <c:pt idx="7">
                  <c:v>55.4</c:v>
                </c:pt>
                <c:pt idx="8">
                  <c:v>58</c:v>
                </c:pt>
                <c:pt idx="9">
                  <c:v>58.2</c:v>
                </c:pt>
                <c:pt idx="10">
                  <c:v>59</c:v>
                </c:pt>
                <c:pt idx="11">
                  <c:v>58</c:v>
                </c:pt>
                <c:pt idx="12">
                  <c:v>55</c:v>
                </c:pt>
                <c:pt idx="13">
                  <c:v>61.4</c:v>
                </c:pt>
                <c:pt idx="14">
                  <c:v>69.8</c:v>
                </c:pt>
                <c:pt idx="15">
                  <c:v>68.4</c:v>
                </c:pt>
                <c:pt idx="16">
                  <c:v>52.2</c:v>
                </c:pt>
                <c:pt idx="17">
                  <c:v>51.8</c:v>
                </c:pt>
                <c:pt idx="18">
                  <c:v>46.6</c:v>
                </c:pt>
                <c:pt idx="19">
                  <c:v>52.6</c:v>
                </c:pt>
                <c:pt idx="20">
                  <c:v>58.8</c:v>
                </c:pt>
                <c:pt idx="21">
                  <c:v>58.6</c:v>
                </c:pt>
                <c:pt idx="22">
                  <c:v>51.8</c:v>
                </c:pt>
                <c:pt idx="23">
                  <c:v>54.2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E1_pression!J1</c:f>
              <c:strCache>
                <c:ptCount val="1"/>
                <c:pt idx="0">
                  <c:v>LC</c:v>
                </c:pt>
              </c:strCache>
            </c:strRef>
          </c:tx>
          <c:spPr>
            <a:solidFill>
              <a:srgbClr val="1f3864"/>
            </a:solidFill>
            <a:ln w="15840">
              <a:solidFill>
                <a:srgbClr val="1f3864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E1_pression!$A$2:$A$25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E1_pression!$J$2:$J$25</c:f>
              <c:numCache>
                <c:formatCode>0.000</c:formatCode>
                <c:ptCount val="24"/>
                <c:pt idx="0">
                  <c:v>57.8333333333333</c:v>
                </c:pt>
                <c:pt idx="1">
                  <c:v>57.8333333333333</c:v>
                </c:pt>
                <c:pt idx="2">
                  <c:v>57.8333333333333</c:v>
                </c:pt>
                <c:pt idx="3">
                  <c:v>57.8333333333333</c:v>
                </c:pt>
                <c:pt idx="4">
                  <c:v>57.8333333333333</c:v>
                </c:pt>
                <c:pt idx="5">
                  <c:v>57.8333333333333</c:v>
                </c:pt>
                <c:pt idx="6">
                  <c:v>57.8333333333333</c:v>
                </c:pt>
                <c:pt idx="7">
                  <c:v>57.8333333333333</c:v>
                </c:pt>
                <c:pt idx="8">
                  <c:v>57.8333333333333</c:v>
                </c:pt>
                <c:pt idx="9">
                  <c:v>57.8333333333333</c:v>
                </c:pt>
                <c:pt idx="10">
                  <c:v>57.8333333333333</c:v>
                </c:pt>
                <c:pt idx="11">
                  <c:v>57.8333333333333</c:v>
                </c:pt>
                <c:pt idx="12">
                  <c:v>57.8333333333333</c:v>
                </c:pt>
                <c:pt idx="13">
                  <c:v>57.8333333333333</c:v>
                </c:pt>
                <c:pt idx="14">
                  <c:v>57.8333333333333</c:v>
                </c:pt>
                <c:pt idx="15">
                  <c:v>57.8333333333333</c:v>
                </c:pt>
                <c:pt idx="16">
                  <c:v>57.8333333333333</c:v>
                </c:pt>
                <c:pt idx="17">
                  <c:v>57.8333333333333</c:v>
                </c:pt>
                <c:pt idx="18">
                  <c:v>57.8333333333333</c:v>
                </c:pt>
                <c:pt idx="19">
                  <c:v>57.8333333333333</c:v>
                </c:pt>
                <c:pt idx="20">
                  <c:v>57.8333333333333</c:v>
                </c:pt>
                <c:pt idx="21">
                  <c:v>57.8333333333333</c:v>
                </c:pt>
                <c:pt idx="22">
                  <c:v>57.8333333333333</c:v>
                </c:pt>
                <c:pt idx="23">
                  <c:v>57.8333333333333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E1_pression!K1</c:f>
              <c:strCache>
                <c:ptCount val="1"/>
                <c:pt idx="0">
                  <c:v>LCS</c:v>
                </c:pt>
              </c:strCache>
            </c:strRef>
          </c:tx>
          <c:spPr>
            <a:solidFill>
              <a:srgbClr val="c00000"/>
            </a:solidFill>
            <a:ln w="158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E1_pression!$A$2:$A$25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E1_pression!$K$2:$K$25</c:f>
              <c:numCache>
                <c:formatCode>0.000</c:formatCode>
                <c:ptCount val="24"/>
                <c:pt idx="0">
                  <c:v>62.8820833333333</c:v>
                </c:pt>
                <c:pt idx="1">
                  <c:v>62.8820833333333</c:v>
                </c:pt>
                <c:pt idx="2">
                  <c:v>62.8820833333333</c:v>
                </c:pt>
                <c:pt idx="3">
                  <c:v>62.8820833333333</c:v>
                </c:pt>
                <c:pt idx="4">
                  <c:v>62.8820833333333</c:v>
                </c:pt>
                <c:pt idx="5">
                  <c:v>62.8820833333333</c:v>
                </c:pt>
                <c:pt idx="6">
                  <c:v>62.8820833333333</c:v>
                </c:pt>
                <c:pt idx="7">
                  <c:v>62.8820833333333</c:v>
                </c:pt>
                <c:pt idx="8">
                  <c:v>62.8820833333333</c:v>
                </c:pt>
                <c:pt idx="9">
                  <c:v>62.8820833333333</c:v>
                </c:pt>
                <c:pt idx="10">
                  <c:v>62.8820833333333</c:v>
                </c:pt>
                <c:pt idx="11">
                  <c:v>62.8820833333333</c:v>
                </c:pt>
                <c:pt idx="12">
                  <c:v>62.8820833333333</c:v>
                </c:pt>
                <c:pt idx="13">
                  <c:v>62.8820833333333</c:v>
                </c:pt>
                <c:pt idx="14">
                  <c:v>62.8820833333333</c:v>
                </c:pt>
                <c:pt idx="15">
                  <c:v>62.8820833333333</c:v>
                </c:pt>
                <c:pt idx="16">
                  <c:v>62.8820833333333</c:v>
                </c:pt>
                <c:pt idx="17">
                  <c:v>62.8820833333333</c:v>
                </c:pt>
                <c:pt idx="18">
                  <c:v>62.8820833333333</c:v>
                </c:pt>
                <c:pt idx="19">
                  <c:v>62.8820833333333</c:v>
                </c:pt>
                <c:pt idx="20">
                  <c:v>62.8820833333333</c:v>
                </c:pt>
                <c:pt idx="21">
                  <c:v>62.8820833333333</c:v>
                </c:pt>
                <c:pt idx="22">
                  <c:v>62.8820833333333</c:v>
                </c:pt>
                <c:pt idx="23">
                  <c:v>62.8820833333333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E1_pression!L1</c:f>
              <c:strCache>
                <c:ptCount val="1"/>
                <c:pt idx="0">
                  <c:v>LCI</c:v>
                </c:pt>
              </c:strCache>
            </c:strRef>
          </c:tx>
          <c:spPr>
            <a:solidFill>
              <a:srgbClr val="c00000"/>
            </a:solidFill>
            <a:ln w="158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E1_pression!$A$2:$A$25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E1_pression!$L$2:$L$25</c:f>
              <c:numCache>
                <c:formatCode>0.000</c:formatCode>
                <c:ptCount val="24"/>
                <c:pt idx="0">
                  <c:v>52.7845833333333</c:v>
                </c:pt>
                <c:pt idx="1">
                  <c:v>52.7845833333333</c:v>
                </c:pt>
                <c:pt idx="2">
                  <c:v>52.7845833333333</c:v>
                </c:pt>
                <c:pt idx="3">
                  <c:v>52.7845833333333</c:v>
                </c:pt>
                <c:pt idx="4">
                  <c:v>52.7845833333333</c:v>
                </c:pt>
                <c:pt idx="5">
                  <c:v>52.7845833333333</c:v>
                </c:pt>
                <c:pt idx="6">
                  <c:v>52.7845833333333</c:v>
                </c:pt>
                <c:pt idx="7">
                  <c:v>52.7845833333333</c:v>
                </c:pt>
                <c:pt idx="8">
                  <c:v>52.7845833333333</c:v>
                </c:pt>
                <c:pt idx="9">
                  <c:v>52.7845833333333</c:v>
                </c:pt>
                <c:pt idx="10">
                  <c:v>52.7845833333333</c:v>
                </c:pt>
                <c:pt idx="11">
                  <c:v>52.7845833333333</c:v>
                </c:pt>
                <c:pt idx="12">
                  <c:v>52.7845833333333</c:v>
                </c:pt>
                <c:pt idx="13">
                  <c:v>52.7845833333333</c:v>
                </c:pt>
                <c:pt idx="14">
                  <c:v>52.7845833333333</c:v>
                </c:pt>
                <c:pt idx="15">
                  <c:v>52.7845833333333</c:v>
                </c:pt>
                <c:pt idx="16">
                  <c:v>52.7845833333333</c:v>
                </c:pt>
                <c:pt idx="17">
                  <c:v>52.7845833333333</c:v>
                </c:pt>
                <c:pt idx="18">
                  <c:v>52.7845833333333</c:v>
                </c:pt>
                <c:pt idx="19">
                  <c:v>52.7845833333333</c:v>
                </c:pt>
                <c:pt idx="20">
                  <c:v>52.7845833333333</c:v>
                </c:pt>
                <c:pt idx="21">
                  <c:v>52.7845833333333</c:v>
                </c:pt>
                <c:pt idx="22">
                  <c:v>52.7845833333333</c:v>
                </c:pt>
                <c:pt idx="23">
                  <c:v>52.7845833333333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889339"/>
        <c:axId val="44092140"/>
      </c:lineChart>
      <c:catAx>
        <c:axId val="28893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092140"/>
        <c:crosses val="autoZero"/>
        <c:auto val="1"/>
        <c:lblAlgn val="ctr"/>
        <c:lblOffset val="100"/>
        <c:noMultiLvlLbl val="0"/>
      </c:catAx>
      <c:valAx>
        <c:axId val="44092140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893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Carte 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E1_pression!I1</c:f>
              <c:strCache>
                <c:ptCount val="1"/>
                <c:pt idx="0">
                  <c:v>Etendue</c:v>
                </c:pt>
              </c:strCache>
            </c:strRef>
          </c:tx>
          <c:spPr>
            <a:solidFill>
              <a:srgbClr val="1f3864"/>
            </a:solidFill>
            <a:ln w="19080">
              <a:solidFill>
                <a:srgbClr val="1f3864"/>
              </a:solidFill>
              <a:round/>
            </a:ln>
          </c:spPr>
          <c:marker>
            <c:symbol val="circle"/>
            <c:size val="6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E1_pression!$A$2:$A$25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E1_pression!$I$2:$I$25</c:f>
              <c:numCache>
                <c:formatCode>0.000</c:formatCode>
                <c:ptCount val="24"/>
                <c:pt idx="0">
                  <c:v>6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7</c:v>
                </c:pt>
                <c:pt idx="5">
                  <c:v>10</c:v>
                </c:pt>
                <c:pt idx="6">
                  <c:v>16</c:v>
                </c:pt>
                <c:pt idx="7">
                  <c:v>6</c:v>
                </c:pt>
                <c:pt idx="8">
                  <c:v>9</c:v>
                </c:pt>
                <c:pt idx="9">
                  <c:v>3</c:v>
                </c:pt>
                <c:pt idx="10">
                  <c:v>11</c:v>
                </c:pt>
                <c:pt idx="11">
                  <c:v>18</c:v>
                </c:pt>
                <c:pt idx="12">
                  <c:v>6</c:v>
                </c:pt>
                <c:pt idx="13">
                  <c:v>8</c:v>
                </c:pt>
                <c:pt idx="14">
                  <c:v>1</c:v>
                </c:pt>
                <c:pt idx="15">
                  <c:v>10</c:v>
                </c:pt>
                <c:pt idx="16">
                  <c:v>14</c:v>
                </c:pt>
                <c:pt idx="17">
                  <c:v>10</c:v>
                </c:pt>
                <c:pt idx="18">
                  <c:v>7</c:v>
                </c:pt>
                <c:pt idx="19">
                  <c:v>12</c:v>
                </c:pt>
                <c:pt idx="20">
                  <c:v>13</c:v>
                </c:pt>
                <c:pt idx="21">
                  <c:v>6</c:v>
                </c:pt>
                <c:pt idx="22">
                  <c:v>19</c:v>
                </c:pt>
                <c:pt idx="23">
                  <c:v>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E1_pression!M1</c:f>
              <c:strCache>
                <c:ptCount val="1"/>
                <c:pt idx="0">
                  <c:v>R barre</c:v>
                </c:pt>
              </c:strCache>
            </c:strRef>
          </c:tx>
          <c:spPr>
            <a:solidFill>
              <a:srgbClr val="1f3864"/>
            </a:solidFill>
            <a:ln w="15840">
              <a:solidFill>
                <a:srgbClr val="1f3864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E1_pression!$A$2:$A$25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E1_pression!$M$2:$M$25</c:f>
              <c:numCache>
                <c:formatCode>0.000</c:formatCode>
                <c:ptCount val="24"/>
                <c:pt idx="0">
                  <c:v>8.75</c:v>
                </c:pt>
                <c:pt idx="1">
                  <c:v>8.75</c:v>
                </c:pt>
                <c:pt idx="2">
                  <c:v>8.75</c:v>
                </c:pt>
                <c:pt idx="3">
                  <c:v>8.75</c:v>
                </c:pt>
                <c:pt idx="4">
                  <c:v>8.75</c:v>
                </c:pt>
                <c:pt idx="5">
                  <c:v>8.75</c:v>
                </c:pt>
                <c:pt idx="6">
                  <c:v>8.75</c:v>
                </c:pt>
                <c:pt idx="7">
                  <c:v>8.75</c:v>
                </c:pt>
                <c:pt idx="8">
                  <c:v>8.75</c:v>
                </c:pt>
                <c:pt idx="9">
                  <c:v>8.75</c:v>
                </c:pt>
                <c:pt idx="10">
                  <c:v>8.75</c:v>
                </c:pt>
                <c:pt idx="11">
                  <c:v>8.75</c:v>
                </c:pt>
                <c:pt idx="12">
                  <c:v>8.75</c:v>
                </c:pt>
                <c:pt idx="13">
                  <c:v>8.75</c:v>
                </c:pt>
                <c:pt idx="14">
                  <c:v>8.75</c:v>
                </c:pt>
                <c:pt idx="15">
                  <c:v>8.75</c:v>
                </c:pt>
                <c:pt idx="16">
                  <c:v>8.75</c:v>
                </c:pt>
                <c:pt idx="17">
                  <c:v>8.75</c:v>
                </c:pt>
                <c:pt idx="18">
                  <c:v>8.75</c:v>
                </c:pt>
                <c:pt idx="19">
                  <c:v>8.75</c:v>
                </c:pt>
                <c:pt idx="20">
                  <c:v>8.75</c:v>
                </c:pt>
                <c:pt idx="21">
                  <c:v>8.75</c:v>
                </c:pt>
                <c:pt idx="22">
                  <c:v>8.75</c:v>
                </c:pt>
                <c:pt idx="23">
                  <c:v>8.75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E1_pression!N1</c:f>
              <c:strCache>
                <c:ptCount val="1"/>
                <c:pt idx="0">
                  <c:v>LCS R</c:v>
                </c:pt>
              </c:strCache>
            </c:strRef>
          </c:tx>
          <c:spPr>
            <a:solidFill>
              <a:srgbClr val="c00000"/>
            </a:solidFill>
            <a:ln w="158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E1_pression!$A$2:$A$25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E1_pression!$N$2:$N$25</c:f>
              <c:numCache>
                <c:formatCode>0.000</c:formatCode>
                <c:ptCount val="24"/>
                <c:pt idx="0">
                  <c:v>18.4975</c:v>
                </c:pt>
                <c:pt idx="1">
                  <c:v>18.4975</c:v>
                </c:pt>
                <c:pt idx="2">
                  <c:v>18.4975</c:v>
                </c:pt>
                <c:pt idx="3">
                  <c:v>18.4975</c:v>
                </c:pt>
                <c:pt idx="4">
                  <c:v>18.4975</c:v>
                </c:pt>
                <c:pt idx="5">
                  <c:v>18.4975</c:v>
                </c:pt>
                <c:pt idx="6">
                  <c:v>18.4975</c:v>
                </c:pt>
                <c:pt idx="7">
                  <c:v>18.4975</c:v>
                </c:pt>
                <c:pt idx="8">
                  <c:v>18.4975</c:v>
                </c:pt>
                <c:pt idx="9">
                  <c:v>18.4975</c:v>
                </c:pt>
                <c:pt idx="10">
                  <c:v>18.4975</c:v>
                </c:pt>
                <c:pt idx="11">
                  <c:v>18.4975</c:v>
                </c:pt>
                <c:pt idx="12">
                  <c:v>18.4975</c:v>
                </c:pt>
                <c:pt idx="13">
                  <c:v>18.4975</c:v>
                </c:pt>
                <c:pt idx="14">
                  <c:v>18.4975</c:v>
                </c:pt>
                <c:pt idx="15">
                  <c:v>18.4975</c:v>
                </c:pt>
                <c:pt idx="16">
                  <c:v>18.4975</c:v>
                </c:pt>
                <c:pt idx="17">
                  <c:v>18.4975</c:v>
                </c:pt>
                <c:pt idx="18">
                  <c:v>18.4975</c:v>
                </c:pt>
                <c:pt idx="19">
                  <c:v>18.4975</c:v>
                </c:pt>
                <c:pt idx="20">
                  <c:v>18.4975</c:v>
                </c:pt>
                <c:pt idx="21">
                  <c:v>18.4975</c:v>
                </c:pt>
                <c:pt idx="22">
                  <c:v>18.4975</c:v>
                </c:pt>
                <c:pt idx="23">
                  <c:v>18.4975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1910304"/>
        <c:axId val="43346632"/>
      </c:lineChart>
      <c:catAx>
        <c:axId val="3191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346632"/>
        <c:crosses val="autoZero"/>
        <c:auto val="1"/>
        <c:lblAlgn val="ctr"/>
        <c:lblOffset val="100"/>
        <c:noMultiLvlLbl val="0"/>
      </c:catAx>
      <c:valAx>
        <c:axId val="43346632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9103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Carte des valeurs individuelles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E2_liquide!B1</c:f>
              <c:strCache>
                <c:ptCount val="1"/>
                <c:pt idx="0">
                  <c:v>Valeur</c:v>
                </c:pt>
              </c:strCache>
            </c:strRef>
          </c:tx>
          <c:spPr>
            <a:solidFill>
              <a:srgbClr val="1f3864"/>
            </a:solidFill>
            <a:ln w="19080">
              <a:solidFill>
                <a:srgbClr val="1f3864"/>
              </a:solidFill>
              <a:round/>
            </a:ln>
          </c:spPr>
          <c:marker>
            <c:symbol val="circle"/>
            <c:size val="6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E2_liquide!$A$2:$A$18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strCache>
            </c:strRef>
          </c:cat>
          <c:val>
            <c:numRef>
              <c:f>E2_liquide!$B$2:$B$18</c:f>
              <c:numCache>
                <c:formatCode>General</c:formatCode>
                <c:ptCount val="17"/>
                <c:pt idx="0">
                  <c:v>35</c:v>
                </c:pt>
                <c:pt idx="1">
                  <c:v>39</c:v>
                </c:pt>
                <c:pt idx="2">
                  <c:v>38</c:v>
                </c:pt>
                <c:pt idx="3">
                  <c:v>42</c:v>
                </c:pt>
                <c:pt idx="4">
                  <c:v>37</c:v>
                </c:pt>
                <c:pt idx="5">
                  <c:v>37</c:v>
                </c:pt>
                <c:pt idx="6">
                  <c:v>39</c:v>
                </c:pt>
                <c:pt idx="7">
                  <c:v>37</c:v>
                </c:pt>
                <c:pt idx="8">
                  <c:v>37</c:v>
                </c:pt>
                <c:pt idx="9">
                  <c:v>40</c:v>
                </c:pt>
                <c:pt idx="10">
                  <c:v>39</c:v>
                </c:pt>
                <c:pt idx="11">
                  <c:v>39</c:v>
                </c:pt>
                <c:pt idx="12">
                  <c:v>38</c:v>
                </c:pt>
                <c:pt idx="13">
                  <c:v>42</c:v>
                </c:pt>
                <c:pt idx="14">
                  <c:v>36</c:v>
                </c:pt>
                <c:pt idx="15">
                  <c:v>34</c:v>
                </c:pt>
                <c:pt idx="16">
                  <c:v>44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E2_liquide!D1</c:f>
              <c:strCache>
                <c:ptCount val="1"/>
                <c:pt idx="0">
                  <c:v>LC</c:v>
                </c:pt>
              </c:strCache>
            </c:strRef>
          </c:tx>
          <c:spPr>
            <a:solidFill>
              <a:srgbClr val="1f3864"/>
            </a:solidFill>
            <a:ln w="15840">
              <a:solidFill>
                <a:srgbClr val="1f3864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E2_liquide!$A$2:$A$18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strCache>
            </c:strRef>
          </c:cat>
          <c:val>
            <c:numRef>
              <c:f>E2_liquide!$D$2:$D$18</c:f>
              <c:numCache>
                <c:formatCode>0.00</c:formatCode>
                <c:ptCount val="17"/>
                <c:pt idx="0">
                  <c:v>38.3333333333333</c:v>
                </c:pt>
                <c:pt idx="1">
                  <c:v>38.3333333333333</c:v>
                </c:pt>
                <c:pt idx="2">
                  <c:v>38.3333333333333</c:v>
                </c:pt>
                <c:pt idx="3">
                  <c:v>38.3333333333333</c:v>
                </c:pt>
                <c:pt idx="4">
                  <c:v>38.3333333333333</c:v>
                </c:pt>
                <c:pt idx="5">
                  <c:v>38.3333333333333</c:v>
                </c:pt>
                <c:pt idx="6">
                  <c:v>38.3333333333333</c:v>
                </c:pt>
                <c:pt idx="7">
                  <c:v>38.3333333333333</c:v>
                </c:pt>
                <c:pt idx="8">
                  <c:v>38.3333333333333</c:v>
                </c:pt>
                <c:pt idx="9">
                  <c:v>38.3333333333333</c:v>
                </c:pt>
                <c:pt idx="10">
                  <c:v>38.3333333333333</c:v>
                </c:pt>
                <c:pt idx="11">
                  <c:v>38.3333333333333</c:v>
                </c:pt>
                <c:pt idx="12">
                  <c:v>38.3333333333333</c:v>
                </c:pt>
                <c:pt idx="13">
                  <c:v>38.3333333333333</c:v>
                </c:pt>
                <c:pt idx="14">
                  <c:v>38.3333333333333</c:v>
                </c:pt>
                <c:pt idx="15">
                  <c:v>38.3333333333333</c:v>
                </c:pt>
                <c:pt idx="16">
                  <c:v>38.3333333333333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E2_liquide!E1</c:f>
              <c:strCache>
                <c:ptCount val="1"/>
                <c:pt idx="0">
                  <c:v>LCS</c:v>
                </c:pt>
              </c:strCache>
            </c:strRef>
          </c:tx>
          <c:spPr>
            <a:solidFill>
              <a:srgbClr val="c00000"/>
            </a:solidFill>
            <a:ln w="158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E2_liquide!$A$2:$A$18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strCache>
            </c:strRef>
          </c:cat>
          <c:val>
            <c:numRef>
              <c:f>E2_liquide!$E$2:$E$18</c:f>
              <c:numCache>
                <c:formatCode>0.00</c:formatCode>
                <c:ptCount val="17"/>
                <c:pt idx="0">
                  <c:v>44.6033333333333</c:v>
                </c:pt>
                <c:pt idx="1">
                  <c:v>44.6033333333333</c:v>
                </c:pt>
                <c:pt idx="2">
                  <c:v>44.6033333333333</c:v>
                </c:pt>
                <c:pt idx="3">
                  <c:v>44.6033333333333</c:v>
                </c:pt>
                <c:pt idx="4">
                  <c:v>44.6033333333333</c:v>
                </c:pt>
                <c:pt idx="5">
                  <c:v>44.6033333333333</c:v>
                </c:pt>
                <c:pt idx="6">
                  <c:v>44.6033333333333</c:v>
                </c:pt>
                <c:pt idx="7">
                  <c:v>44.6033333333333</c:v>
                </c:pt>
                <c:pt idx="8">
                  <c:v>44.6033333333333</c:v>
                </c:pt>
                <c:pt idx="9">
                  <c:v>44.6033333333333</c:v>
                </c:pt>
                <c:pt idx="10">
                  <c:v>44.6033333333333</c:v>
                </c:pt>
                <c:pt idx="11">
                  <c:v>44.6033333333333</c:v>
                </c:pt>
                <c:pt idx="12">
                  <c:v>44.6033333333333</c:v>
                </c:pt>
                <c:pt idx="13">
                  <c:v>44.6033333333333</c:v>
                </c:pt>
                <c:pt idx="14">
                  <c:v>44.6033333333333</c:v>
                </c:pt>
                <c:pt idx="15">
                  <c:v>44.6033333333333</c:v>
                </c:pt>
                <c:pt idx="16">
                  <c:v>44.6033333333333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E2_liquide!F1</c:f>
              <c:strCache>
                <c:ptCount val="1"/>
                <c:pt idx="0">
                  <c:v>LCI</c:v>
                </c:pt>
              </c:strCache>
            </c:strRef>
          </c:tx>
          <c:spPr>
            <a:solidFill>
              <a:srgbClr val="c00000"/>
            </a:solidFill>
            <a:ln w="158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E2_liquide!$A$2:$A$18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strCache>
            </c:strRef>
          </c:cat>
          <c:val>
            <c:numRef>
              <c:f>E2_liquide!$F$2:$F$18</c:f>
              <c:numCache>
                <c:formatCode>0.00</c:formatCode>
                <c:ptCount val="17"/>
                <c:pt idx="0">
                  <c:v>32.0633333333333</c:v>
                </c:pt>
                <c:pt idx="1">
                  <c:v>32.0633333333333</c:v>
                </c:pt>
                <c:pt idx="2">
                  <c:v>32.0633333333333</c:v>
                </c:pt>
                <c:pt idx="3">
                  <c:v>32.0633333333333</c:v>
                </c:pt>
                <c:pt idx="4">
                  <c:v>32.0633333333333</c:v>
                </c:pt>
                <c:pt idx="5">
                  <c:v>32.0633333333333</c:v>
                </c:pt>
                <c:pt idx="6">
                  <c:v>32.0633333333333</c:v>
                </c:pt>
                <c:pt idx="7">
                  <c:v>32.0633333333333</c:v>
                </c:pt>
                <c:pt idx="8">
                  <c:v>32.0633333333333</c:v>
                </c:pt>
                <c:pt idx="9">
                  <c:v>32.0633333333333</c:v>
                </c:pt>
                <c:pt idx="10">
                  <c:v>32.0633333333333</c:v>
                </c:pt>
                <c:pt idx="11">
                  <c:v>32.0633333333333</c:v>
                </c:pt>
                <c:pt idx="12">
                  <c:v>32.0633333333333</c:v>
                </c:pt>
                <c:pt idx="13">
                  <c:v>32.0633333333333</c:v>
                </c:pt>
                <c:pt idx="14">
                  <c:v>32.0633333333333</c:v>
                </c:pt>
                <c:pt idx="15">
                  <c:v>32.0633333333333</c:v>
                </c:pt>
                <c:pt idx="16">
                  <c:v>32.0633333333333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1489720"/>
        <c:axId val="57740031"/>
      </c:lineChart>
      <c:catAx>
        <c:axId val="11489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740031"/>
        <c:crosses val="autoZero"/>
        <c:auto val="1"/>
        <c:lblAlgn val="ctr"/>
        <c:lblOffset val="100"/>
        <c:noMultiLvlLbl val="0"/>
      </c:catAx>
      <c:valAx>
        <c:axId val="57740031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4897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Carte des étendues mobiles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E2_liquide!C1</c:f>
              <c:strCache>
                <c:ptCount val="1"/>
                <c:pt idx="0">
                  <c:v>mR</c:v>
                </c:pt>
              </c:strCache>
            </c:strRef>
          </c:tx>
          <c:spPr>
            <a:solidFill>
              <a:srgbClr val="1f3864"/>
            </a:solidFill>
            <a:ln w="19080">
              <a:solidFill>
                <a:srgbClr val="1f3864"/>
              </a:solidFill>
              <a:round/>
            </a:ln>
          </c:spPr>
          <c:marker>
            <c:symbol val="circle"/>
            <c:size val="6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E2_liquide!$A$2:$A$18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strCache>
            </c:strRef>
          </c:cat>
          <c:val>
            <c:numRef>
              <c:f>E2_liquide!$C$2:$C$18</c:f>
              <c:numCache>
                <c:formatCode>0.00</c:formatCode>
                <c:ptCount val="17"/>
                <c:pt idx="1">
                  <c:v>4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0</c:v>
                </c:pt>
                <c:pt idx="6">
                  <c:v>2</c:v>
                </c:pt>
                <c:pt idx="7">
                  <c:v>2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4</c:v>
                </c:pt>
                <c:pt idx="14">
                  <c:v>6</c:v>
                </c:pt>
                <c:pt idx="15">
                  <c:v>2</c:v>
                </c:pt>
                <c:pt idx="16">
                  <c:v>10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E2_liquide!G1</c:f>
              <c:strCache>
                <c:ptCount val="1"/>
                <c:pt idx="0">
                  <c:v>mR barre</c:v>
                </c:pt>
              </c:strCache>
            </c:strRef>
          </c:tx>
          <c:spPr>
            <a:solidFill>
              <a:srgbClr val="1f3864"/>
            </a:solidFill>
            <a:ln w="15840">
              <a:solidFill>
                <a:srgbClr val="1f3864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E2_liquide!$A$2:$A$18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strCache>
            </c:strRef>
          </c:cat>
          <c:val>
            <c:numRef>
              <c:f>E2_liquide!$G$2:$G$18</c:f>
              <c:numCache>
                <c:formatCode>0.00</c:formatCode>
                <c:ptCount val="17"/>
                <c:pt idx="0">
                  <c:v>2.35714285714286</c:v>
                </c:pt>
                <c:pt idx="1">
                  <c:v>2.35714285714286</c:v>
                </c:pt>
                <c:pt idx="2">
                  <c:v>2.35714285714286</c:v>
                </c:pt>
                <c:pt idx="3">
                  <c:v>2.35714285714286</c:v>
                </c:pt>
                <c:pt idx="4">
                  <c:v>2.35714285714286</c:v>
                </c:pt>
                <c:pt idx="5">
                  <c:v>2.35714285714286</c:v>
                </c:pt>
                <c:pt idx="6">
                  <c:v>2.35714285714286</c:v>
                </c:pt>
                <c:pt idx="7">
                  <c:v>2.35714285714286</c:v>
                </c:pt>
                <c:pt idx="8">
                  <c:v>2.35714285714286</c:v>
                </c:pt>
                <c:pt idx="9">
                  <c:v>2.35714285714286</c:v>
                </c:pt>
                <c:pt idx="10">
                  <c:v>2.35714285714286</c:v>
                </c:pt>
                <c:pt idx="11">
                  <c:v>2.35714285714286</c:v>
                </c:pt>
                <c:pt idx="12">
                  <c:v>2.35714285714286</c:v>
                </c:pt>
                <c:pt idx="13">
                  <c:v>2.35714285714286</c:v>
                </c:pt>
                <c:pt idx="14">
                  <c:v>2.35714285714286</c:v>
                </c:pt>
                <c:pt idx="15">
                  <c:v>2.35714285714286</c:v>
                </c:pt>
                <c:pt idx="16">
                  <c:v>2.35714285714286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E2_liquide!H1</c:f>
              <c:strCache>
                <c:ptCount val="1"/>
                <c:pt idx="0">
                  <c:v>LCS mR</c:v>
                </c:pt>
              </c:strCache>
            </c:strRef>
          </c:tx>
          <c:spPr>
            <a:solidFill>
              <a:srgbClr val="c00000"/>
            </a:solidFill>
            <a:ln w="158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E2_liquide!$A$2:$A$18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strCache>
            </c:strRef>
          </c:cat>
          <c:val>
            <c:numRef>
              <c:f>E2_liquide!$H$2:$H$18</c:f>
              <c:numCache>
                <c:formatCode>0.00</c:formatCode>
                <c:ptCount val="17"/>
                <c:pt idx="0">
                  <c:v>7.70078571428571</c:v>
                </c:pt>
                <c:pt idx="1">
                  <c:v>7.70078571428571</c:v>
                </c:pt>
                <c:pt idx="2">
                  <c:v>7.70078571428571</c:v>
                </c:pt>
                <c:pt idx="3">
                  <c:v>7.70078571428571</c:v>
                </c:pt>
                <c:pt idx="4">
                  <c:v>7.70078571428571</c:v>
                </c:pt>
                <c:pt idx="5">
                  <c:v>7.70078571428571</c:v>
                </c:pt>
                <c:pt idx="6">
                  <c:v>7.70078571428571</c:v>
                </c:pt>
                <c:pt idx="7">
                  <c:v>7.70078571428571</c:v>
                </c:pt>
                <c:pt idx="8">
                  <c:v>7.70078571428571</c:v>
                </c:pt>
                <c:pt idx="9">
                  <c:v>7.70078571428571</c:v>
                </c:pt>
                <c:pt idx="10">
                  <c:v>7.70078571428571</c:v>
                </c:pt>
                <c:pt idx="11">
                  <c:v>7.70078571428571</c:v>
                </c:pt>
                <c:pt idx="12">
                  <c:v>7.70078571428571</c:v>
                </c:pt>
                <c:pt idx="13">
                  <c:v>7.70078571428571</c:v>
                </c:pt>
                <c:pt idx="14">
                  <c:v>7.70078571428571</c:v>
                </c:pt>
                <c:pt idx="15">
                  <c:v>7.70078571428571</c:v>
                </c:pt>
                <c:pt idx="16">
                  <c:v>7.70078571428571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4777159"/>
        <c:axId val="47762089"/>
      </c:lineChart>
      <c:catAx>
        <c:axId val="64777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762089"/>
        <c:crosses val="autoZero"/>
        <c:auto val="1"/>
        <c:lblAlgn val="ctr"/>
        <c:lblOffset val="100"/>
        <c:noMultiLvlLbl val="0"/>
      </c:catAx>
      <c:valAx>
        <c:axId val="47762089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7771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Carte X barre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E3_billes!C1</c:f>
              <c:strCache>
                <c:ptCount val="1"/>
                <c:pt idx="0">
                  <c:v>Xbar</c:v>
                </c:pt>
              </c:strCache>
            </c:strRef>
          </c:tx>
          <c:spPr>
            <a:solidFill>
              <a:srgbClr val="1f3864"/>
            </a:solidFill>
            <a:ln w="19080">
              <a:solidFill>
                <a:srgbClr val="1f3864"/>
              </a:solidFill>
              <a:round/>
            </a:ln>
          </c:spPr>
          <c:marker>
            <c:symbol val="circle"/>
            <c:size val="6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E3_billes!$A$2:$A$25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E3_billes!$C$2:$C$25</c:f>
              <c:numCache>
                <c:formatCode>General</c:formatCode>
                <c:ptCount val="24"/>
                <c:pt idx="0">
                  <c:v>5.345</c:v>
                </c:pt>
                <c:pt idx="1">
                  <c:v>5.342</c:v>
                </c:pt>
                <c:pt idx="2">
                  <c:v>5.346</c:v>
                </c:pt>
                <c:pt idx="3">
                  <c:v>5.315</c:v>
                </c:pt>
                <c:pt idx="4">
                  <c:v>5.35</c:v>
                </c:pt>
                <c:pt idx="5">
                  <c:v>5.341</c:v>
                </c:pt>
                <c:pt idx="6">
                  <c:v>5.326</c:v>
                </c:pt>
                <c:pt idx="7">
                  <c:v>5.338</c:v>
                </c:pt>
                <c:pt idx="8">
                  <c:v>5.348</c:v>
                </c:pt>
                <c:pt idx="9">
                  <c:v>5.336</c:v>
                </c:pt>
                <c:pt idx="10">
                  <c:v>5.319</c:v>
                </c:pt>
                <c:pt idx="11">
                  <c:v>5.386</c:v>
                </c:pt>
                <c:pt idx="12">
                  <c:v>5.354</c:v>
                </c:pt>
                <c:pt idx="13">
                  <c:v>5.34</c:v>
                </c:pt>
                <c:pt idx="14">
                  <c:v>5.371</c:v>
                </c:pt>
                <c:pt idx="15">
                  <c:v>5.349</c:v>
                </c:pt>
                <c:pt idx="16">
                  <c:v>5.335</c:v>
                </c:pt>
                <c:pt idx="17">
                  <c:v>5.317</c:v>
                </c:pt>
                <c:pt idx="18">
                  <c:v>5.34</c:v>
                </c:pt>
                <c:pt idx="19">
                  <c:v>5.351</c:v>
                </c:pt>
                <c:pt idx="20">
                  <c:v>5.337</c:v>
                </c:pt>
                <c:pt idx="21">
                  <c:v>5.328</c:v>
                </c:pt>
                <c:pt idx="22">
                  <c:v>5.335</c:v>
                </c:pt>
                <c:pt idx="23">
                  <c:v>5.342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E3_billes!F1</c:f>
              <c:strCache>
                <c:ptCount val="1"/>
                <c:pt idx="0">
                  <c:v>LC</c:v>
                </c:pt>
              </c:strCache>
            </c:strRef>
          </c:tx>
          <c:spPr>
            <a:solidFill>
              <a:srgbClr val="1f3864"/>
            </a:solidFill>
            <a:ln w="15840">
              <a:solidFill>
                <a:srgbClr val="1f3864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E3_billes!$A$2:$A$25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E3_billes!$F$2:$F$25</c:f>
              <c:numCache>
                <c:formatCode>0.0000</c:formatCode>
                <c:ptCount val="24"/>
                <c:pt idx="0">
                  <c:v>5.34129166666667</c:v>
                </c:pt>
                <c:pt idx="1">
                  <c:v>5.34129166666667</c:v>
                </c:pt>
                <c:pt idx="2">
                  <c:v>5.34129166666667</c:v>
                </c:pt>
                <c:pt idx="3">
                  <c:v>5.34129166666667</c:v>
                </c:pt>
                <c:pt idx="4">
                  <c:v>5.34129166666667</c:v>
                </c:pt>
                <c:pt idx="5">
                  <c:v>5.34129166666667</c:v>
                </c:pt>
                <c:pt idx="6">
                  <c:v>5.34129166666667</c:v>
                </c:pt>
                <c:pt idx="7">
                  <c:v>5.34129166666667</c:v>
                </c:pt>
                <c:pt idx="8">
                  <c:v>5.34129166666667</c:v>
                </c:pt>
                <c:pt idx="9">
                  <c:v>5.34129166666667</c:v>
                </c:pt>
                <c:pt idx="10">
                  <c:v>5.34129166666667</c:v>
                </c:pt>
                <c:pt idx="11">
                  <c:v>5.34129166666667</c:v>
                </c:pt>
                <c:pt idx="12">
                  <c:v>5.34129166666667</c:v>
                </c:pt>
                <c:pt idx="13">
                  <c:v>5.34129166666667</c:v>
                </c:pt>
                <c:pt idx="14">
                  <c:v>5.34129166666667</c:v>
                </c:pt>
                <c:pt idx="15">
                  <c:v>5.34129166666667</c:v>
                </c:pt>
                <c:pt idx="16">
                  <c:v>5.34129166666667</c:v>
                </c:pt>
                <c:pt idx="17">
                  <c:v>5.34129166666667</c:v>
                </c:pt>
                <c:pt idx="18">
                  <c:v>5.34129166666667</c:v>
                </c:pt>
                <c:pt idx="19">
                  <c:v>5.34129166666667</c:v>
                </c:pt>
                <c:pt idx="20">
                  <c:v>5.34129166666667</c:v>
                </c:pt>
                <c:pt idx="21">
                  <c:v>5.34129166666667</c:v>
                </c:pt>
                <c:pt idx="22">
                  <c:v>5.34129166666667</c:v>
                </c:pt>
                <c:pt idx="23">
                  <c:v>5.34129166666667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E3_billes!G1</c:f>
              <c:strCache>
                <c:ptCount val="1"/>
                <c:pt idx="0">
                  <c:v>LCS</c:v>
                </c:pt>
              </c:strCache>
            </c:strRef>
          </c:tx>
          <c:spPr>
            <a:solidFill>
              <a:srgbClr val="c00000"/>
            </a:solidFill>
            <a:ln w="158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E3_billes!$A$2:$A$25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E3_billes!$G$2:$G$25</c:f>
              <c:numCache>
                <c:formatCode>0.0000</c:formatCode>
                <c:ptCount val="24"/>
                <c:pt idx="0">
                  <c:v>5.36985316666667</c:v>
                </c:pt>
                <c:pt idx="1">
                  <c:v>5.36985316666667</c:v>
                </c:pt>
                <c:pt idx="2">
                  <c:v>5.36985316666667</c:v>
                </c:pt>
                <c:pt idx="3">
                  <c:v>5.36985316666667</c:v>
                </c:pt>
                <c:pt idx="4">
                  <c:v>5.36985316666667</c:v>
                </c:pt>
                <c:pt idx="5">
                  <c:v>5.36985316666667</c:v>
                </c:pt>
                <c:pt idx="6">
                  <c:v>5.36985316666667</c:v>
                </c:pt>
                <c:pt idx="7">
                  <c:v>5.36985316666667</c:v>
                </c:pt>
                <c:pt idx="8">
                  <c:v>5.36985316666667</c:v>
                </c:pt>
                <c:pt idx="9">
                  <c:v>5.36985316666667</c:v>
                </c:pt>
                <c:pt idx="10">
                  <c:v>5.36985316666667</c:v>
                </c:pt>
                <c:pt idx="11">
                  <c:v>5.36985316666667</c:v>
                </c:pt>
                <c:pt idx="12">
                  <c:v>5.36985316666667</c:v>
                </c:pt>
                <c:pt idx="13">
                  <c:v>5.36985316666667</c:v>
                </c:pt>
                <c:pt idx="14">
                  <c:v>5.36985316666667</c:v>
                </c:pt>
                <c:pt idx="15">
                  <c:v>5.36985316666667</c:v>
                </c:pt>
                <c:pt idx="16">
                  <c:v>5.36985316666667</c:v>
                </c:pt>
                <c:pt idx="17">
                  <c:v>5.36985316666667</c:v>
                </c:pt>
                <c:pt idx="18">
                  <c:v>5.36985316666667</c:v>
                </c:pt>
                <c:pt idx="19">
                  <c:v>5.36985316666667</c:v>
                </c:pt>
                <c:pt idx="20">
                  <c:v>5.36985316666667</c:v>
                </c:pt>
                <c:pt idx="21">
                  <c:v>5.36985316666667</c:v>
                </c:pt>
                <c:pt idx="22">
                  <c:v>5.36985316666667</c:v>
                </c:pt>
                <c:pt idx="23">
                  <c:v>5.36985316666667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E3_billes!H1</c:f>
              <c:strCache>
                <c:ptCount val="1"/>
                <c:pt idx="0">
                  <c:v>LCI</c:v>
                </c:pt>
              </c:strCache>
            </c:strRef>
          </c:tx>
          <c:spPr>
            <a:solidFill>
              <a:srgbClr val="c00000"/>
            </a:solidFill>
            <a:ln w="158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E3_billes!$A$2:$A$25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E3_billes!$H$2:$H$25</c:f>
              <c:numCache>
                <c:formatCode>0.0000</c:formatCode>
                <c:ptCount val="24"/>
                <c:pt idx="0">
                  <c:v>5.31273016666667</c:v>
                </c:pt>
                <c:pt idx="1">
                  <c:v>5.31273016666667</c:v>
                </c:pt>
                <c:pt idx="2">
                  <c:v>5.31273016666667</c:v>
                </c:pt>
                <c:pt idx="3">
                  <c:v>5.31273016666667</c:v>
                </c:pt>
                <c:pt idx="4">
                  <c:v>5.31273016666667</c:v>
                </c:pt>
                <c:pt idx="5">
                  <c:v>5.31273016666667</c:v>
                </c:pt>
                <c:pt idx="6">
                  <c:v>5.31273016666667</c:v>
                </c:pt>
                <c:pt idx="7">
                  <c:v>5.31273016666667</c:v>
                </c:pt>
                <c:pt idx="8">
                  <c:v>5.31273016666667</c:v>
                </c:pt>
                <c:pt idx="9">
                  <c:v>5.31273016666667</c:v>
                </c:pt>
                <c:pt idx="10">
                  <c:v>5.31273016666667</c:v>
                </c:pt>
                <c:pt idx="11">
                  <c:v>5.31273016666667</c:v>
                </c:pt>
                <c:pt idx="12">
                  <c:v>5.31273016666667</c:v>
                </c:pt>
                <c:pt idx="13">
                  <c:v>5.31273016666667</c:v>
                </c:pt>
                <c:pt idx="14">
                  <c:v>5.31273016666667</c:v>
                </c:pt>
                <c:pt idx="15">
                  <c:v>5.31273016666667</c:v>
                </c:pt>
                <c:pt idx="16">
                  <c:v>5.31273016666667</c:v>
                </c:pt>
                <c:pt idx="17">
                  <c:v>5.31273016666667</c:v>
                </c:pt>
                <c:pt idx="18">
                  <c:v>5.31273016666667</c:v>
                </c:pt>
                <c:pt idx="19">
                  <c:v>5.31273016666667</c:v>
                </c:pt>
                <c:pt idx="20">
                  <c:v>5.31273016666667</c:v>
                </c:pt>
                <c:pt idx="21">
                  <c:v>5.31273016666667</c:v>
                </c:pt>
                <c:pt idx="22">
                  <c:v>5.31273016666667</c:v>
                </c:pt>
                <c:pt idx="23">
                  <c:v>5.31273016666667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8350234"/>
        <c:axId val="87411176"/>
      </c:lineChart>
      <c:catAx>
        <c:axId val="383502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411176"/>
        <c:crosses val="autoZero"/>
        <c:auto val="1"/>
        <c:lblAlgn val="ctr"/>
        <c:lblOffset val="100"/>
        <c:noMultiLvlLbl val="0"/>
      </c:catAx>
      <c:valAx>
        <c:axId val="87411176"/>
        <c:scaling>
          <c:orientation val="minMax"/>
        </c:scaling>
        <c:delete val="0"/>
        <c:axPos val="l"/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3502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Carte 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E3_billes!D1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rgbClr val="1f3864"/>
            </a:solidFill>
            <a:ln w="19080">
              <a:solidFill>
                <a:srgbClr val="1f3864"/>
              </a:solidFill>
              <a:round/>
            </a:ln>
          </c:spPr>
          <c:marker>
            <c:symbol val="circle"/>
            <c:size val="6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E3_billes!$A$2:$A$25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E3_billes!$D$2:$D$25</c:f>
              <c:numCache>
                <c:formatCode>General</c:formatCode>
                <c:ptCount val="24"/>
                <c:pt idx="0">
                  <c:v>0.031</c:v>
                </c:pt>
                <c:pt idx="1">
                  <c:v>0.042</c:v>
                </c:pt>
                <c:pt idx="2">
                  <c:v>0.039</c:v>
                </c:pt>
                <c:pt idx="3">
                  <c:v>0.042</c:v>
                </c:pt>
                <c:pt idx="4">
                  <c:v>0.05</c:v>
                </c:pt>
                <c:pt idx="5">
                  <c:v>0.061</c:v>
                </c:pt>
                <c:pt idx="6">
                  <c:v>0.041</c:v>
                </c:pt>
                <c:pt idx="7">
                  <c:v>0.037</c:v>
                </c:pt>
                <c:pt idx="8">
                  <c:v>0.071</c:v>
                </c:pt>
                <c:pt idx="9">
                  <c:v>0.083</c:v>
                </c:pt>
                <c:pt idx="10">
                  <c:v>0.033</c:v>
                </c:pt>
                <c:pt idx="11">
                  <c:v>0.09</c:v>
                </c:pt>
                <c:pt idx="12">
                  <c:v>0.081</c:v>
                </c:pt>
                <c:pt idx="13">
                  <c:v>0.06</c:v>
                </c:pt>
                <c:pt idx="14">
                  <c:v>0.051</c:v>
                </c:pt>
                <c:pt idx="15">
                  <c:v>0.073</c:v>
                </c:pt>
                <c:pt idx="16">
                  <c:v>0.041</c:v>
                </c:pt>
                <c:pt idx="17">
                  <c:v>0.036</c:v>
                </c:pt>
                <c:pt idx="18">
                  <c:v>0.082</c:v>
                </c:pt>
                <c:pt idx="19">
                  <c:v>0.043</c:v>
                </c:pt>
                <c:pt idx="20">
                  <c:v>0.024</c:v>
                </c:pt>
                <c:pt idx="21">
                  <c:v>0.014</c:v>
                </c:pt>
                <c:pt idx="22">
                  <c:v>0.036</c:v>
                </c:pt>
                <c:pt idx="23">
                  <c:v>0.027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E3_billes!I1</c:f>
              <c:strCache>
                <c:ptCount val="1"/>
                <c:pt idx="0">
                  <c:v>R barre</c:v>
                </c:pt>
              </c:strCache>
            </c:strRef>
          </c:tx>
          <c:spPr>
            <a:solidFill>
              <a:srgbClr val="1f3864"/>
            </a:solidFill>
            <a:ln w="15840">
              <a:solidFill>
                <a:srgbClr val="1f3864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E3_billes!$A$2:$A$25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E3_billes!$I$2:$I$25</c:f>
              <c:numCache>
                <c:formatCode>0.0000</c:formatCode>
                <c:ptCount val="24"/>
                <c:pt idx="0">
                  <c:v>0.0495</c:v>
                </c:pt>
                <c:pt idx="1">
                  <c:v>0.0495</c:v>
                </c:pt>
                <c:pt idx="2">
                  <c:v>0.0495</c:v>
                </c:pt>
                <c:pt idx="3">
                  <c:v>0.0495</c:v>
                </c:pt>
                <c:pt idx="4">
                  <c:v>0.0495</c:v>
                </c:pt>
                <c:pt idx="5">
                  <c:v>0.0495</c:v>
                </c:pt>
                <c:pt idx="6">
                  <c:v>0.0495</c:v>
                </c:pt>
                <c:pt idx="7">
                  <c:v>0.0495</c:v>
                </c:pt>
                <c:pt idx="8">
                  <c:v>0.0495</c:v>
                </c:pt>
                <c:pt idx="9">
                  <c:v>0.0495</c:v>
                </c:pt>
                <c:pt idx="10">
                  <c:v>0.0495</c:v>
                </c:pt>
                <c:pt idx="11">
                  <c:v>0.0495</c:v>
                </c:pt>
                <c:pt idx="12">
                  <c:v>0.0495</c:v>
                </c:pt>
                <c:pt idx="13">
                  <c:v>0.0495</c:v>
                </c:pt>
                <c:pt idx="14">
                  <c:v>0.0495</c:v>
                </c:pt>
                <c:pt idx="15">
                  <c:v>0.0495</c:v>
                </c:pt>
                <c:pt idx="16">
                  <c:v>0.0495</c:v>
                </c:pt>
                <c:pt idx="17">
                  <c:v>0.0495</c:v>
                </c:pt>
                <c:pt idx="18">
                  <c:v>0.0495</c:v>
                </c:pt>
                <c:pt idx="19">
                  <c:v>0.0495</c:v>
                </c:pt>
                <c:pt idx="20">
                  <c:v>0.0495</c:v>
                </c:pt>
                <c:pt idx="21">
                  <c:v>0.0495</c:v>
                </c:pt>
                <c:pt idx="22">
                  <c:v>0.0495</c:v>
                </c:pt>
                <c:pt idx="23">
                  <c:v>0.0495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E3_billes!J1</c:f>
              <c:strCache>
                <c:ptCount val="1"/>
                <c:pt idx="0">
                  <c:v>LCS R</c:v>
                </c:pt>
              </c:strCache>
            </c:strRef>
          </c:tx>
          <c:spPr>
            <a:solidFill>
              <a:srgbClr val="c00000"/>
            </a:solidFill>
            <a:ln w="158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E3_billes!$A$2:$A$25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E3_billes!$J$2:$J$25</c:f>
              <c:numCache>
                <c:formatCode>0.0000</c:formatCode>
                <c:ptCount val="24"/>
                <c:pt idx="0">
                  <c:v>0.104643</c:v>
                </c:pt>
                <c:pt idx="1">
                  <c:v>0.104643</c:v>
                </c:pt>
                <c:pt idx="2">
                  <c:v>0.104643</c:v>
                </c:pt>
                <c:pt idx="3">
                  <c:v>0.104643</c:v>
                </c:pt>
                <c:pt idx="4">
                  <c:v>0.104643</c:v>
                </c:pt>
                <c:pt idx="5">
                  <c:v>0.104643</c:v>
                </c:pt>
                <c:pt idx="6">
                  <c:v>0.104643</c:v>
                </c:pt>
                <c:pt idx="7">
                  <c:v>0.104643</c:v>
                </c:pt>
                <c:pt idx="8">
                  <c:v>0.104643</c:v>
                </c:pt>
                <c:pt idx="9">
                  <c:v>0.104643</c:v>
                </c:pt>
                <c:pt idx="10">
                  <c:v>0.104643</c:v>
                </c:pt>
                <c:pt idx="11">
                  <c:v>0.104643</c:v>
                </c:pt>
                <c:pt idx="12">
                  <c:v>0.104643</c:v>
                </c:pt>
                <c:pt idx="13">
                  <c:v>0.104643</c:v>
                </c:pt>
                <c:pt idx="14">
                  <c:v>0.104643</c:v>
                </c:pt>
                <c:pt idx="15">
                  <c:v>0.104643</c:v>
                </c:pt>
                <c:pt idx="16">
                  <c:v>0.104643</c:v>
                </c:pt>
                <c:pt idx="17">
                  <c:v>0.104643</c:v>
                </c:pt>
                <c:pt idx="18">
                  <c:v>0.104643</c:v>
                </c:pt>
                <c:pt idx="19">
                  <c:v>0.104643</c:v>
                </c:pt>
                <c:pt idx="20">
                  <c:v>0.104643</c:v>
                </c:pt>
                <c:pt idx="21">
                  <c:v>0.104643</c:v>
                </c:pt>
                <c:pt idx="22">
                  <c:v>0.104643</c:v>
                </c:pt>
                <c:pt idx="23">
                  <c:v>0.104643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6979598"/>
        <c:axId val="19366517"/>
      </c:lineChart>
      <c:catAx>
        <c:axId val="769795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366517"/>
        <c:crosses val="autoZero"/>
        <c:auto val="1"/>
        <c:lblAlgn val="ctr"/>
        <c:lblOffset val="100"/>
        <c:noMultiLvlLbl val="0"/>
      </c:catAx>
      <c:valAx>
        <c:axId val="19366517"/>
        <c:scaling>
          <c:orientation val="minMax"/>
        </c:scaling>
        <c:delete val="0"/>
        <c:axPos val="l"/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9795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Carte X barre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E4_dimension!G1</c:f>
              <c:strCache>
                <c:ptCount val="1"/>
                <c:pt idx="0">
                  <c:v>Moyenne</c:v>
                </c:pt>
              </c:strCache>
            </c:strRef>
          </c:tx>
          <c:spPr>
            <a:solidFill>
              <a:srgbClr val="1f3864"/>
            </a:solidFill>
            <a:ln w="19080">
              <a:solidFill>
                <a:srgbClr val="1f3864"/>
              </a:solidFill>
              <a:round/>
            </a:ln>
          </c:spPr>
          <c:marker>
            <c:symbol val="circle"/>
            <c:size val="6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E4_dimension!$A$2:$A$28</c:f>
              <c:strCach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strCache>
            </c:strRef>
          </c:cat>
          <c:val>
            <c:numRef>
              <c:f>E4_dimension!$G$2:$G$28</c:f>
              <c:numCache>
                <c:formatCode>0.000</c:formatCode>
                <c:ptCount val="27"/>
                <c:pt idx="0">
                  <c:v>2302.8</c:v>
                </c:pt>
                <c:pt idx="1">
                  <c:v>2045.4</c:v>
                </c:pt>
                <c:pt idx="2">
                  <c:v>2296.2</c:v>
                </c:pt>
                <c:pt idx="3">
                  <c:v>2176</c:v>
                </c:pt>
                <c:pt idx="4">
                  <c:v>2323.2</c:v>
                </c:pt>
                <c:pt idx="5">
                  <c:v>2336.6</c:v>
                </c:pt>
                <c:pt idx="6">
                  <c:v>2273.6</c:v>
                </c:pt>
                <c:pt idx="7">
                  <c:v>2546.8</c:v>
                </c:pt>
                <c:pt idx="8">
                  <c:v>2324.2</c:v>
                </c:pt>
                <c:pt idx="9">
                  <c:v>2284.8</c:v>
                </c:pt>
                <c:pt idx="10">
                  <c:v>2261.2</c:v>
                </c:pt>
                <c:pt idx="11">
                  <c:v>2110.6</c:v>
                </c:pt>
                <c:pt idx="12">
                  <c:v>2201.6</c:v>
                </c:pt>
                <c:pt idx="13">
                  <c:v>2381.6</c:v>
                </c:pt>
                <c:pt idx="14">
                  <c:v>2292.4</c:v>
                </c:pt>
                <c:pt idx="15">
                  <c:v>2276.6</c:v>
                </c:pt>
                <c:pt idx="16">
                  <c:v>2271.2</c:v>
                </c:pt>
                <c:pt idx="17">
                  <c:v>2394.4</c:v>
                </c:pt>
                <c:pt idx="18">
                  <c:v>2475.2</c:v>
                </c:pt>
                <c:pt idx="19">
                  <c:v>2708.2</c:v>
                </c:pt>
                <c:pt idx="20">
                  <c:v>2797.4</c:v>
                </c:pt>
                <c:pt idx="21">
                  <c:v>2741</c:v>
                </c:pt>
                <c:pt idx="22">
                  <c:v>2569.8</c:v>
                </c:pt>
                <c:pt idx="23">
                  <c:v>2793.2</c:v>
                </c:pt>
                <c:pt idx="24">
                  <c:v>2753</c:v>
                </c:pt>
                <c:pt idx="25">
                  <c:v>2827.8</c:v>
                </c:pt>
                <c:pt idx="26">
                  <c:v>2570.2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E4_dimension!I1</c:f>
              <c:strCache>
                <c:ptCount val="1"/>
                <c:pt idx="0">
                  <c:v>LC</c:v>
                </c:pt>
              </c:strCache>
            </c:strRef>
          </c:tx>
          <c:spPr>
            <a:solidFill>
              <a:srgbClr val="1f3864"/>
            </a:solidFill>
            <a:ln w="15840">
              <a:solidFill>
                <a:srgbClr val="1f3864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E4_dimension!$A$2:$A$28</c:f>
              <c:strCach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strCache>
            </c:strRef>
          </c:cat>
          <c:val>
            <c:numRef>
              <c:f>E4_dimension!$I$2:$I$28</c:f>
              <c:numCache>
                <c:formatCode>0.000</c:formatCode>
                <c:ptCount val="27"/>
                <c:pt idx="0">
                  <c:v>2314.13</c:v>
                </c:pt>
                <c:pt idx="1">
                  <c:v>2314.13</c:v>
                </c:pt>
                <c:pt idx="2">
                  <c:v>2314.13</c:v>
                </c:pt>
                <c:pt idx="3">
                  <c:v>2314.13</c:v>
                </c:pt>
                <c:pt idx="4">
                  <c:v>2314.13</c:v>
                </c:pt>
                <c:pt idx="5">
                  <c:v>2314.13</c:v>
                </c:pt>
                <c:pt idx="6">
                  <c:v>2314.13</c:v>
                </c:pt>
                <c:pt idx="7">
                  <c:v>2314.13</c:v>
                </c:pt>
                <c:pt idx="8">
                  <c:v>2314.13</c:v>
                </c:pt>
                <c:pt idx="9">
                  <c:v>2314.13</c:v>
                </c:pt>
                <c:pt idx="10">
                  <c:v>2314.13</c:v>
                </c:pt>
                <c:pt idx="11">
                  <c:v>2314.13</c:v>
                </c:pt>
                <c:pt idx="12">
                  <c:v>2314.13</c:v>
                </c:pt>
                <c:pt idx="13">
                  <c:v>2314.13</c:v>
                </c:pt>
                <c:pt idx="14">
                  <c:v>2314.13</c:v>
                </c:pt>
                <c:pt idx="15">
                  <c:v>2314.13</c:v>
                </c:pt>
                <c:pt idx="16">
                  <c:v>2314.13</c:v>
                </c:pt>
                <c:pt idx="17">
                  <c:v>2314.13</c:v>
                </c:pt>
                <c:pt idx="18">
                  <c:v>2314.13</c:v>
                </c:pt>
                <c:pt idx="19">
                  <c:v>2314.13</c:v>
                </c:pt>
                <c:pt idx="20">
                  <c:v>2314.13</c:v>
                </c:pt>
                <c:pt idx="21">
                  <c:v>2314.13</c:v>
                </c:pt>
                <c:pt idx="22">
                  <c:v>2314.13</c:v>
                </c:pt>
                <c:pt idx="23">
                  <c:v>2314.13</c:v>
                </c:pt>
                <c:pt idx="24">
                  <c:v>2314.13</c:v>
                </c:pt>
                <c:pt idx="25">
                  <c:v>2314.13</c:v>
                </c:pt>
                <c:pt idx="26">
                  <c:v>2314.13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E4_dimension!J1</c:f>
              <c:strCache>
                <c:ptCount val="1"/>
                <c:pt idx="0">
                  <c:v>LCS</c:v>
                </c:pt>
              </c:strCache>
            </c:strRef>
          </c:tx>
          <c:spPr>
            <a:solidFill>
              <a:srgbClr val="c00000"/>
            </a:solidFill>
            <a:ln w="158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E4_dimension!$A$2:$A$28</c:f>
              <c:strCach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strCache>
            </c:strRef>
          </c:cat>
          <c:val>
            <c:numRef>
              <c:f>E4_dimension!$J$2:$J$28</c:f>
              <c:numCache>
                <c:formatCode>0.000</c:formatCode>
                <c:ptCount val="27"/>
                <c:pt idx="0">
                  <c:v>2561.8938</c:v>
                </c:pt>
                <c:pt idx="1">
                  <c:v>2561.8938</c:v>
                </c:pt>
                <c:pt idx="2">
                  <c:v>2561.8938</c:v>
                </c:pt>
                <c:pt idx="3">
                  <c:v>2561.8938</c:v>
                </c:pt>
                <c:pt idx="4">
                  <c:v>2561.8938</c:v>
                </c:pt>
                <c:pt idx="5">
                  <c:v>2561.8938</c:v>
                </c:pt>
                <c:pt idx="6">
                  <c:v>2561.8938</c:v>
                </c:pt>
                <c:pt idx="7">
                  <c:v>2561.8938</c:v>
                </c:pt>
                <c:pt idx="8">
                  <c:v>2561.8938</c:v>
                </c:pt>
                <c:pt idx="9">
                  <c:v>2561.8938</c:v>
                </c:pt>
                <c:pt idx="10">
                  <c:v>2561.8938</c:v>
                </c:pt>
                <c:pt idx="11">
                  <c:v>2561.8938</c:v>
                </c:pt>
                <c:pt idx="12">
                  <c:v>2561.8938</c:v>
                </c:pt>
                <c:pt idx="13">
                  <c:v>2561.8938</c:v>
                </c:pt>
                <c:pt idx="14">
                  <c:v>2561.8938</c:v>
                </c:pt>
                <c:pt idx="15">
                  <c:v>2561.8938</c:v>
                </c:pt>
                <c:pt idx="16">
                  <c:v>2561.8938</c:v>
                </c:pt>
                <c:pt idx="17">
                  <c:v>2561.8938</c:v>
                </c:pt>
                <c:pt idx="18">
                  <c:v>2561.8938</c:v>
                </c:pt>
                <c:pt idx="19">
                  <c:v>2561.8938</c:v>
                </c:pt>
                <c:pt idx="20">
                  <c:v>2561.8938</c:v>
                </c:pt>
                <c:pt idx="21">
                  <c:v>2561.8938</c:v>
                </c:pt>
                <c:pt idx="22">
                  <c:v>2561.8938</c:v>
                </c:pt>
                <c:pt idx="23">
                  <c:v>2561.8938</c:v>
                </c:pt>
                <c:pt idx="24">
                  <c:v>2561.8938</c:v>
                </c:pt>
                <c:pt idx="25">
                  <c:v>2561.8938</c:v>
                </c:pt>
                <c:pt idx="26">
                  <c:v>2561.8938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E4_dimension!K1</c:f>
              <c:strCache>
                <c:ptCount val="1"/>
                <c:pt idx="0">
                  <c:v>LCI</c:v>
                </c:pt>
              </c:strCache>
            </c:strRef>
          </c:tx>
          <c:spPr>
            <a:solidFill>
              <a:srgbClr val="c00000"/>
            </a:solidFill>
            <a:ln w="158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E4_dimension!$A$2:$A$28</c:f>
              <c:strCach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strCache>
            </c:strRef>
          </c:cat>
          <c:val>
            <c:numRef>
              <c:f>E4_dimension!$K$2:$K$28</c:f>
              <c:numCache>
                <c:formatCode>0.000</c:formatCode>
                <c:ptCount val="27"/>
                <c:pt idx="0">
                  <c:v>2066.3662</c:v>
                </c:pt>
                <c:pt idx="1">
                  <c:v>2066.3662</c:v>
                </c:pt>
                <c:pt idx="2">
                  <c:v>2066.3662</c:v>
                </c:pt>
                <c:pt idx="3">
                  <c:v>2066.3662</c:v>
                </c:pt>
                <c:pt idx="4">
                  <c:v>2066.3662</c:v>
                </c:pt>
                <c:pt idx="5">
                  <c:v>2066.3662</c:v>
                </c:pt>
                <c:pt idx="6">
                  <c:v>2066.3662</c:v>
                </c:pt>
                <c:pt idx="7">
                  <c:v>2066.3662</c:v>
                </c:pt>
                <c:pt idx="8">
                  <c:v>2066.3662</c:v>
                </c:pt>
                <c:pt idx="9">
                  <c:v>2066.3662</c:v>
                </c:pt>
                <c:pt idx="10">
                  <c:v>2066.3662</c:v>
                </c:pt>
                <c:pt idx="11">
                  <c:v>2066.3662</c:v>
                </c:pt>
                <c:pt idx="12">
                  <c:v>2066.3662</c:v>
                </c:pt>
                <c:pt idx="13">
                  <c:v>2066.3662</c:v>
                </c:pt>
                <c:pt idx="14">
                  <c:v>2066.3662</c:v>
                </c:pt>
                <c:pt idx="15">
                  <c:v>2066.3662</c:v>
                </c:pt>
                <c:pt idx="16">
                  <c:v>2066.3662</c:v>
                </c:pt>
                <c:pt idx="17">
                  <c:v>2066.3662</c:v>
                </c:pt>
                <c:pt idx="18">
                  <c:v>2066.3662</c:v>
                </c:pt>
                <c:pt idx="19">
                  <c:v>2066.3662</c:v>
                </c:pt>
                <c:pt idx="20">
                  <c:v>2066.3662</c:v>
                </c:pt>
                <c:pt idx="21">
                  <c:v>2066.3662</c:v>
                </c:pt>
                <c:pt idx="22">
                  <c:v>2066.3662</c:v>
                </c:pt>
                <c:pt idx="23">
                  <c:v>2066.3662</c:v>
                </c:pt>
                <c:pt idx="24">
                  <c:v>2066.3662</c:v>
                </c:pt>
                <c:pt idx="25">
                  <c:v>2066.3662</c:v>
                </c:pt>
                <c:pt idx="26">
                  <c:v>2066.3662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6726205"/>
        <c:axId val="22289568"/>
      </c:lineChart>
      <c:catAx>
        <c:axId val="767262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289568"/>
        <c:crosses val="autoZero"/>
        <c:auto val="1"/>
        <c:lblAlgn val="ctr"/>
        <c:lblOffset val="100"/>
        <c:noMultiLvlLbl val="0"/>
      </c:catAx>
      <c:valAx>
        <c:axId val="22289568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7262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Carte 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E4_dimension!H1</c:f>
              <c:strCache>
                <c:ptCount val="1"/>
                <c:pt idx="0">
                  <c:v>Etendue</c:v>
                </c:pt>
              </c:strCache>
            </c:strRef>
          </c:tx>
          <c:spPr>
            <a:solidFill>
              <a:srgbClr val="1f3864"/>
            </a:solidFill>
            <a:ln w="19080">
              <a:solidFill>
                <a:srgbClr val="1f3864"/>
              </a:solidFill>
              <a:round/>
            </a:ln>
          </c:spPr>
          <c:marker>
            <c:symbol val="circle"/>
            <c:size val="6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E4_dimension!$A$2:$A$28</c:f>
              <c:strCach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strCache>
            </c:strRef>
          </c:cat>
          <c:val>
            <c:numRef>
              <c:f>E4_dimension!$H$2:$H$28</c:f>
              <c:numCache>
                <c:formatCode>0.000</c:formatCode>
                <c:ptCount val="27"/>
                <c:pt idx="0">
                  <c:v>279</c:v>
                </c:pt>
                <c:pt idx="1">
                  <c:v>1072</c:v>
                </c:pt>
                <c:pt idx="2">
                  <c:v>391</c:v>
                </c:pt>
                <c:pt idx="3">
                  <c:v>300</c:v>
                </c:pt>
                <c:pt idx="4">
                  <c:v>375</c:v>
                </c:pt>
                <c:pt idx="5">
                  <c:v>337</c:v>
                </c:pt>
                <c:pt idx="6">
                  <c:v>332</c:v>
                </c:pt>
                <c:pt idx="7">
                  <c:v>349</c:v>
                </c:pt>
                <c:pt idx="8">
                  <c:v>500</c:v>
                </c:pt>
                <c:pt idx="9">
                  <c:v>427</c:v>
                </c:pt>
                <c:pt idx="10">
                  <c:v>430</c:v>
                </c:pt>
                <c:pt idx="11">
                  <c:v>361</c:v>
                </c:pt>
                <c:pt idx="12">
                  <c:v>276</c:v>
                </c:pt>
                <c:pt idx="13">
                  <c:v>92</c:v>
                </c:pt>
                <c:pt idx="14">
                  <c:v>580</c:v>
                </c:pt>
                <c:pt idx="15">
                  <c:v>536</c:v>
                </c:pt>
                <c:pt idx="16">
                  <c:v>429</c:v>
                </c:pt>
                <c:pt idx="17">
                  <c:v>322</c:v>
                </c:pt>
                <c:pt idx="18">
                  <c:v>382</c:v>
                </c:pt>
                <c:pt idx="19">
                  <c:v>818</c:v>
                </c:pt>
                <c:pt idx="20">
                  <c:v>241</c:v>
                </c:pt>
                <c:pt idx="21">
                  <c:v>479</c:v>
                </c:pt>
                <c:pt idx="22">
                  <c:v>269</c:v>
                </c:pt>
                <c:pt idx="23">
                  <c:v>608</c:v>
                </c:pt>
                <c:pt idx="24">
                  <c:v>377</c:v>
                </c:pt>
                <c:pt idx="25">
                  <c:v>530</c:v>
                </c:pt>
                <c:pt idx="26">
                  <c:v>444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E4_dimension!L1</c:f>
              <c:strCache>
                <c:ptCount val="1"/>
                <c:pt idx="0">
                  <c:v>R barre</c:v>
                </c:pt>
              </c:strCache>
            </c:strRef>
          </c:tx>
          <c:spPr>
            <a:solidFill>
              <a:srgbClr val="1f3864"/>
            </a:solidFill>
            <a:ln w="15840">
              <a:solidFill>
                <a:srgbClr val="1f3864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E4_dimension!$A$2:$A$28</c:f>
              <c:strCach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strCache>
            </c:strRef>
          </c:cat>
          <c:val>
            <c:numRef>
              <c:f>E4_dimension!$L$2:$L$28</c:f>
              <c:numCache>
                <c:formatCode>0.000</c:formatCode>
                <c:ptCount val="27"/>
                <c:pt idx="0">
                  <c:v>429.4</c:v>
                </c:pt>
                <c:pt idx="1">
                  <c:v>429.4</c:v>
                </c:pt>
                <c:pt idx="2">
                  <c:v>429.4</c:v>
                </c:pt>
                <c:pt idx="3">
                  <c:v>429.4</c:v>
                </c:pt>
                <c:pt idx="4">
                  <c:v>429.4</c:v>
                </c:pt>
                <c:pt idx="5">
                  <c:v>429.4</c:v>
                </c:pt>
                <c:pt idx="6">
                  <c:v>429.4</c:v>
                </c:pt>
                <c:pt idx="7">
                  <c:v>429.4</c:v>
                </c:pt>
                <c:pt idx="8">
                  <c:v>429.4</c:v>
                </c:pt>
                <c:pt idx="9">
                  <c:v>429.4</c:v>
                </c:pt>
                <c:pt idx="10">
                  <c:v>429.4</c:v>
                </c:pt>
                <c:pt idx="11">
                  <c:v>429.4</c:v>
                </c:pt>
                <c:pt idx="12">
                  <c:v>429.4</c:v>
                </c:pt>
                <c:pt idx="13">
                  <c:v>429.4</c:v>
                </c:pt>
                <c:pt idx="14">
                  <c:v>429.4</c:v>
                </c:pt>
                <c:pt idx="15">
                  <c:v>429.4</c:v>
                </c:pt>
                <c:pt idx="16">
                  <c:v>429.4</c:v>
                </c:pt>
                <c:pt idx="17">
                  <c:v>429.4</c:v>
                </c:pt>
                <c:pt idx="18">
                  <c:v>429.4</c:v>
                </c:pt>
                <c:pt idx="19">
                  <c:v>429.4</c:v>
                </c:pt>
                <c:pt idx="20">
                  <c:v>429.4</c:v>
                </c:pt>
                <c:pt idx="21">
                  <c:v>429.4</c:v>
                </c:pt>
                <c:pt idx="22">
                  <c:v>429.4</c:v>
                </c:pt>
                <c:pt idx="23">
                  <c:v>429.4</c:v>
                </c:pt>
                <c:pt idx="24">
                  <c:v>429.4</c:v>
                </c:pt>
                <c:pt idx="25">
                  <c:v>429.4</c:v>
                </c:pt>
                <c:pt idx="26">
                  <c:v>429.4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E4_dimension!M1</c:f>
              <c:strCache>
                <c:ptCount val="1"/>
                <c:pt idx="0">
                  <c:v>LCS R</c:v>
                </c:pt>
              </c:strCache>
            </c:strRef>
          </c:tx>
          <c:spPr>
            <a:solidFill>
              <a:srgbClr val="c00000"/>
            </a:solidFill>
            <a:ln w="158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E4_dimension!$A$2:$A$28</c:f>
              <c:strCach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strCache>
            </c:strRef>
          </c:cat>
          <c:val>
            <c:numRef>
              <c:f>E4_dimension!$M$2:$M$28</c:f>
              <c:numCache>
                <c:formatCode>0.000</c:formatCode>
                <c:ptCount val="27"/>
                <c:pt idx="0">
                  <c:v>907.7516</c:v>
                </c:pt>
                <c:pt idx="1">
                  <c:v>907.7516</c:v>
                </c:pt>
                <c:pt idx="2">
                  <c:v>907.7516</c:v>
                </c:pt>
                <c:pt idx="3">
                  <c:v>907.7516</c:v>
                </c:pt>
                <c:pt idx="4">
                  <c:v>907.7516</c:v>
                </c:pt>
                <c:pt idx="5">
                  <c:v>907.7516</c:v>
                </c:pt>
                <c:pt idx="6">
                  <c:v>907.7516</c:v>
                </c:pt>
                <c:pt idx="7">
                  <c:v>907.7516</c:v>
                </c:pt>
                <c:pt idx="8">
                  <c:v>907.7516</c:v>
                </c:pt>
                <c:pt idx="9">
                  <c:v>907.7516</c:v>
                </c:pt>
                <c:pt idx="10">
                  <c:v>907.7516</c:v>
                </c:pt>
                <c:pt idx="11">
                  <c:v>907.7516</c:v>
                </c:pt>
                <c:pt idx="12">
                  <c:v>907.7516</c:v>
                </c:pt>
                <c:pt idx="13">
                  <c:v>907.7516</c:v>
                </c:pt>
                <c:pt idx="14">
                  <c:v>907.7516</c:v>
                </c:pt>
                <c:pt idx="15">
                  <c:v>907.7516</c:v>
                </c:pt>
                <c:pt idx="16">
                  <c:v>907.7516</c:v>
                </c:pt>
                <c:pt idx="17">
                  <c:v>907.7516</c:v>
                </c:pt>
                <c:pt idx="18">
                  <c:v>907.7516</c:v>
                </c:pt>
                <c:pt idx="19">
                  <c:v>907.7516</c:v>
                </c:pt>
                <c:pt idx="20">
                  <c:v>907.7516</c:v>
                </c:pt>
                <c:pt idx="21">
                  <c:v>907.7516</c:v>
                </c:pt>
                <c:pt idx="22">
                  <c:v>907.7516</c:v>
                </c:pt>
                <c:pt idx="23">
                  <c:v>907.7516</c:v>
                </c:pt>
                <c:pt idx="24">
                  <c:v>907.7516</c:v>
                </c:pt>
                <c:pt idx="25">
                  <c:v>907.7516</c:v>
                </c:pt>
                <c:pt idx="26">
                  <c:v>907.7516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8934146"/>
        <c:axId val="93220890"/>
      </c:lineChart>
      <c:catAx>
        <c:axId val="689341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220890"/>
        <c:crosses val="autoZero"/>
        <c:auto val="1"/>
        <c:lblAlgn val="ctr"/>
        <c:lblOffset val="100"/>
        <c:noMultiLvlLbl val="0"/>
      </c:catAx>
      <c:valAx>
        <c:axId val="93220890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9341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Carte des valeurs individuelles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E5_X_sans!B1</c:f>
              <c:strCache>
                <c:ptCount val="1"/>
                <c:pt idx="0">
                  <c:v>X</c:v>
                </c:pt>
              </c:strCache>
            </c:strRef>
          </c:tx>
          <c:spPr>
            <a:solidFill>
              <a:srgbClr val="1f3864"/>
            </a:solidFill>
            <a:ln w="19080">
              <a:solidFill>
                <a:srgbClr val="1f3864"/>
              </a:solidFill>
              <a:round/>
            </a:ln>
          </c:spPr>
          <c:marker>
            <c:symbol val="circle"/>
            <c:size val="6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E5_X_sans!$A$2:$A$101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E5_X_sans!$B$2:$B$101</c:f>
              <c:numCache>
                <c:formatCode>General</c:formatCode>
                <c:ptCount val="100"/>
                <c:pt idx="0">
                  <c:v>67</c:v>
                </c:pt>
                <c:pt idx="1">
                  <c:v>69</c:v>
                </c:pt>
                <c:pt idx="2">
                  <c:v>68</c:v>
                </c:pt>
                <c:pt idx="3">
                  <c:v>71</c:v>
                </c:pt>
                <c:pt idx="4">
                  <c:v>69</c:v>
                </c:pt>
                <c:pt idx="5">
                  <c:v>69</c:v>
                </c:pt>
                <c:pt idx="6">
                  <c:v>70</c:v>
                </c:pt>
                <c:pt idx="7">
                  <c:v>68</c:v>
                </c:pt>
                <c:pt idx="8">
                  <c:v>68</c:v>
                </c:pt>
                <c:pt idx="9">
                  <c:v>70</c:v>
                </c:pt>
                <c:pt idx="10">
                  <c:v>69</c:v>
                </c:pt>
                <c:pt idx="11">
                  <c:v>72</c:v>
                </c:pt>
                <c:pt idx="12">
                  <c:v>66</c:v>
                </c:pt>
                <c:pt idx="13">
                  <c:v>69</c:v>
                </c:pt>
                <c:pt idx="14">
                  <c:v>68</c:v>
                </c:pt>
                <c:pt idx="15">
                  <c:v>68</c:v>
                </c:pt>
                <c:pt idx="16">
                  <c:v>70</c:v>
                </c:pt>
                <c:pt idx="17">
                  <c:v>67</c:v>
                </c:pt>
                <c:pt idx="18">
                  <c:v>65</c:v>
                </c:pt>
                <c:pt idx="19">
                  <c:v>69</c:v>
                </c:pt>
                <c:pt idx="20">
                  <c:v>67</c:v>
                </c:pt>
                <c:pt idx="21">
                  <c:v>70</c:v>
                </c:pt>
                <c:pt idx="22">
                  <c:v>71</c:v>
                </c:pt>
                <c:pt idx="23">
                  <c:v>68</c:v>
                </c:pt>
                <c:pt idx="24">
                  <c:v>69</c:v>
                </c:pt>
                <c:pt idx="25">
                  <c:v>68</c:v>
                </c:pt>
                <c:pt idx="26">
                  <c:v>69</c:v>
                </c:pt>
                <c:pt idx="27">
                  <c:v>68</c:v>
                </c:pt>
                <c:pt idx="28">
                  <c:v>68</c:v>
                </c:pt>
                <c:pt idx="29">
                  <c:v>70</c:v>
                </c:pt>
                <c:pt idx="30">
                  <c:v>71</c:v>
                </c:pt>
                <c:pt idx="31">
                  <c:v>70</c:v>
                </c:pt>
                <c:pt idx="32">
                  <c:v>72</c:v>
                </c:pt>
                <c:pt idx="33">
                  <c:v>69</c:v>
                </c:pt>
                <c:pt idx="34">
                  <c:v>68</c:v>
                </c:pt>
                <c:pt idx="35">
                  <c:v>66</c:v>
                </c:pt>
                <c:pt idx="36">
                  <c:v>67</c:v>
                </c:pt>
                <c:pt idx="37">
                  <c:v>68</c:v>
                </c:pt>
                <c:pt idx="38">
                  <c:v>70</c:v>
                </c:pt>
                <c:pt idx="39">
                  <c:v>70</c:v>
                </c:pt>
                <c:pt idx="40">
                  <c:v>72</c:v>
                </c:pt>
                <c:pt idx="41">
                  <c:v>69</c:v>
                </c:pt>
                <c:pt idx="42">
                  <c:v>71</c:v>
                </c:pt>
                <c:pt idx="43">
                  <c:v>68</c:v>
                </c:pt>
                <c:pt idx="44">
                  <c:v>69</c:v>
                </c:pt>
                <c:pt idx="45">
                  <c:v>69</c:v>
                </c:pt>
                <c:pt idx="46">
                  <c:v>71</c:v>
                </c:pt>
                <c:pt idx="47">
                  <c:v>70</c:v>
                </c:pt>
                <c:pt idx="48">
                  <c:v>69</c:v>
                </c:pt>
                <c:pt idx="49">
                  <c:v>71</c:v>
                </c:pt>
                <c:pt idx="50">
                  <c:v>71</c:v>
                </c:pt>
                <c:pt idx="51">
                  <c:v>66</c:v>
                </c:pt>
                <c:pt idx="52">
                  <c:v>72</c:v>
                </c:pt>
                <c:pt idx="53">
                  <c:v>68</c:v>
                </c:pt>
                <c:pt idx="54">
                  <c:v>70</c:v>
                </c:pt>
                <c:pt idx="55">
                  <c:v>74</c:v>
                </c:pt>
                <c:pt idx="56">
                  <c:v>72</c:v>
                </c:pt>
                <c:pt idx="57">
                  <c:v>71</c:v>
                </c:pt>
                <c:pt idx="58">
                  <c:v>71</c:v>
                </c:pt>
                <c:pt idx="59">
                  <c:v>68</c:v>
                </c:pt>
                <c:pt idx="60">
                  <c:v>67</c:v>
                </c:pt>
                <c:pt idx="61">
                  <c:v>69</c:v>
                </c:pt>
                <c:pt idx="62">
                  <c:v>68</c:v>
                </c:pt>
                <c:pt idx="63">
                  <c:v>66</c:v>
                </c:pt>
                <c:pt idx="64">
                  <c:v>67</c:v>
                </c:pt>
                <c:pt idx="65">
                  <c:v>68</c:v>
                </c:pt>
                <c:pt idx="66">
                  <c:v>71</c:v>
                </c:pt>
                <c:pt idx="67">
                  <c:v>68</c:v>
                </c:pt>
                <c:pt idx="68">
                  <c:v>70</c:v>
                </c:pt>
                <c:pt idx="69">
                  <c:v>71</c:v>
                </c:pt>
                <c:pt idx="70">
                  <c:v>66</c:v>
                </c:pt>
                <c:pt idx="71">
                  <c:v>71</c:v>
                </c:pt>
                <c:pt idx="72">
                  <c:v>68</c:v>
                </c:pt>
                <c:pt idx="73">
                  <c:v>71</c:v>
                </c:pt>
                <c:pt idx="74">
                  <c:v>70</c:v>
                </c:pt>
                <c:pt idx="75">
                  <c:v>67</c:v>
                </c:pt>
                <c:pt idx="76">
                  <c:v>69</c:v>
                </c:pt>
                <c:pt idx="77">
                  <c:v>67</c:v>
                </c:pt>
                <c:pt idx="78">
                  <c:v>67</c:v>
                </c:pt>
                <c:pt idx="79">
                  <c:v>72</c:v>
                </c:pt>
                <c:pt idx="80">
                  <c:v>69</c:v>
                </c:pt>
                <c:pt idx="81">
                  <c:v>70</c:v>
                </c:pt>
                <c:pt idx="82">
                  <c:v>72</c:v>
                </c:pt>
                <c:pt idx="83">
                  <c:v>69</c:v>
                </c:pt>
                <c:pt idx="84">
                  <c:v>64</c:v>
                </c:pt>
                <c:pt idx="85">
                  <c:v>67</c:v>
                </c:pt>
                <c:pt idx="86">
                  <c:v>69</c:v>
                </c:pt>
                <c:pt idx="87">
                  <c:v>68</c:v>
                </c:pt>
                <c:pt idx="88">
                  <c:v>70</c:v>
                </c:pt>
                <c:pt idx="89">
                  <c:v>70</c:v>
                </c:pt>
                <c:pt idx="90">
                  <c:v>72</c:v>
                </c:pt>
                <c:pt idx="91">
                  <c:v>67</c:v>
                </c:pt>
                <c:pt idx="92">
                  <c:v>68</c:v>
                </c:pt>
                <c:pt idx="93">
                  <c:v>68</c:v>
                </c:pt>
                <c:pt idx="94">
                  <c:v>67</c:v>
                </c:pt>
                <c:pt idx="95">
                  <c:v>71</c:v>
                </c:pt>
                <c:pt idx="96">
                  <c:v>71</c:v>
                </c:pt>
                <c:pt idx="97">
                  <c:v>69</c:v>
                </c:pt>
                <c:pt idx="98">
                  <c:v>70</c:v>
                </c:pt>
                <c:pt idx="99">
                  <c:v>70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E5_X_sans!D1</c:f>
              <c:strCache>
                <c:ptCount val="1"/>
                <c:pt idx="0">
                  <c:v>LC</c:v>
                </c:pt>
              </c:strCache>
            </c:strRef>
          </c:tx>
          <c:spPr>
            <a:solidFill>
              <a:srgbClr val="1f3864"/>
            </a:solidFill>
            <a:ln w="15840">
              <a:solidFill>
                <a:srgbClr val="1f3864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E5_X_sans!$A$2:$A$101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E5_X_sans!$D$2:$D$101</c:f>
              <c:numCache>
                <c:formatCode>0.00</c:formatCode>
                <c:ptCount val="100"/>
                <c:pt idx="0">
                  <c:v>69.07</c:v>
                </c:pt>
                <c:pt idx="1">
                  <c:v>69.07</c:v>
                </c:pt>
                <c:pt idx="2">
                  <c:v>69.07</c:v>
                </c:pt>
                <c:pt idx="3">
                  <c:v>69.07</c:v>
                </c:pt>
                <c:pt idx="4">
                  <c:v>69.07</c:v>
                </c:pt>
                <c:pt idx="5">
                  <c:v>69.07</c:v>
                </c:pt>
                <c:pt idx="6">
                  <c:v>69.07</c:v>
                </c:pt>
                <c:pt idx="7">
                  <c:v>69.07</c:v>
                </c:pt>
                <c:pt idx="8">
                  <c:v>69.07</c:v>
                </c:pt>
                <c:pt idx="9">
                  <c:v>69.07</c:v>
                </c:pt>
                <c:pt idx="10">
                  <c:v>69.07</c:v>
                </c:pt>
                <c:pt idx="11">
                  <c:v>69.07</c:v>
                </c:pt>
                <c:pt idx="12">
                  <c:v>69.07</c:v>
                </c:pt>
                <c:pt idx="13">
                  <c:v>69.07</c:v>
                </c:pt>
                <c:pt idx="14">
                  <c:v>69.07</c:v>
                </c:pt>
                <c:pt idx="15">
                  <c:v>69.07</c:v>
                </c:pt>
                <c:pt idx="16">
                  <c:v>69.07</c:v>
                </c:pt>
                <c:pt idx="17">
                  <c:v>69.07</c:v>
                </c:pt>
                <c:pt idx="18">
                  <c:v>69.07</c:v>
                </c:pt>
                <c:pt idx="19">
                  <c:v>69.07</c:v>
                </c:pt>
                <c:pt idx="20">
                  <c:v>69.07</c:v>
                </c:pt>
                <c:pt idx="21">
                  <c:v>69.07</c:v>
                </c:pt>
                <c:pt idx="22">
                  <c:v>69.07</c:v>
                </c:pt>
                <c:pt idx="23">
                  <c:v>69.07</c:v>
                </c:pt>
                <c:pt idx="24">
                  <c:v>69.07</c:v>
                </c:pt>
                <c:pt idx="25">
                  <c:v>69.07</c:v>
                </c:pt>
                <c:pt idx="26">
                  <c:v>69.07</c:v>
                </c:pt>
                <c:pt idx="27">
                  <c:v>69.07</c:v>
                </c:pt>
                <c:pt idx="28">
                  <c:v>69.07</c:v>
                </c:pt>
                <c:pt idx="29">
                  <c:v>69.07</c:v>
                </c:pt>
                <c:pt idx="30">
                  <c:v>69.07</c:v>
                </c:pt>
                <c:pt idx="31">
                  <c:v>69.07</c:v>
                </c:pt>
                <c:pt idx="32">
                  <c:v>69.07</c:v>
                </c:pt>
                <c:pt idx="33">
                  <c:v>69.07</c:v>
                </c:pt>
                <c:pt idx="34">
                  <c:v>69.07</c:v>
                </c:pt>
                <c:pt idx="35">
                  <c:v>69.07</c:v>
                </c:pt>
                <c:pt idx="36">
                  <c:v>69.07</c:v>
                </c:pt>
                <c:pt idx="37">
                  <c:v>69.07</c:v>
                </c:pt>
                <c:pt idx="38">
                  <c:v>69.07</c:v>
                </c:pt>
                <c:pt idx="39">
                  <c:v>69.07</c:v>
                </c:pt>
                <c:pt idx="40">
                  <c:v>69.07</c:v>
                </c:pt>
                <c:pt idx="41">
                  <c:v>69.07</c:v>
                </c:pt>
                <c:pt idx="42">
                  <c:v>69.07</c:v>
                </c:pt>
                <c:pt idx="43">
                  <c:v>69.07</c:v>
                </c:pt>
                <c:pt idx="44">
                  <c:v>69.07</c:v>
                </c:pt>
                <c:pt idx="45">
                  <c:v>69.07</c:v>
                </c:pt>
                <c:pt idx="46">
                  <c:v>69.07</c:v>
                </c:pt>
                <c:pt idx="47">
                  <c:v>69.07</c:v>
                </c:pt>
                <c:pt idx="48">
                  <c:v>69.07</c:v>
                </c:pt>
                <c:pt idx="49">
                  <c:v>69.07</c:v>
                </c:pt>
                <c:pt idx="50">
                  <c:v>69.07</c:v>
                </c:pt>
                <c:pt idx="51">
                  <c:v>69.07</c:v>
                </c:pt>
                <c:pt idx="52">
                  <c:v>69.07</c:v>
                </c:pt>
                <c:pt idx="53">
                  <c:v>69.07</c:v>
                </c:pt>
                <c:pt idx="54">
                  <c:v>69.07</c:v>
                </c:pt>
                <c:pt idx="55">
                  <c:v>69.07</c:v>
                </c:pt>
                <c:pt idx="56">
                  <c:v>69.07</c:v>
                </c:pt>
                <c:pt idx="57">
                  <c:v>69.07</c:v>
                </c:pt>
                <c:pt idx="58">
                  <c:v>69.07</c:v>
                </c:pt>
                <c:pt idx="59">
                  <c:v>69.07</c:v>
                </c:pt>
                <c:pt idx="60">
                  <c:v>69.07</c:v>
                </c:pt>
                <c:pt idx="61">
                  <c:v>69.07</c:v>
                </c:pt>
                <c:pt idx="62">
                  <c:v>69.07</c:v>
                </c:pt>
                <c:pt idx="63">
                  <c:v>69.07</c:v>
                </c:pt>
                <c:pt idx="64">
                  <c:v>69.07</c:v>
                </c:pt>
                <c:pt idx="65">
                  <c:v>69.07</c:v>
                </c:pt>
                <c:pt idx="66">
                  <c:v>69.07</c:v>
                </c:pt>
                <c:pt idx="67">
                  <c:v>69.07</c:v>
                </c:pt>
                <c:pt idx="68">
                  <c:v>69.07</c:v>
                </c:pt>
                <c:pt idx="69">
                  <c:v>69.07</c:v>
                </c:pt>
                <c:pt idx="70">
                  <c:v>69.07</c:v>
                </c:pt>
                <c:pt idx="71">
                  <c:v>69.07</c:v>
                </c:pt>
                <c:pt idx="72">
                  <c:v>69.07</c:v>
                </c:pt>
                <c:pt idx="73">
                  <c:v>69.07</c:v>
                </c:pt>
                <c:pt idx="74">
                  <c:v>69.07</c:v>
                </c:pt>
                <c:pt idx="75">
                  <c:v>69.07</c:v>
                </c:pt>
                <c:pt idx="76">
                  <c:v>69.07</c:v>
                </c:pt>
                <c:pt idx="77">
                  <c:v>69.07</c:v>
                </c:pt>
                <c:pt idx="78">
                  <c:v>69.07</c:v>
                </c:pt>
                <c:pt idx="79">
                  <c:v>69.07</c:v>
                </c:pt>
                <c:pt idx="80">
                  <c:v>69.07</c:v>
                </c:pt>
                <c:pt idx="81">
                  <c:v>69.07</c:v>
                </c:pt>
                <c:pt idx="82">
                  <c:v>69.07</c:v>
                </c:pt>
                <c:pt idx="83">
                  <c:v>69.07</c:v>
                </c:pt>
                <c:pt idx="84">
                  <c:v>69.07</c:v>
                </c:pt>
                <c:pt idx="85">
                  <c:v>69.07</c:v>
                </c:pt>
                <c:pt idx="86">
                  <c:v>69.07</c:v>
                </c:pt>
                <c:pt idx="87">
                  <c:v>69.07</c:v>
                </c:pt>
                <c:pt idx="88">
                  <c:v>69.07</c:v>
                </c:pt>
                <c:pt idx="89">
                  <c:v>69.07</c:v>
                </c:pt>
                <c:pt idx="90">
                  <c:v>69.07</c:v>
                </c:pt>
                <c:pt idx="91">
                  <c:v>69.07</c:v>
                </c:pt>
                <c:pt idx="92">
                  <c:v>69.07</c:v>
                </c:pt>
                <c:pt idx="93">
                  <c:v>69.07</c:v>
                </c:pt>
                <c:pt idx="94">
                  <c:v>69.07</c:v>
                </c:pt>
                <c:pt idx="95">
                  <c:v>69.07</c:v>
                </c:pt>
                <c:pt idx="96">
                  <c:v>69.07</c:v>
                </c:pt>
                <c:pt idx="97">
                  <c:v>69.07</c:v>
                </c:pt>
                <c:pt idx="98">
                  <c:v>69.07</c:v>
                </c:pt>
                <c:pt idx="99">
                  <c:v>69.07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E5_X_sans!E1</c:f>
              <c:strCache>
                <c:ptCount val="1"/>
                <c:pt idx="0">
                  <c:v>LCS</c:v>
                </c:pt>
              </c:strCache>
            </c:strRef>
          </c:tx>
          <c:spPr>
            <a:solidFill>
              <a:srgbClr val="c00000"/>
            </a:solidFill>
            <a:ln w="158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E5_X_sans!$A$2:$A$101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E5_X_sans!$E$2:$E$101</c:f>
              <c:numCache>
                <c:formatCode>0.00</c:formatCode>
                <c:ptCount val="100"/>
                <c:pt idx="0">
                  <c:v>74.3093939393939</c:v>
                </c:pt>
                <c:pt idx="1">
                  <c:v>74.3093939393939</c:v>
                </c:pt>
                <c:pt idx="2">
                  <c:v>74.3093939393939</c:v>
                </c:pt>
                <c:pt idx="3">
                  <c:v>74.3093939393939</c:v>
                </c:pt>
                <c:pt idx="4">
                  <c:v>74.3093939393939</c:v>
                </c:pt>
                <c:pt idx="5">
                  <c:v>74.3093939393939</c:v>
                </c:pt>
                <c:pt idx="6">
                  <c:v>74.3093939393939</c:v>
                </c:pt>
                <c:pt idx="7">
                  <c:v>74.3093939393939</c:v>
                </c:pt>
                <c:pt idx="8">
                  <c:v>74.3093939393939</c:v>
                </c:pt>
                <c:pt idx="9">
                  <c:v>74.3093939393939</c:v>
                </c:pt>
                <c:pt idx="10">
                  <c:v>74.3093939393939</c:v>
                </c:pt>
                <c:pt idx="11">
                  <c:v>74.3093939393939</c:v>
                </c:pt>
                <c:pt idx="12">
                  <c:v>74.3093939393939</c:v>
                </c:pt>
                <c:pt idx="13">
                  <c:v>74.3093939393939</c:v>
                </c:pt>
                <c:pt idx="14">
                  <c:v>74.3093939393939</c:v>
                </c:pt>
                <c:pt idx="15">
                  <c:v>74.3093939393939</c:v>
                </c:pt>
                <c:pt idx="16">
                  <c:v>74.3093939393939</c:v>
                </c:pt>
                <c:pt idx="17">
                  <c:v>74.3093939393939</c:v>
                </c:pt>
                <c:pt idx="18">
                  <c:v>74.3093939393939</c:v>
                </c:pt>
                <c:pt idx="19">
                  <c:v>74.3093939393939</c:v>
                </c:pt>
                <c:pt idx="20">
                  <c:v>74.3093939393939</c:v>
                </c:pt>
                <c:pt idx="21">
                  <c:v>74.3093939393939</c:v>
                </c:pt>
                <c:pt idx="22">
                  <c:v>74.3093939393939</c:v>
                </c:pt>
                <c:pt idx="23">
                  <c:v>74.3093939393939</c:v>
                </c:pt>
                <c:pt idx="24">
                  <c:v>74.3093939393939</c:v>
                </c:pt>
                <c:pt idx="25">
                  <c:v>74.3093939393939</c:v>
                </c:pt>
                <c:pt idx="26">
                  <c:v>74.3093939393939</c:v>
                </c:pt>
                <c:pt idx="27">
                  <c:v>74.3093939393939</c:v>
                </c:pt>
                <c:pt idx="28">
                  <c:v>74.3093939393939</c:v>
                </c:pt>
                <c:pt idx="29">
                  <c:v>74.3093939393939</c:v>
                </c:pt>
                <c:pt idx="30">
                  <c:v>74.3093939393939</c:v>
                </c:pt>
                <c:pt idx="31">
                  <c:v>74.3093939393939</c:v>
                </c:pt>
                <c:pt idx="32">
                  <c:v>74.3093939393939</c:v>
                </c:pt>
                <c:pt idx="33">
                  <c:v>74.3093939393939</c:v>
                </c:pt>
                <c:pt idx="34">
                  <c:v>74.3093939393939</c:v>
                </c:pt>
                <c:pt idx="35">
                  <c:v>74.3093939393939</c:v>
                </c:pt>
                <c:pt idx="36">
                  <c:v>74.3093939393939</c:v>
                </c:pt>
                <c:pt idx="37">
                  <c:v>74.3093939393939</c:v>
                </c:pt>
                <c:pt idx="38">
                  <c:v>74.3093939393939</c:v>
                </c:pt>
                <c:pt idx="39">
                  <c:v>74.3093939393939</c:v>
                </c:pt>
                <c:pt idx="40">
                  <c:v>74.3093939393939</c:v>
                </c:pt>
                <c:pt idx="41">
                  <c:v>74.3093939393939</c:v>
                </c:pt>
                <c:pt idx="42">
                  <c:v>74.3093939393939</c:v>
                </c:pt>
                <c:pt idx="43">
                  <c:v>74.3093939393939</c:v>
                </c:pt>
                <c:pt idx="44">
                  <c:v>74.3093939393939</c:v>
                </c:pt>
                <c:pt idx="45">
                  <c:v>74.3093939393939</c:v>
                </c:pt>
                <c:pt idx="46">
                  <c:v>74.3093939393939</c:v>
                </c:pt>
                <c:pt idx="47">
                  <c:v>74.3093939393939</c:v>
                </c:pt>
                <c:pt idx="48">
                  <c:v>74.3093939393939</c:v>
                </c:pt>
                <c:pt idx="49">
                  <c:v>74.3093939393939</c:v>
                </c:pt>
                <c:pt idx="50">
                  <c:v>74.3093939393939</c:v>
                </c:pt>
                <c:pt idx="51">
                  <c:v>74.3093939393939</c:v>
                </c:pt>
                <c:pt idx="52">
                  <c:v>74.3093939393939</c:v>
                </c:pt>
                <c:pt idx="53">
                  <c:v>74.3093939393939</c:v>
                </c:pt>
                <c:pt idx="54">
                  <c:v>74.3093939393939</c:v>
                </c:pt>
                <c:pt idx="55">
                  <c:v>74.3093939393939</c:v>
                </c:pt>
                <c:pt idx="56">
                  <c:v>74.3093939393939</c:v>
                </c:pt>
                <c:pt idx="57">
                  <c:v>74.3093939393939</c:v>
                </c:pt>
                <c:pt idx="58">
                  <c:v>74.3093939393939</c:v>
                </c:pt>
                <c:pt idx="59">
                  <c:v>74.3093939393939</c:v>
                </c:pt>
                <c:pt idx="60">
                  <c:v>74.3093939393939</c:v>
                </c:pt>
                <c:pt idx="61">
                  <c:v>74.3093939393939</c:v>
                </c:pt>
                <c:pt idx="62">
                  <c:v>74.3093939393939</c:v>
                </c:pt>
                <c:pt idx="63">
                  <c:v>74.3093939393939</c:v>
                </c:pt>
                <c:pt idx="64">
                  <c:v>74.3093939393939</c:v>
                </c:pt>
                <c:pt idx="65">
                  <c:v>74.3093939393939</c:v>
                </c:pt>
                <c:pt idx="66">
                  <c:v>74.3093939393939</c:v>
                </c:pt>
                <c:pt idx="67">
                  <c:v>74.3093939393939</c:v>
                </c:pt>
                <c:pt idx="68">
                  <c:v>74.3093939393939</c:v>
                </c:pt>
                <c:pt idx="69">
                  <c:v>74.3093939393939</c:v>
                </c:pt>
                <c:pt idx="70">
                  <c:v>74.3093939393939</c:v>
                </c:pt>
                <c:pt idx="71">
                  <c:v>74.3093939393939</c:v>
                </c:pt>
                <c:pt idx="72">
                  <c:v>74.3093939393939</c:v>
                </c:pt>
                <c:pt idx="73">
                  <c:v>74.3093939393939</c:v>
                </c:pt>
                <c:pt idx="74">
                  <c:v>74.3093939393939</c:v>
                </c:pt>
                <c:pt idx="75">
                  <c:v>74.3093939393939</c:v>
                </c:pt>
                <c:pt idx="76">
                  <c:v>74.3093939393939</c:v>
                </c:pt>
                <c:pt idx="77">
                  <c:v>74.3093939393939</c:v>
                </c:pt>
                <c:pt idx="78">
                  <c:v>74.3093939393939</c:v>
                </c:pt>
                <c:pt idx="79">
                  <c:v>74.3093939393939</c:v>
                </c:pt>
                <c:pt idx="80">
                  <c:v>74.3093939393939</c:v>
                </c:pt>
                <c:pt idx="81">
                  <c:v>74.3093939393939</c:v>
                </c:pt>
                <c:pt idx="82">
                  <c:v>74.3093939393939</c:v>
                </c:pt>
                <c:pt idx="83">
                  <c:v>74.3093939393939</c:v>
                </c:pt>
                <c:pt idx="84">
                  <c:v>74.3093939393939</c:v>
                </c:pt>
                <c:pt idx="85">
                  <c:v>74.3093939393939</c:v>
                </c:pt>
                <c:pt idx="86">
                  <c:v>74.3093939393939</c:v>
                </c:pt>
                <c:pt idx="87">
                  <c:v>74.3093939393939</c:v>
                </c:pt>
                <c:pt idx="88">
                  <c:v>74.3093939393939</c:v>
                </c:pt>
                <c:pt idx="89">
                  <c:v>74.3093939393939</c:v>
                </c:pt>
                <c:pt idx="90">
                  <c:v>74.3093939393939</c:v>
                </c:pt>
                <c:pt idx="91">
                  <c:v>74.3093939393939</c:v>
                </c:pt>
                <c:pt idx="92">
                  <c:v>74.3093939393939</c:v>
                </c:pt>
                <c:pt idx="93">
                  <c:v>74.3093939393939</c:v>
                </c:pt>
                <c:pt idx="94">
                  <c:v>74.3093939393939</c:v>
                </c:pt>
                <c:pt idx="95">
                  <c:v>74.3093939393939</c:v>
                </c:pt>
                <c:pt idx="96">
                  <c:v>74.3093939393939</c:v>
                </c:pt>
                <c:pt idx="97">
                  <c:v>74.3093939393939</c:v>
                </c:pt>
                <c:pt idx="98">
                  <c:v>74.3093939393939</c:v>
                </c:pt>
                <c:pt idx="99">
                  <c:v>74.3093939393939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E5_X_sans!F1</c:f>
              <c:strCache>
                <c:ptCount val="1"/>
                <c:pt idx="0">
                  <c:v>LCI</c:v>
                </c:pt>
              </c:strCache>
            </c:strRef>
          </c:tx>
          <c:spPr>
            <a:solidFill>
              <a:srgbClr val="c00000"/>
            </a:solidFill>
            <a:ln w="158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E5_X_sans!$A$2:$A$101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E5_X_sans!$F$2:$F$101</c:f>
              <c:numCache>
                <c:formatCode>0.00</c:formatCode>
                <c:ptCount val="100"/>
                <c:pt idx="0">
                  <c:v>63.8306060606061</c:v>
                </c:pt>
                <c:pt idx="1">
                  <c:v>63.8306060606061</c:v>
                </c:pt>
                <c:pt idx="2">
                  <c:v>63.8306060606061</c:v>
                </c:pt>
                <c:pt idx="3">
                  <c:v>63.8306060606061</c:v>
                </c:pt>
                <c:pt idx="4">
                  <c:v>63.8306060606061</c:v>
                </c:pt>
                <c:pt idx="5">
                  <c:v>63.8306060606061</c:v>
                </c:pt>
                <c:pt idx="6">
                  <c:v>63.8306060606061</c:v>
                </c:pt>
                <c:pt idx="7">
                  <c:v>63.8306060606061</c:v>
                </c:pt>
                <c:pt idx="8">
                  <c:v>63.8306060606061</c:v>
                </c:pt>
                <c:pt idx="9">
                  <c:v>63.8306060606061</c:v>
                </c:pt>
                <c:pt idx="10">
                  <c:v>63.8306060606061</c:v>
                </c:pt>
                <c:pt idx="11">
                  <c:v>63.8306060606061</c:v>
                </c:pt>
                <c:pt idx="12">
                  <c:v>63.8306060606061</c:v>
                </c:pt>
                <c:pt idx="13">
                  <c:v>63.8306060606061</c:v>
                </c:pt>
                <c:pt idx="14">
                  <c:v>63.8306060606061</c:v>
                </c:pt>
                <c:pt idx="15">
                  <c:v>63.8306060606061</c:v>
                </c:pt>
                <c:pt idx="16">
                  <c:v>63.8306060606061</c:v>
                </c:pt>
                <c:pt idx="17">
                  <c:v>63.8306060606061</c:v>
                </c:pt>
                <c:pt idx="18">
                  <c:v>63.8306060606061</c:v>
                </c:pt>
                <c:pt idx="19">
                  <c:v>63.8306060606061</c:v>
                </c:pt>
                <c:pt idx="20">
                  <c:v>63.8306060606061</c:v>
                </c:pt>
                <c:pt idx="21">
                  <c:v>63.8306060606061</c:v>
                </c:pt>
                <c:pt idx="22">
                  <c:v>63.8306060606061</c:v>
                </c:pt>
                <c:pt idx="23">
                  <c:v>63.8306060606061</c:v>
                </c:pt>
                <c:pt idx="24">
                  <c:v>63.8306060606061</c:v>
                </c:pt>
                <c:pt idx="25">
                  <c:v>63.8306060606061</c:v>
                </c:pt>
                <c:pt idx="26">
                  <c:v>63.8306060606061</c:v>
                </c:pt>
                <c:pt idx="27">
                  <c:v>63.8306060606061</c:v>
                </c:pt>
                <c:pt idx="28">
                  <c:v>63.8306060606061</c:v>
                </c:pt>
                <c:pt idx="29">
                  <c:v>63.8306060606061</c:v>
                </c:pt>
                <c:pt idx="30">
                  <c:v>63.8306060606061</c:v>
                </c:pt>
                <c:pt idx="31">
                  <c:v>63.8306060606061</c:v>
                </c:pt>
                <c:pt idx="32">
                  <c:v>63.8306060606061</c:v>
                </c:pt>
                <c:pt idx="33">
                  <c:v>63.8306060606061</c:v>
                </c:pt>
                <c:pt idx="34">
                  <c:v>63.8306060606061</c:v>
                </c:pt>
                <c:pt idx="35">
                  <c:v>63.8306060606061</c:v>
                </c:pt>
                <c:pt idx="36">
                  <c:v>63.8306060606061</c:v>
                </c:pt>
                <c:pt idx="37">
                  <c:v>63.8306060606061</c:v>
                </c:pt>
                <c:pt idx="38">
                  <c:v>63.8306060606061</c:v>
                </c:pt>
                <c:pt idx="39">
                  <c:v>63.8306060606061</c:v>
                </c:pt>
                <c:pt idx="40">
                  <c:v>63.8306060606061</c:v>
                </c:pt>
                <c:pt idx="41">
                  <c:v>63.8306060606061</c:v>
                </c:pt>
                <c:pt idx="42">
                  <c:v>63.8306060606061</c:v>
                </c:pt>
                <c:pt idx="43">
                  <c:v>63.8306060606061</c:v>
                </c:pt>
                <c:pt idx="44">
                  <c:v>63.8306060606061</c:v>
                </c:pt>
                <c:pt idx="45">
                  <c:v>63.8306060606061</c:v>
                </c:pt>
                <c:pt idx="46">
                  <c:v>63.8306060606061</c:v>
                </c:pt>
                <c:pt idx="47">
                  <c:v>63.8306060606061</c:v>
                </c:pt>
                <c:pt idx="48">
                  <c:v>63.8306060606061</c:v>
                </c:pt>
                <c:pt idx="49">
                  <c:v>63.8306060606061</c:v>
                </c:pt>
                <c:pt idx="50">
                  <c:v>63.8306060606061</c:v>
                </c:pt>
                <c:pt idx="51">
                  <c:v>63.8306060606061</c:v>
                </c:pt>
                <c:pt idx="52">
                  <c:v>63.8306060606061</c:v>
                </c:pt>
                <c:pt idx="53">
                  <c:v>63.8306060606061</c:v>
                </c:pt>
                <c:pt idx="54">
                  <c:v>63.8306060606061</c:v>
                </c:pt>
                <c:pt idx="55">
                  <c:v>63.8306060606061</c:v>
                </c:pt>
                <c:pt idx="56">
                  <c:v>63.8306060606061</c:v>
                </c:pt>
                <c:pt idx="57">
                  <c:v>63.8306060606061</c:v>
                </c:pt>
                <c:pt idx="58">
                  <c:v>63.8306060606061</c:v>
                </c:pt>
                <c:pt idx="59">
                  <c:v>63.8306060606061</c:v>
                </c:pt>
                <c:pt idx="60">
                  <c:v>63.8306060606061</c:v>
                </c:pt>
                <c:pt idx="61">
                  <c:v>63.8306060606061</c:v>
                </c:pt>
                <c:pt idx="62">
                  <c:v>63.8306060606061</c:v>
                </c:pt>
                <c:pt idx="63">
                  <c:v>63.8306060606061</c:v>
                </c:pt>
                <c:pt idx="64">
                  <c:v>63.8306060606061</c:v>
                </c:pt>
                <c:pt idx="65">
                  <c:v>63.8306060606061</c:v>
                </c:pt>
                <c:pt idx="66">
                  <c:v>63.8306060606061</c:v>
                </c:pt>
                <c:pt idx="67">
                  <c:v>63.8306060606061</c:v>
                </c:pt>
                <c:pt idx="68">
                  <c:v>63.8306060606061</c:v>
                </c:pt>
                <c:pt idx="69">
                  <c:v>63.8306060606061</c:v>
                </c:pt>
                <c:pt idx="70">
                  <c:v>63.8306060606061</c:v>
                </c:pt>
                <c:pt idx="71">
                  <c:v>63.8306060606061</c:v>
                </c:pt>
                <c:pt idx="72">
                  <c:v>63.8306060606061</c:v>
                </c:pt>
                <c:pt idx="73">
                  <c:v>63.8306060606061</c:v>
                </c:pt>
                <c:pt idx="74">
                  <c:v>63.8306060606061</c:v>
                </c:pt>
                <c:pt idx="75">
                  <c:v>63.8306060606061</c:v>
                </c:pt>
                <c:pt idx="76">
                  <c:v>63.8306060606061</c:v>
                </c:pt>
                <c:pt idx="77">
                  <c:v>63.8306060606061</c:v>
                </c:pt>
                <c:pt idx="78">
                  <c:v>63.8306060606061</c:v>
                </c:pt>
                <c:pt idx="79">
                  <c:v>63.8306060606061</c:v>
                </c:pt>
                <c:pt idx="80">
                  <c:v>63.8306060606061</c:v>
                </c:pt>
                <c:pt idx="81">
                  <c:v>63.8306060606061</c:v>
                </c:pt>
                <c:pt idx="82">
                  <c:v>63.8306060606061</c:v>
                </c:pt>
                <c:pt idx="83">
                  <c:v>63.8306060606061</c:v>
                </c:pt>
                <c:pt idx="84">
                  <c:v>63.8306060606061</c:v>
                </c:pt>
                <c:pt idx="85">
                  <c:v>63.8306060606061</c:v>
                </c:pt>
                <c:pt idx="86">
                  <c:v>63.8306060606061</c:v>
                </c:pt>
                <c:pt idx="87">
                  <c:v>63.8306060606061</c:v>
                </c:pt>
                <c:pt idx="88">
                  <c:v>63.8306060606061</c:v>
                </c:pt>
                <c:pt idx="89">
                  <c:v>63.8306060606061</c:v>
                </c:pt>
                <c:pt idx="90">
                  <c:v>63.8306060606061</c:v>
                </c:pt>
                <c:pt idx="91">
                  <c:v>63.8306060606061</c:v>
                </c:pt>
                <c:pt idx="92">
                  <c:v>63.8306060606061</c:v>
                </c:pt>
                <c:pt idx="93">
                  <c:v>63.8306060606061</c:v>
                </c:pt>
                <c:pt idx="94">
                  <c:v>63.8306060606061</c:v>
                </c:pt>
                <c:pt idx="95">
                  <c:v>63.8306060606061</c:v>
                </c:pt>
                <c:pt idx="96">
                  <c:v>63.8306060606061</c:v>
                </c:pt>
                <c:pt idx="97">
                  <c:v>63.8306060606061</c:v>
                </c:pt>
                <c:pt idx="98">
                  <c:v>63.8306060606061</c:v>
                </c:pt>
                <c:pt idx="99">
                  <c:v>63.8306060606061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5404676"/>
        <c:axId val="50056269"/>
      </c:lineChart>
      <c:catAx>
        <c:axId val="554046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056269"/>
        <c:crosses val="autoZero"/>
        <c:auto val="1"/>
        <c:lblAlgn val="ctr"/>
        <c:lblOffset val="100"/>
        <c:noMultiLvlLbl val="0"/>
      </c:catAx>
      <c:valAx>
        <c:axId val="50056269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4046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Carte des étendues mobiles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E5_X_sans!C1</c:f>
              <c:strCache>
                <c:ptCount val="1"/>
                <c:pt idx="0">
                  <c:v>mR</c:v>
                </c:pt>
              </c:strCache>
            </c:strRef>
          </c:tx>
          <c:spPr>
            <a:solidFill>
              <a:srgbClr val="1f3864"/>
            </a:solidFill>
            <a:ln w="19080">
              <a:solidFill>
                <a:srgbClr val="1f3864"/>
              </a:solidFill>
              <a:round/>
            </a:ln>
          </c:spPr>
          <c:marker>
            <c:symbol val="circle"/>
            <c:size val="6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E5_X_sans!$A$2:$A$101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E5_X_sans!$C$2:$C$101</c:f>
              <c:numCache>
                <c:formatCode>0.00</c:formatCode>
                <c:ptCount val="100"/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3</c:v>
                </c:pt>
                <c:pt idx="12">
                  <c:v>6</c:v>
                </c:pt>
                <c:pt idx="13">
                  <c:v>3</c:v>
                </c:pt>
                <c:pt idx="14">
                  <c:v>1</c:v>
                </c:pt>
                <c:pt idx="15">
                  <c:v>0</c:v>
                </c:pt>
                <c:pt idx="16">
                  <c:v>2</c:v>
                </c:pt>
                <c:pt idx="17">
                  <c:v>3</c:v>
                </c:pt>
                <c:pt idx="18">
                  <c:v>2</c:v>
                </c:pt>
                <c:pt idx="19">
                  <c:v>4</c:v>
                </c:pt>
                <c:pt idx="20">
                  <c:v>2</c:v>
                </c:pt>
                <c:pt idx="21">
                  <c:v>3</c:v>
                </c:pt>
                <c:pt idx="22">
                  <c:v>1</c:v>
                </c:pt>
                <c:pt idx="23">
                  <c:v>3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2</c:v>
                </c:pt>
                <c:pt idx="33">
                  <c:v>3</c:v>
                </c:pt>
                <c:pt idx="34">
                  <c:v>1</c:v>
                </c:pt>
                <c:pt idx="35">
                  <c:v>2</c:v>
                </c:pt>
                <c:pt idx="36">
                  <c:v>1</c:v>
                </c:pt>
                <c:pt idx="37">
                  <c:v>1</c:v>
                </c:pt>
                <c:pt idx="38">
                  <c:v>2</c:v>
                </c:pt>
                <c:pt idx="39">
                  <c:v>0</c:v>
                </c:pt>
                <c:pt idx="40">
                  <c:v>2</c:v>
                </c:pt>
                <c:pt idx="41">
                  <c:v>3</c:v>
                </c:pt>
                <c:pt idx="42">
                  <c:v>2</c:v>
                </c:pt>
                <c:pt idx="43">
                  <c:v>3</c:v>
                </c:pt>
                <c:pt idx="44">
                  <c:v>1</c:v>
                </c:pt>
                <c:pt idx="45">
                  <c:v>0</c:v>
                </c:pt>
                <c:pt idx="46">
                  <c:v>2</c:v>
                </c:pt>
                <c:pt idx="47">
                  <c:v>1</c:v>
                </c:pt>
                <c:pt idx="48">
                  <c:v>1</c:v>
                </c:pt>
                <c:pt idx="49">
                  <c:v>2</c:v>
                </c:pt>
                <c:pt idx="50">
                  <c:v>0</c:v>
                </c:pt>
                <c:pt idx="51">
                  <c:v>5</c:v>
                </c:pt>
                <c:pt idx="52">
                  <c:v>6</c:v>
                </c:pt>
                <c:pt idx="53">
                  <c:v>4</c:v>
                </c:pt>
                <c:pt idx="54">
                  <c:v>2</c:v>
                </c:pt>
                <c:pt idx="55">
                  <c:v>4</c:v>
                </c:pt>
                <c:pt idx="56">
                  <c:v>2</c:v>
                </c:pt>
                <c:pt idx="57">
                  <c:v>1</c:v>
                </c:pt>
                <c:pt idx="58">
                  <c:v>0</c:v>
                </c:pt>
                <c:pt idx="59">
                  <c:v>3</c:v>
                </c:pt>
                <c:pt idx="60">
                  <c:v>1</c:v>
                </c:pt>
                <c:pt idx="61">
                  <c:v>2</c:v>
                </c:pt>
                <c:pt idx="62">
                  <c:v>1</c:v>
                </c:pt>
                <c:pt idx="63">
                  <c:v>2</c:v>
                </c:pt>
                <c:pt idx="64">
                  <c:v>1</c:v>
                </c:pt>
                <c:pt idx="65">
                  <c:v>1</c:v>
                </c:pt>
                <c:pt idx="66">
                  <c:v>3</c:v>
                </c:pt>
                <c:pt idx="67">
                  <c:v>3</c:v>
                </c:pt>
                <c:pt idx="68">
                  <c:v>2</c:v>
                </c:pt>
                <c:pt idx="69">
                  <c:v>1</c:v>
                </c:pt>
                <c:pt idx="70">
                  <c:v>5</c:v>
                </c:pt>
                <c:pt idx="71">
                  <c:v>5</c:v>
                </c:pt>
                <c:pt idx="72">
                  <c:v>3</c:v>
                </c:pt>
                <c:pt idx="73">
                  <c:v>3</c:v>
                </c:pt>
                <c:pt idx="74">
                  <c:v>1</c:v>
                </c:pt>
                <c:pt idx="75">
                  <c:v>3</c:v>
                </c:pt>
                <c:pt idx="76">
                  <c:v>2</c:v>
                </c:pt>
                <c:pt idx="77">
                  <c:v>2</c:v>
                </c:pt>
                <c:pt idx="78">
                  <c:v>0</c:v>
                </c:pt>
                <c:pt idx="79">
                  <c:v>5</c:v>
                </c:pt>
                <c:pt idx="80">
                  <c:v>3</c:v>
                </c:pt>
                <c:pt idx="81">
                  <c:v>1</c:v>
                </c:pt>
                <c:pt idx="82">
                  <c:v>2</c:v>
                </c:pt>
                <c:pt idx="83">
                  <c:v>3</c:v>
                </c:pt>
                <c:pt idx="84">
                  <c:v>5</c:v>
                </c:pt>
                <c:pt idx="85">
                  <c:v>3</c:v>
                </c:pt>
                <c:pt idx="86">
                  <c:v>2</c:v>
                </c:pt>
                <c:pt idx="87">
                  <c:v>1</c:v>
                </c:pt>
                <c:pt idx="88">
                  <c:v>2</c:v>
                </c:pt>
                <c:pt idx="89">
                  <c:v>0</c:v>
                </c:pt>
                <c:pt idx="90">
                  <c:v>2</c:v>
                </c:pt>
                <c:pt idx="91">
                  <c:v>5</c:v>
                </c:pt>
                <c:pt idx="92">
                  <c:v>1</c:v>
                </c:pt>
                <c:pt idx="93">
                  <c:v>0</c:v>
                </c:pt>
                <c:pt idx="94">
                  <c:v>1</c:v>
                </c:pt>
                <c:pt idx="95">
                  <c:v>4</c:v>
                </c:pt>
                <c:pt idx="96">
                  <c:v>0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E5_X_sans!G1</c:f>
              <c:strCache>
                <c:ptCount val="1"/>
                <c:pt idx="0">
                  <c:v>mR barre</c:v>
                </c:pt>
              </c:strCache>
            </c:strRef>
          </c:tx>
          <c:spPr>
            <a:solidFill>
              <a:srgbClr val="1f3864"/>
            </a:solidFill>
            <a:ln w="15840">
              <a:solidFill>
                <a:srgbClr val="1f3864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E5_X_sans!$A$2:$A$101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E5_X_sans!$G$2:$G$101</c:f>
              <c:numCache>
                <c:formatCode>0.00</c:formatCode>
                <c:ptCount val="100"/>
                <c:pt idx="0">
                  <c:v>1.96969696969697</c:v>
                </c:pt>
                <c:pt idx="1">
                  <c:v>1.96969696969697</c:v>
                </c:pt>
                <c:pt idx="2">
                  <c:v>1.96969696969697</c:v>
                </c:pt>
                <c:pt idx="3">
                  <c:v>1.96969696969697</c:v>
                </c:pt>
                <c:pt idx="4">
                  <c:v>1.96969696969697</c:v>
                </c:pt>
                <c:pt idx="5">
                  <c:v>1.96969696969697</c:v>
                </c:pt>
                <c:pt idx="6">
                  <c:v>1.96969696969697</c:v>
                </c:pt>
                <c:pt idx="7">
                  <c:v>1.96969696969697</c:v>
                </c:pt>
                <c:pt idx="8">
                  <c:v>1.96969696969697</c:v>
                </c:pt>
                <c:pt idx="9">
                  <c:v>1.96969696969697</c:v>
                </c:pt>
                <c:pt idx="10">
                  <c:v>1.96969696969697</c:v>
                </c:pt>
                <c:pt idx="11">
                  <c:v>1.96969696969697</c:v>
                </c:pt>
                <c:pt idx="12">
                  <c:v>1.96969696969697</c:v>
                </c:pt>
                <c:pt idx="13">
                  <c:v>1.96969696969697</c:v>
                </c:pt>
                <c:pt idx="14">
                  <c:v>1.96969696969697</c:v>
                </c:pt>
                <c:pt idx="15">
                  <c:v>1.96969696969697</c:v>
                </c:pt>
                <c:pt idx="16">
                  <c:v>1.96969696969697</c:v>
                </c:pt>
                <c:pt idx="17">
                  <c:v>1.96969696969697</c:v>
                </c:pt>
                <c:pt idx="18">
                  <c:v>1.96969696969697</c:v>
                </c:pt>
                <c:pt idx="19">
                  <c:v>1.96969696969697</c:v>
                </c:pt>
                <c:pt idx="20">
                  <c:v>1.96969696969697</c:v>
                </c:pt>
                <c:pt idx="21">
                  <c:v>1.96969696969697</c:v>
                </c:pt>
                <c:pt idx="22">
                  <c:v>1.96969696969697</c:v>
                </c:pt>
                <c:pt idx="23">
                  <c:v>1.96969696969697</c:v>
                </c:pt>
                <c:pt idx="24">
                  <c:v>1.96969696969697</c:v>
                </c:pt>
                <c:pt idx="25">
                  <c:v>1.96969696969697</c:v>
                </c:pt>
                <c:pt idx="26">
                  <c:v>1.96969696969697</c:v>
                </c:pt>
                <c:pt idx="27">
                  <c:v>1.96969696969697</c:v>
                </c:pt>
                <c:pt idx="28">
                  <c:v>1.96969696969697</c:v>
                </c:pt>
                <c:pt idx="29">
                  <c:v>1.96969696969697</c:v>
                </c:pt>
                <c:pt idx="30">
                  <c:v>1.96969696969697</c:v>
                </c:pt>
                <c:pt idx="31">
                  <c:v>1.96969696969697</c:v>
                </c:pt>
                <c:pt idx="32">
                  <c:v>1.96969696969697</c:v>
                </c:pt>
                <c:pt idx="33">
                  <c:v>1.96969696969697</c:v>
                </c:pt>
                <c:pt idx="34">
                  <c:v>1.96969696969697</c:v>
                </c:pt>
                <c:pt idx="35">
                  <c:v>1.96969696969697</c:v>
                </c:pt>
                <c:pt idx="36">
                  <c:v>1.96969696969697</c:v>
                </c:pt>
                <c:pt idx="37">
                  <c:v>1.96969696969697</c:v>
                </c:pt>
                <c:pt idx="38">
                  <c:v>1.96969696969697</c:v>
                </c:pt>
                <c:pt idx="39">
                  <c:v>1.96969696969697</c:v>
                </c:pt>
                <c:pt idx="40">
                  <c:v>1.96969696969697</c:v>
                </c:pt>
                <c:pt idx="41">
                  <c:v>1.96969696969697</c:v>
                </c:pt>
                <c:pt idx="42">
                  <c:v>1.96969696969697</c:v>
                </c:pt>
                <c:pt idx="43">
                  <c:v>1.96969696969697</c:v>
                </c:pt>
                <c:pt idx="44">
                  <c:v>1.96969696969697</c:v>
                </c:pt>
                <c:pt idx="45">
                  <c:v>1.96969696969697</c:v>
                </c:pt>
                <c:pt idx="46">
                  <c:v>1.96969696969697</c:v>
                </c:pt>
                <c:pt idx="47">
                  <c:v>1.96969696969697</c:v>
                </c:pt>
                <c:pt idx="48">
                  <c:v>1.96969696969697</c:v>
                </c:pt>
                <c:pt idx="49">
                  <c:v>1.96969696969697</c:v>
                </c:pt>
                <c:pt idx="50">
                  <c:v>1.96969696969697</c:v>
                </c:pt>
                <c:pt idx="51">
                  <c:v>1.96969696969697</c:v>
                </c:pt>
                <c:pt idx="52">
                  <c:v>1.96969696969697</c:v>
                </c:pt>
                <c:pt idx="53">
                  <c:v>1.96969696969697</c:v>
                </c:pt>
                <c:pt idx="54">
                  <c:v>1.96969696969697</c:v>
                </c:pt>
                <c:pt idx="55">
                  <c:v>1.96969696969697</c:v>
                </c:pt>
                <c:pt idx="56">
                  <c:v>1.96969696969697</c:v>
                </c:pt>
                <c:pt idx="57">
                  <c:v>1.96969696969697</c:v>
                </c:pt>
                <c:pt idx="58">
                  <c:v>1.96969696969697</c:v>
                </c:pt>
                <c:pt idx="59">
                  <c:v>1.96969696969697</c:v>
                </c:pt>
                <c:pt idx="60">
                  <c:v>1.96969696969697</c:v>
                </c:pt>
                <c:pt idx="61">
                  <c:v>1.96969696969697</c:v>
                </c:pt>
                <c:pt idx="62">
                  <c:v>1.96969696969697</c:v>
                </c:pt>
                <c:pt idx="63">
                  <c:v>1.96969696969697</c:v>
                </c:pt>
                <c:pt idx="64">
                  <c:v>1.96969696969697</c:v>
                </c:pt>
                <c:pt idx="65">
                  <c:v>1.96969696969697</c:v>
                </c:pt>
                <c:pt idx="66">
                  <c:v>1.96969696969697</c:v>
                </c:pt>
                <c:pt idx="67">
                  <c:v>1.96969696969697</c:v>
                </c:pt>
                <c:pt idx="68">
                  <c:v>1.96969696969697</c:v>
                </c:pt>
                <c:pt idx="69">
                  <c:v>1.96969696969697</c:v>
                </c:pt>
                <c:pt idx="70">
                  <c:v>1.96969696969697</c:v>
                </c:pt>
                <c:pt idx="71">
                  <c:v>1.96969696969697</c:v>
                </c:pt>
                <c:pt idx="72">
                  <c:v>1.96969696969697</c:v>
                </c:pt>
                <c:pt idx="73">
                  <c:v>1.96969696969697</c:v>
                </c:pt>
                <c:pt idx="74">
                  <c:v>1.96969696969697</c:v>
                </c:pt>
                <c:pt idx="75">
                  <c:v>1.96969696969697</c:v>
                </c:pt>
                <c:pt idx="76">
                  <c:v>1.96969696969697</c:v>
                </c:pt>
                <c:pt idx="77">
                  <c:v>1.96969696969697</c:v>
                </c:pt>
                <c:pt idx="78">
                  <c:v>1.96969696969697</c:v>
                </c:pt>
                <c:pt idx="79">
                  <c:v>1.96969696969697</c:v>
                </c:pt>
                <c:pt idx="80">
                  <c:v>1.96969696969697</c:v>
                </c:pt>
                <c:pt idx="81">
                  <c:v>1.96969696969697</c:v>
                </c:pt>
                <c:pt idx="82">
                  <c:v>1.96969696969697</c:v>
                </c:pt>
                <c:pt idx="83">
                  <c:v>1.96969696969697</c:v>
                </c:pt>
                <c:pt idx="84">
                  <c:v>1.96969696969697</c:v>
                </c:pt>
                <c:pt idx="85">
                  <c:v>1.96969696969697</c:v>
                </c:pt>
                <c:pt idx="86">
                  <c:v>1.96969696969697</c:v>
                </c:pt>
                <c:pt idx="87">
                  <c:v>1.96969696969697</c:v>
                </c:pt>
                <c:pt idx="88">
                  <c:v>1.96969696969697</c:v>
                </c:pt>
                <c:pt idx="89">
                  <c:v>1.96969696969697</c:v>
                </c:pt>
                <c:pt idx="90">
                  <c:v>1.96969696969697</c:v>
                </c:pt>
                <c:pt idx="91">
                  <c:v>1.96969696969697</c:v>
                </c:pt>
                <c:pt idx="92">
                  <c:v>1.96969696969697</c:v>
                </c:pt>
                <c:pt idx="93">
                  <c:v>1.96969696969697</c:v>
                </c:pt>
                <c:pt idx="94">
                  <c:v>1.96969696969697</c:v>
                </c:pt>
                <c:pt idx="95">
                  <c:v>1.96969696969697</c:v>
                </c:pt>
                <c:pt idx="96">
                  <c:v>1.96969696969697</c:v>
                </c:pt>
                <c:pt idx="97">
                  <c:v>1.96969696969697</c:v>
                </c:pt>
                <c:pt idx="98">
                  <c:v>1.96969696969697</c:v>
                </c:pt>
                <c:pt idx="99">
                  <c:v>1.96969696969697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E5_X_sans!H1</c:f>
              <c:strCache>
                <c:ptCount val="1"/>
                <c:pt idx="0">
                  <c:v>LCS mR</c:v>
                </c:pt>
              </c:strCache>
            </c:strRef>
          </c:tx>
          <c:spPr>
            <a:solidFill>
              <a:srgbClr val="c00000"/>
            </a:solidFill>
            <a:ln w="158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E5_X_sans!$A$2:$A$101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E5_X_sans!$H$2:$H$101</c:f>
              <c:numCache>
                <c:formatCode>0.00</c:formatCode>
                <c:ptCount val="100"/>
                <c:pt idx="0">
                  <c:v>6.435</c:v>
                </c:pt>
                <c:pt idx="1">
                  <c:v>6.435</c:v>
                </c:pt>
                <c:pt idx="2">
                  <c:v>6.435</c:v>
                </c:pt>
                <c:pt idx="3">
                  <c:v>6.435</c:v>
                </c:pt>
                <c:pt idx="4">
                  <c:v>6.435</c:v>
                </c:pt>
                <c:pt idx="5">
                  <c:v>6.435</c:v>
                </c:pt>
                <c:pt idx="6">
                  <c:v>6.435</c:v>
                </c:pt>
                <c:pt idx="7">
                  <c:v>6.435</c:v>
                </c:pt>
                <c:pt idx="8">
                  <c:v>6.435</c:v>
                </c:pt>
                <c:pt idx="9">
                  <c:v>6.435</c:v>
                </c:pt>
                <c:pt idx="10">
                  <c:v>6.435</c:v>
                </c:pt>
                <c:pt idx="11">
                  <c:v>6.435</c:v>
                </c:pt>
                <c:pt idx="12">
                  <c:v>6.435</c:v>
                </c:pt>
                <c:pt idx="13">
                  <c:v>6.435</c:v>
                </c:pt>
                <c:pt idx="14">
                  <c:v>6.435</c:v>
                </c:pt>
                <c:pt idx="15">
                  <c:v>6.435</c:v>
                </c:pt>
                <c:pt idx="16">
                  <c:v>6.435</c:v>
                </c:pt>
                <c:pt idx="17">
                  <c:v>6.435</c:v>
                </c:pt>
                <c:pt idx="18">
                  <c:v>6.435</c:v>
                </c:pt>
                <c:pt idx="19">
                  <c:v>6.435</c:v>
                </c:pt>
                <c:pt idx="20">
                  <c:v>6.435</c:v>
                </c:pt>
                <c:pt idx="21">
                  <c:v>6.435</c:v>
                </c:pt>
                <c:pt idx="22">
                  <c:v>6.435</c:v>
                </c:pt>
                <c:pt idx="23">
                  <c:v>6.435</c:v>
                </c:pt>
                <c:pt idx="24">
                  <c:v>6.435</c:v>
                </c:pt>
                <c:pt idx="25">
                  <c:v>6.435</c:v>
                </c:pt>
                <c:pt idx="26">
                  <c:v>6.435</c:v>
                </c:pt>
                <c:pt idx="27">
                  <c:v>6.435</c:v>
                </c:pt>
                <c:pt idx="28">
                  <c:v>6.435</c:v>
                </c:pt>
                <c:pt idx="29">
                  <c:v>6.435</c:v>
                </c:pt>
                <c:pt idx="30">
                  <c:v>6.435</c:v>
                </c:pt>
                <c:pt idx="31">
                  <c:v>6.435</c:v>
                </c:pt>
                <c:pt idx="32">
                  <c:v>6.435</c:v>
                </c:pt>
                <c:pt idx="33">
                  <c:v>6.435</c:v>
                </c:pt>
                <c:pt idx="34">
                  <c:v>6.435</c:v>
                </c:pt>
                <c:pt idx="35">
                  <c:v>6.435</c:v>
                </c:pt>
                <c:pt idx="36">
                  <c:v>6.435</c:v>
                </c:pt>
                <c:pt idx="37">
                  <c:v>6.435</c:v>
                </c:pt>
                <c:pt idx="38">
                  <c:v>6.435</c:v>
                </c:pt>
                <c:pt idx="39">
                  <c:v>6.435</c:v>
                </c:pt>
                <c:pt idx="40">
                  <c:v>6.435</c:v>
                </c:pt>
                <c:pt idx="41">
                  <c:v>6.435</c:v>
                </c:pt>
                <c:pt idx="42">
                  <c:v>6.435</c:v>
                </c:pt>
                <c:pt idx="43">
                  <c:v>6.435</c:v>
                </c:pt>
                <c:pt idx="44">
                  <c:v>6.435</c:v>
                </c:pt>
                <c:pt idx="45">
                  <c:v>6.435</c:v>
                </c:pt>
                <c:pt idx="46">
                  <c:v>6.435</c:v>
                </c:pt>
                <c:pt idx="47">
                  <c:v>6.435</c:v>
                </c:pt>
                <c:pt idx="48">
                  <c:v>6.435</c:v>
                </c:pt>
                <c:pt idx="49">
                  <c:v>6.435</c:v>
                </c:pt>
                <c:pt idx="50">
                  <c:v>6.435</c:v>
                </c:pt>
                <c:pt idx="51">
                  <c:v>6.435</c:v>
                </c:pt>
                <c:pt idx="52">
                  <c:v>6.435</c:v>
                </c:pt>
                <c:pt idx="53">
                  <c:v>6.435</c:v>
                </c:pt>
                <c:pt idx="54">
                  <c:v>6.435</c:v>
                </c:pt>
                <c:pt idx="55">
                  <c:v>6.435</c:v>
                </c:pt>
                <c:pt idx="56">
                  <c:v>6.435</c:v>
                </c:pt>
                <c:pt idx="57">
                  <c:v>6.435</c:v>
                </c:pt>
                <c:pt idx="58">
                  <c:v>6.435</c:v>
                </c:pt>
                <c:pt idx="59">
                  <c:v>6.435</c:v>
                </c:pt>
                <c:pt idx="60">
                  <c:v>6.435</c:v>
                </c:pt>
                <c:pt idx="61">
                  <c:v>6.435</c:v>
                </c:pt>
                <c:pt idx="62">
                  <c:v>6.435</c:v>
                </c:pt>
                <c:pt idx="63">
                  <c:v>6.435</c:v>
                </c:pt>
                <c:pt idx="64">
                  <c:v>6.435</c:v>
                </c:pt>
                <c:pt idx="65">
                  <c:v>6.435</c:v>
                </c:pt>
                <c:pt idx="66">
                  <c:v>6.435</c:v>
                </c:pt>
                <c:pt idx="67">
                  <c:v>6.435</c:v>
                </c:pt>
                <c:pt idx="68">
                  <c:v>6.435</c:v>
                </c:pt>
                <c:pt idx="69">
                  <c:v>6.435</c:v>
                </c:pt>
                <c:pt idx="70">
                  <c:v>6.435</c:v>
                </c:pt>
                <c:pt idx="71">
                  <c:v>6.435</c:v>
                </c:pt>
                <c:pt idx="72">
                  <c:v>6.435</c:v>
                </c:pt>
                <c:pt idx="73">
                  <c:v>6.435</c:v>
                </c:pt>
                <c:pt idx="74">
                  <c:v>6.435</c:v>
                </c:pt>
                <c:pt idx="75">
                  <c:v>6.435</c:v>
                </c:pt>
                <c:pt idx="76">
                  <c:v>6.435</c:v>
                </c:pt>
                <c:pt idx="77">
                  <c:v>6.435</c:v>
                </c:pt>
                <c:pt idx="78">
                  <c:v>6.435</c:v>
                </c:pt>
                <c:pt idx="79">
                  <c:v>6.435</c:v>
                </c:pt>
                <c:pt idx="80">
                  <c:v>6.435</c:v>
                </c:pt>
                <c:pt idx="81">
                  <c:v>6.435</c:v>
                </c:pt>
                <c:pt idx="82">
                  <c:v>6.435</c:v>
                </c:pt>
                <c:pt idx="83">
                  <c:v>6.435</c:v>
                </c:pt>
                <c:pt idx="84">
                  <c:v>6.435</c:v>
                </c:pt>
                <c:pt idx="85">
                  <c:v>6.435</c:v>
                </c:pt>
                <c:pt idx="86">
                  <c:v>6.435</c:v>
                </c:pt>
                <c:pt idx="87">
                  <c:v>6.435</c:v>
                </c:pt>
                <c:pt idx="88">
                  <c:v>6.435</c:v>
                </c:pt>
                <c:pt idx="89">
                  <c:v>6.435</c:v>
                </c:pt>
                <c:pt idx="90">
                  <c:v>6.435</c:v>
                </c:pt>
                <c:pt idx="91">
                  <c:v>6.435</c:v>
                </c:pt>
                <c:pt idx="92">
                  <c:v>6.435</c:v>
                </c:pt>
                <c:pt idx="93">
                  <c:v>6.435</c:v>
                </c:pt>
                <c:pt idx="94">
                  <c:v>6.435</c:v>
                </c:pt>
                <c:pt idx="95">
                  <c:v>6.435</c:v>
                </c:pt>
                <c:pt idx="96">
                  <c:v>6.435</c:v>
                </c:pt>
                <c:pt idx="97">
                  <c:v>6.435</c:v>
                </c:pt>
                <c:pt idx="98">
                  <c:v>6.435</c:v>
                </c:pt>
                <c:pt idx="99">
                  <c:v>6.435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6189764"/>
        <c:axId val="92715450"/>
      </c:lineChart>
      <c:catAx>
        <c:axId val="561897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715450"/>
        <c:crosses val="autoZero"/>
        <c:auto val="1"/>
        <c:lblAlgn val="ctr"/>
        <c:lblOffset val="100"/>
        <c:noMultiLvlLbl val="0"/>
      </c:catAx>
      <c:valAx>
        <c:axId val="92715450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1897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Carte des valeurs individuelles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E5_Y_avec!B1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1f3864"/>
            </a:solidFill>
            <a:ln w="19080">
              <a:solidFill>
                <a:srgbClr val="1f3864"/>
              </a:solidFill>
              <a:round/>
            </a:ln>
          </c:spPr>
          <c:marker>
            <c:symbol val="circle"/>
            <c:size val="6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E5_Y_avec!$A$2:$A$101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E5_Y_avec!$B$2:$B$101</c:f>
              <c:numCache>
                <c:formatCode>General</c:formatCode>
                <c:ptCount val="100"/>
                <c:pt idx="0">
                  <c:v>67</c:v>
                </c:pt>
                <c:pt idx="1">
                  <c:v>69</c:v>
                </c:pt>
                <c:pt idx="2">
                  <c:v>68</c:v>
                </c:pt>
                <c:pt idx="3">
                  <c:v>71</c:v>
                </c:pt>
                <c:pt idx="4">
                  <c:v>69</c:v>
                </c:pt>
                <c:pt idx="5">
                  <c:v>69</c:v>
                </c:pt>
                <c:pt idx="6">
                  <c:v>70</c:v>
                </c:pt>
                <c:pt idx="7">
                  <c:v>68</c:v>
                </c:pt>
                <c:pt idx="8">
                  <c:v>68</c:v>
                </c:pt>
                <c:pt idx="9">
                  <c:v>70</c:v>
                </c:pt>
                <c:pt idx="10">
                  <c:v>69</c:v>
                </c:pt>
                <c:pt idx="11">
                  <c:v>72</c:v>
                </c:pt>
                <c:pt idx="12">
                  <c:v>63</c:v>
                </c:pt>
                <c:pt idx="13">
                  <c:v>72</c:v>
                </c:pt>
                <c:pt idx="14">
                  <c:v>68</c:v>
                </c:pt>
                <c:pt idx="15">
                  <c:v>68</c:v>
                </c:pt>
                <c:pt idx="16">
                  <c:v>70</c:v>
                </c:pt>
                <c:pt idx="17">
                  <c:v>67</c:v>
                </c:pt>
                <c:pt idx="18">
                  <c:v>65</c:v>
                </c:pt>
                <c:pt idx="19">
                  <c:v>73</c:v>
                </c:pt>
                <c:pt idx="20">
                  <c:v>67</c:v>
                </c:pt>
                <c:pt idx="21">
                  <c:v>70</c:v>
                </c:pt>
                <c:pt idx="22">
                  <c:v>71</c:v>
                </c:pt>
                <c:pt idx="23">
                  <c:v>68</c:v>
                </c:pt>
                <c:pt idx="24">
                  <c:v>69</c:v>
                </c:pt>
                <c:pt idx="25">
                  <c:v>68</c:v>
                </c:pt>
                <c:pt idx="26">
                  <c:v>69</c:v>
                </c:pt>
                <c:pt idx="27">
                  <c:v>68</c:v>
                </c:pt>
                <c:pt idx="28">
                  <c:v>68</c:v>
                </c:pt>
                <c:pt idx="29">
                  <c:v>70</c:v>
                </c:pt>
                <c:pt idx="30">
                  <c:v>71</c:v>
                </c:pt>
                <c:pt idx="31">
                  <c:v>70</c:v>
                </c:pt>
                <c:pt idx="32">
                  <c:v>72</c:v>
                </c:pt>
                <c:pt idx="33">
                  <c:v>66</c:v>
                </c:pt>
                <c:pt idx="34">
                  <c:v>68</c:v>
                </c:pt>
                <c:pt idx="35">
                  <c:v>66</c:v>
                </c:pt>
                <c:pt idx="36">
                  <c:v>70</c:v>
                </c:pt>
                <c:pt idx="37">
                  <c:v>71</c:v>
                </c:pt>
                <c:pt idx="38">
                  <c:v>73</c:v>
                </c:pt>
                <c:pt idx="39">
                  <c:v>69</c:v>
                </c:pt>
                <c:pt idx="40">
                  <c:v>71</c:v>
                </c:pt>
                <c:pt idx="41">
                  <c:v>68</c:v>
                </c:pt>
                <c:pt idx="42">
                  <c:v>70</c:v>
                </c:pt>
                <c:pt idx="43">
                  <c:v>67</c:v>
                </c:pt>
                <c:pt idx="44">
                  <c:v>68</c:v>
                </c:pt>
                <c:pt idx="45">
                  <c:v>68</c:v>
                </c:pt>
                <c:pt idx="46">
                  <c:v>70</c:v>
                </c:pt>
                <c:pt idx="47">
                  <c:v>69</c:v>
                </c:pt>
                <c:pt idx="48">
                  <c:v>68</c:v>
                </c:pt>
                <c:pt idx="49">
                  <c:v>70</c:v>
                </c:pt>
                <c:pt idx="50">
                  <c:v>70</c:v>
                </c:pt>
                <c:pt idx="51">
                  <c:v>65</c:v>
                </c:pt>
                <c:pt idx="52">
                  <c:v>75</c:v>
                </c:pt>
                <c:pt idx="53">
                  <c:v>65</c:v>
                </c:pt>
                <c:pt idx="54">
                  <c:v>71</c:v>
                </c:pt>
                <c:pt idx="55">
                  <c:v>75</c:v>
                </c:pt>
                <c:pt idx="56">
                  <c:v>67</c:v>
                </c:pt>
                <c:pt idx="57">
                  <c:v>66</c:v>
                </c:pt>
                <c:pt idx="58">
                  <c:v>69</c:v>
                </c:pt>
                <c:pt idx="59">
                  <c:v>66</c:v>
                </c:pt>
                <c:pt idx="60">
                  <c:v>68</c:v>
                </c:pt>
                <c:pt idx="61">
                  <c:v>70</c:v>
                </c:pt>
                <c:pt idx="62">
                  <c:v>69</c:v>
                </c:pt>
                <c:pt idx="63">
                  <c:v>67</c:v>
                </c:pt>
                <c:pt idx="64">
                  <c:v>68</c:v>
                </c:pt>
                <c:pt idx="65">
                  <c:v>69</c:v>
                </c:pt>
                <c:pt idx="66">
                  <c:v>72</c:v>
                </c:pt>
                <c:pt idx="67">
                  <c:v>66</c:v>
                </c:pt>
                <c:pt idx="68">
                  <c:v>71</c:v>
                </c:pt>
                <c:pt idx="69">
                  <c:v>72</c:v>
                </c:pt>
                <c:pt idx="70">
                  <c:v>64</c:v>
                </c:pt>
                <c:pt idx="71">
                  <c:v>74</c:v>
                </c:pt>
                <c:pt idx="72">
                  <c:v>66</c:v>
                </c:pt>
                <c:pt idx="73">
                  <c:v>72</c:v>
                </c:pt>
                <c:pt idx="74">
                  <c:v>68</c:v>
                </c:pt>
                <c:pt idx="75">
                  <c:v>65</c:v>
                </c:pt>
                <c:pt idx="76">
                  <c:v>71</c:v>
                </c:pt>
                <c:pt idx="77">
                  <c:v>69</c:v>
                </c:pt>
                <c:pt idx="78">
                  <c:v>69</c:v>
                </c:pt>
                <c:pt idx="79">
                  <c:v>74</c:v>
                </c:pt>
                <c:pt idx="80">
                  <c:v>66</c:v>
                </c:pt>
                <c:pt idx="81">
                  <c:v>70</c:v>
                </c:pt>
                <c:pt idx="82">
                  <c:v>72</c:v>
                </c:pt>
                <c:pt idx="83">
                  <c:v>66</c:v>
                </c:pt>
                <c:pt idx="84">
                  <c:v>64</c:v>
                </c:pt>
                <c:pt idx="85">
                  <c:v>72</c:v>
                </c:pt>
                <c:pt idx="86">
                  <c:v>71</c:v>
                </c:pt>
                <c:pt idx="87">
                  <c:v>70</c:v>
                </c:pt>
                <c:pt idx="88">
                  <c:v>72</c:v>
                </c:pt>
                <c:pt idx="89">
                  <c:v>69</c:v>
                </c:pt>
                <c:pt idx="90">
                  <c:v>71</c:v>
                </c:pt>
                <c:pt idx="91">
                  <c:v>66</c:v>
                </c:pt>
                <c:pt idx="92">
                  <c:v>70</c:v>
                </c:pt>
                <c:pt idx="93">
                  <c:v>70</c:v>
                </c:pt>
                <c:pt idx="94">
                  <c:v>69</c:v>
                </c:pt>
                <c:pt idx="95">
                  <c:v>73</c:v>
                </c:pt>
                <c:pt idx="96">
                  <c:v>69</c:v>
                </c:pt>
                <c:pt idx="97">
                  <c:v>67</c:v>
                </c:pt>
                <c:pt idx="98">
                  <c:v>68</c:v>
                </c:pt>
                <c:pt idx="99">
                  <c:v>68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E5_Y_avec!D1</c:f>
              <c:strCache>
                <c:ptCount val="1"/>
                <c:pt idx="0">
                  <c:v>LC</c:v>
                </c:pt>
              </c:strCache>
            </c:strRef>
          </c:tx>
          <c:spPr>
            <a:solidFill>
              <a:srgbClr val="1f3864"/>
            </a:solidFill>
            <a:ln w="15840">
              <a:solidFill>
                <a:srgbClr val="1f3864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E5_Y_avec!$A$2:$A$101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E5_Y_avec!$D$2:$D$101</c:f>
              <c:numCache>
                <c:formatCode>0.00</c:formatCode>
                <c:ptCount val="100"/>
                <c:pt idx="0">
                  <c:v>69.05</c:v>
                </c:pt>
                <c:pt idx="1">
                  <c:v>69.05</c:v>
                </c:pt>
                <c:pt idx="2">
                  <c:v>69.05</c:v>
                </c:pt>
                <c:pt idx="3">
                  <c:v>69.05</c:v>
                </c:pt>
                <c:pt idx="4">
                  <c:v>69.05</c:v>
                </c:pt>
                <c:pt idx="5">
                  <c:v>69.05</c:v>
                </c:pt>
                <c:pt idx="6">
                  <c:v>69.05</c:v>
                </c:pt>
                <c:pt idx="7">
                  <c:v>69.05</c:v>
                </c:pt>
                <c:pt idx="8">
                  <c:v>69.05</c:v>
                </c:pt>
                <c:pt idx="9">
                  <c:v>69.05</c:v>
                </c:pt>
                <c:pt idx="10">
                  <c:v>69.05</c:v>
                </c:pt>
                <c:pt idx="11">
                  <c:v>69.05</c:v>
                </c:pt>
                <c:pt idx="12">
                  <c:v>69.05</c:v>
                </c:pt>
                <c:pt idx="13">
                  <c:v>69.05</c:v>
                </c:pt>
                <c:pt idx="14">
                  <c:v>69.05</c:v>
                </c:pt>
                <c:pt idx="15">
                  <c:v>69.05</c:v>
                </c:pt>
                <c:pt idx="16">
                  <c:v>69.05</c:v>
                </c:pt>
                <c:pt idx="17">
                  <c:v>69.05</c:v>
                </c:pt>
                <c:pt idx="18">
                  <c:v>69.05</c:v>
                </c:pt>
                <c:pt idx="19">
                  <c:v>69.05</c:v>
                </c:pt>
                <c:pt idx="20">
                  <c:v>69.05</c:v>
                </c:pt>
                <c:pt idx="21">
                  <c:v>69.05</c:v>
                </c:pt>
                <c:pt idx="22">
                  <c:v>69.05</c:v>
                </c:pt>
                <c:pt idx="23">
                  <c:v>69.05</c:v>
                </c:pt>
                <c:pt idx="24">
                  <c:v>69.05</c:v>
                </c:pt>
                <c:pt idx="25">
                  <c:v>69.05</c:v>
                </c:pt>
                <c:pt idx="26">
                  <c:v>69.05</c:v>
                </c:pt>
                <c:pt idx="27">
                  <c:v>69.05</c:v>
                </c:pt>
                <c:pt idx="28">
                  <c:v>69.05</c:v>
                </c:pt>
                <c:pt idx="29">
                  <c:v>69.05</c:v>
                </c:pt>
                <c:pt idx="30">
                  <c:v>69.05</c:v>
                </c:pt>
                <c:pt idx="31">
                  <c:v>69.05</c:v>
                </c:pt>
                <c:pt idx="32">
                  <c:v>69.05</c:v>
                </c:pt>
                <c:pt idx="33">
                  <c:v>69.05</c:v>
                </c:pt>
                <c:pt idx="34">
                  <c:v>69.05</c:v>
                </c:pt>
                <c:pt idx="35">
                  <c:v>69.05</c:v>
                </c:pt>
                <c:pt idx="36">
                  <c:v>69.05</c:v>
                </c:pt>
                <c:pt idx="37">
                  <c:v>69.05</c:v>
                </c:pt>
                <c:pt idx="38">
                  <c:v>69.05</c:v>
                </c:pt>
                <c:pt idx="39">
                  <c:v>69.05</c:v>
                </c:pt>
                <c:pt idx="40">
                  <c:v>69.05</c:v>
                </c:pt>
                <c:pt idx="41">
                  <c:v>69.05</c:v>
                </c:pt>
                <c:pt idx="42">
                  <c:v>69.05</c:v>
                </c:pt>
                <c:pt idx="43">
                  <c:v>69.05</c:v>
                </c:pt>
                <c:pt idx="44">
                  <c:v>69.05</c:v>
                </c:pt>
                <c:pt idx="45">
                  <c:v>69.05</c:v>
                </c:pt>
                <c:pt idx="46">
                  <c:v>69.05</c:v>
                </c:pt>
                <c:pt idx="47">
                  <c:v>69.05</c:v>
                </c:pt>
                <c:pt idx="48">
                  <c:v>69.05</c:v>
                </c:pt>
                <c:pt idx="49">
                  <c:v>69.05</c:v>
                </c:pt>
                <c:pt idx="50">
                  <c:v>69.05</c:v>
                </c:pt>
                <c:pt idx="51">
                  <c:v>69.05</c:v>
                </c:pt>
                <c:pt idx="52">
                  <c:v>69.05</c:v>
                </c:pt>
                <c:pt idx="53">
                  <c:v>69.05</c:v>
                </c:pt>
                <c:pt idx="54">
                  <c:v>69.05</c:v>
                </c:pt>
                <c:pt idx="55">
                  <c:v>69.05</c:v>
                </c:pt>
                <c:pt idx="56">
                  <c:v>69.05</c:v>
                </c:pt>
                <c:pt idx="57">
                  <c:v>69.05</c:v>
                </c:pt>
                <c:pt idx="58">
                  <c:v>69.05</c:v>
                </c:pt>
                <c:pt idx="59">
                  <c:v>69.05</c:v>
                </c:pt>
                <c:pt idx="60">
                  <c:v>69.05</c:v>
                </c:pt>
                <c:pt idx="61">
                  <c:v>69.05</c:v>
                </c:pt>
                <c:pt idx="62">
                  <c:v>69.05</c:v>
                </c:pt>
                <c:pt idx="63">
                  <c:v>69.05</c:v>
                </c:pt>
                <c:pt idx="64">
                  <c:v>69.05</c:v>
                </c:pt>
                <c:pt idx="65">
                  <c:v>69.05</c:v>
                </c:pt>
                <c:pt idx="66">
                  <c:v>69.05</c:v>
                </c:pt>
                <c:pt idx="67">
                  <c:v>69.05</c:v>
                </c:pt>
                <c:pt idx="68">
                  <c:v>69.05</c:v>
                </c:pt>
                <c:pt idx="69">
                  <c:v>69.05</c:v>
                </c:pt>
                <c:pt idx="70">
                  <c:v>69.05</c:v>
                </c:pt>
                <c:pt idx="71">
                  <c:v>69.05</c:v>
                </c:pt>
                <c:pt idx="72">
                  <c:v>69.05</c:v>
                </c:pt>
                <c:pt idx="73">
                  <c:v>69.05</c:v>
                </c:pt>
                <c:pt idx="74">
                  <c:v>69.05</c:v>
                </c:pt>
                <c:pt idx="75">
                  <c:v>69.05</c:v>
                </c:pt>
                <c:pt idx="76">
                  <c:v>69.05</c:v>
                </c:pt>
                <c:pt idx="77">
                  <c:v>69.05</c:v>
                </c:pt>
                <c:pt idx="78">
                  <c:v>69.05</c:v>
                </c:pt>
                <c:pt idx="79">
                  <c:v>69.05</c:v>
                </c:pt>
                <c:pt idx="80">
                  <c:v>69.05</c:v>
                </c:pt>
                <c:pt idx="81">
                  <c:v>69.05</c:v>
                </c:pt>
                <c:pt idx="82">
                  <c:v>69.05</c:v>
                </c:pt>
                <c:pt idx="83">
                  <c:v>69.05</c:v>
                </c:pt>
                <c:pt idx="84">
                  <c:v>69.05</c:v>
                </c:pt>
                <c:pt idx="85">
                  <c:v>69.05</c:v>
                </c:pt>
                <c:pt idx="86">
                  <c:v>69.05</c:v>
                </c:pt>
                <c:pt idx="87">
                  <c:v>69.05</c:v>
                </c:pt>
                <c:pt idx="88">
                  <c:v>69.05</c:v>
                </c:pt>
                <c:pt idx="89">
                  <c:v>69.05</c:v>
                </c:pt>
                <c:pt idx="90">
                  <c:v>69.05</c:v>
                </c:pt>
                <c:pt idx="91">
                  <c:v>69.05</c:v>
                </c:pt>
                <c:pt idx="92">
                  <c:v>69.05</c:v>
                </c:pt>
                <c:pt idx="93">
                  <c:v>69.05</c:v>
                </c:pt>
                <c:pt idx="94">
                  <c:v>69.05</c:v>
                </c:pt>
                <c:pt idx="95">
                  <c:v>69.05</c:v>
                </c:pt>
                <c:pt idx="96">
                  <c:v>69.05</c:v>
                </c:pt>
                <c:pt idx="97">
                  <c:v>69.05</c:v>
                </c:pt>
                <c:pt idx="98">
                  <c:v>69.05</c:v>
                </c:pt>
                <c:pt idx="99">
                  <c:v>69.05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E5_Y_avec!E1</c:f>
              <c:strCache>
                <c:ptCount val="1"/>
                <c:pt idx="0">
                  <c:v>LCS</c:v>
                </c:pt>
              </c:strCache>
            </c:strRef>
          </c:tx>
          <c:spPr>
            <a:solidFill>
              <a:srgbClr val="c00000"/>
            </a:solidFill>
            <a:ln w="158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E5_Y_avec!$A$2:$A$101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E5_Y_avec!$E$2:$E$101</c:f>
              <c:numCache>
                <c:formatCode>0.00</c:formatCode>
                <c:ptCount val="100"/>
                <c:pt idx="0">
                  <c:v>77.1374747474747</c:v>
                </c:pt>
                <c:pt idx="1">
                  <c:v>77.1374747474747</c:v>
                </c:pt>
                <c:pt idx="2">
                  <c:v>77.1374747474747</c:v>
                </c:pt>
                <c:pt idx="3">
                  <c:v>77.1374747474747</c:v>
                </c:pt>
                <c:pt idx="4">
                  <c:v>77.1374747474747</c:v>
                </c:pt>
                <c:pt idx="5">
                  <c:v>77.1374747474747</c:v>
                </c:pt>
                <c:pt idx="6">
                  <c:v>77.1374747474747</c:v>
                </c:pt>
                <c:pt idx="7">
                  <c:v>77.1374747474747</c:v>
                </c:pt>
                <c:pt idx="8">
                  <c:v>77.1374747474747</c:v>
                </c:pt>
                <c:pt idx="9">
                  <c:v>77.1374747474747</c:v>
                </c:pt>
                <c:pt idx="10">
                  <c:v>77.1374747474747</c:v>
                </c:pt>
                <c:pt idx="11">
                  <c:v>77.1374747474747</c:v>
                </c:pt>
                <c:pt idx="12">
                  <c:v>77.1374747474747</c:v>
                </c:pt>
                <c:pt idx="13">
                  <c:v>77.1374747474747</c:v>
                </c:pt>
                <c:pt idx="14">
                  <c:v>77.1374747474747</c:v>
                </c:pt>
                <c:pt idx="15">
                  <c:v>77.1374747474747</c:v>
                </c:pt>
                <c:pt idx="16">
                  <c:v>77.1374747474747</c:v>
                </c:pt>
                <c:pt idx="17">
                  <c:v>77.1374747474747</c:v>
                </c:pt>
                <c:pt idx="18">
                  <c:v>77.1374747474747</c:v>
                </c:pt>
                <c:pt idx="19">
                  <c:v>77.1374747474747</c:v>
                </c:pt>
                <c:pt idx="20">
                  <c:v>77.1374747474747</c:v>
                </c:pt>
                <c:pt idx="21">
                  <c:v>77.1374747474747</c:v>
                </c:pt>
                <c:pt idx="22">
                  <c:v>77.1374747474747</c:v>
                </c:pt>
                <c:pt idx="23">
                  <c:v>77.1374747474747</c:v>
                </c:pt>
                <c:pt idx="24">
                  <c:v>77.1374747474747</c:v>
                </c:pt>
                <c:pt idx="25">
                  <c:v>77.1374747474747</c:v>
                </c:pt>
                <c:pt idx="26">
                  <c:v>77.1374747474747</c:v>
                </c:pt>
                <c:pt idx="27">
                  <c:v>77.1374747474747</c:v>
                </c:pt>
                <c:pt idx="28">
                  <c:v>77.1374747474747</c:v>
                </c:pt>
                <c:pt idx="29">
                  <c:v>77.1374747474747</c:v>
                </c:pt>
                <c:pt idx="30">
                  <c:v>77.1374747474747</c:v>
                </c:pt>
                <c:pt idx="31">
                  <c:v>77.1374747474747</c:v>
                </c:pt>
                <c:pt idx="32">
                  <c:v>77.1374747474747</c:v>
                </c:pt>
                <c:pt idx="33">
                  <c:v>77.1374747474747</c:v>
                </c:pt>
                <c:pt idx="34">
                  <c:v>77.1374747474747</c:v>
                </c:pt>
                <c:pt idx="35">
                  <c:v>77.1374747474747</c:v>
                </c:pt>
                <c:pt idx="36">
                  <c:v>77.1374747474747</c:v>
                </c:pt>
                <c:pt idx="37">
                  <c:v>77.1374747474747</c:v>
                </c:pt>
                <c:pt idx="38">
                  <c:v>77.1374747474747</c:v>
                </c:pt>
                <c:pt idx="39">
                  <c:v>77.1374747474747</c:v>
                </c:pt>
                <c:pt idx="40">
                  <c:v>77.1374747474747</c:v>
                </c:pt>
                <c:pt idx="41">
                  <c:v>77.1374747474747</c:v>
                </c:pt>
                <c:pt idx="42">
                  <c:v>77.1374747474747</c:v>
                </c:pt>
                <c:pt idx="43">
                  <c:v>77.1374747474747</c:v>
                </c:pt>
                <c:pt idx="44">
                  <c:v>77.1374747474747</c:v>
                </c:pt>
                <c:pt idx="45">
                  <c:v>77.1374747474747</c:v>
                </c:pt>
                <c:pt idx="46">
                  <c:v>77.1374747474747</c:v>
                </c:pt>
                <c:pt idx="47">
                  <c:v>77.1374747474747</c:v>
                </c:pt>
                <c:pt idx="48">
                  <c:v>77.1374747474747</c:v>
                </c:pt>
                <c:pt idx="49">
                  <c:v>77.1374747474747</c:v>
                </c:pt>
                <c:pt idx="50">
                  <c:v>77.1374747474747</c:v>
                </c:pt>
                <c:pt idx="51">
                  <c:v>77.1374747474747</c:v>
                </c:pt>
                <c:pt idx="52">
                  <c:v>77.1374747474747</c:v>
                </c:pt>
                <c:pt idx="53">
                  <c:v>77.1374747474747</c:v>
                </c:pt>
                <c:pt idx="54">
                  <c:v>77.1374747474747</c:v>
                </c:pt>
                <c:pt idx="55">
                  <c:v>77.1374747474747</c:v>
                </c:pt>
                <c:pt idx="56">
                  <c:v>77.1374747474747</c:v>
                </c:pt>
                <c:pt idx="57">
                  <c:v>77.1374747474747</c:v>
                </c:pt>
                <c:pt idx="58">
                  <c:v>77.1374747474747</c:v>
                </c:pt>
                <c:pt idx="59">
                  <c:v>77.1374747474747</c:v>
                </c:pt>
                <c:pt idx="60">
                  <c:v>77.1374747474747</c:v>
                </c:pt>
                <c:pt idx="61">
                  <c:v>77.1374747474747</c:v>
                </c:pt>
                <c:pt idx="62">
                  <c:v>77.1374747474747</c:v>
                </c:pt>
                <c:pt idx="63">
                  <c:v>77.1374747474747</c:v>
                </c:pt>
                <c:pt idx="64">
                  <c:v>77.1374747474747</c:v>
                </c:pt>
                <c:pt idx="65">
                  <c:v>77.1374747474747</c:v>
                </c:pt>
                <c:pt idx="66">
                  <c:v>77.1374747474747</c:v>
                </c:pt>
                <c:pt idx="67">
                  <c:v>77.1374747474747</c:v>
                </c:pt>
                <c:pt idx="68">
                  <c:v>77.1374747474747</c:v>
                </c:pt>
                <c:pt idx="69">
                  <c:v>77.1374747474747</c:v>
                </c:pt>
                <c:pt idx="70">
                  <c:v>77.1374747474747</c:v>
                </c:pt>
                <c:pt idx="71">
                  <c:v>77.1374747474747</c:v>
                </c:pt>
                <c:pt idx="72">
                  <c:v>77.1374747474747</c:v>
                </c:pt>
                <c:pt idx="73">
                  <c:v>77.1374747474747</c:v>
                </c:pt>
                <c:pt idx="74">
                  <c:v>77.1374747474747</c:v>
                </c:pt>
                <c:pt idx="75">
                  <c:v>77.1374747474747</c:v>
                </c:pt>
                <c:pt idx="76">
                  <c:v>77.1374747474747</c:v>
                </c:pt>
                <c:pt idx="77">
                  <c:v>77.1374747474747</c:v>
                </c:pt>
                <c:pt idx="78">
                  <c:v>77.1374747474747</c:v>
                </c:pt>
                <c:pt idx="79">
                  <c:v>77.1374747474747</c:v>
                </c:pt>
                <c:pt idx="80">
                  <c:v>77.1374747474747</c:v>
                </c:pt>
                <c:pt idx="81">
                  <c:v>77.1374747474747</c:v>
                </c:pt>
                <c:pt idx="82">
                  <c:v>77.1374747474747</c:v>
                </c:pt>
                <c:pt idx="83">
                  <c:v>77.1374747474747</c:v>
                </c:pt>
                <c:pt idx="84">
                  <c:v>77.1374747474747</c:v>
                </c:pt>
                <c:pt idx="85">
                  <c:v>77.1374747474747</c:v>
                </c:pt>
                <c:pt idx="86">
                  <c:v>77.1374747474747</c:v>
                </c:pt>
                <c:pt idx="87">
                  <c:v>77.1374747474747</c:v>
                </c:pt>
                <c:pt idx="88">
                  <c:v>77.1374747474747</c:v>
                </c:pt>
                <c:pt idx="89">
                  <c:v>77.1374747474747</c:v>
                </c:pt>
                <c:pt idx="90">
                  <c:v>77.1374747474747</c:v>
                </c:pt>
                <c:pt idx="91">
                  <c:v>77.1374747474747</c:v>
                </c:pt>
                <c:pt idx="92">
                  <c:v>77.1374747474747</c:v>
                </c:pt>
                <c:pt idx="93">
                  <c:v>77.1374747474747</c:v>
                </c:pt>
                <c:pt idx="94">
                  <c:v>77.1374747474747</c:v>
                </c:pt>
                <c:pt idx="95">
                  <c:v>77.1374747474747</c:v>
                </c:pt>
                <c:pt idx="96">
                  <c:v>77.1374747474747</c:v>
                </c:pt>
                <c:pt idx="97">
                  <c:v>77.1374747474747</c:v>
                </c:pt>
                <c:pt idx="98">
                  <c:v>77.1374747474747</c:v>
                </c:pt>
                <c:pt idx="99">
                  <c:v>77.1374747474747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E5_Y_avec!F1</c:f>
              <c:strCache>
                <c:ptCount val="1"/>
                <c:pt idx="0">
                  <c:v>LCI</c:v>
                </c:pt>
              </c:strCache>
            </c:strRef>
          </c:tx>
          <c:spPr>
            <a:solidFill>
              <a:srgbClr val="c00000"/>
            </a:solidFill>
            <a:ln w="158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E5_Y_avec!$A$2:$A$101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E5_Y_avec!$F$2:$F$101</c:f>
              <c:numCache>
                <c:formatCode>0.00</c:formatCode>
                <c:ptCount val="100"/>
                <c:pt idx="0">
                  <c:v>60.9625252525253</c:v>
                </c:pt>
                <c:pt idx="1">
                  <c:v>60.9625252525253</c:v>
                </c:pt>
                <c:pt idx="2">
                  <c:v>60.9625252525253</c:v>
                </c:pt>
                <c:pt idx="3">
                  <c:v>60.9625252525253</c:v>
                </c:pt>
                <c:pt idx="4">
                  <c:v>60.9625252525253</c:v>
                </c:pt>
                <c:pt idx="5">
                  <c:v>60.9625252525253</c:v>
                </c:pt>
                <c:pt idx="6">
                  <c:v>60.9625252525253</c:v>
                </c:pt>
                <c:pt idx="7">
                  <c:v>60.9625252525253</c:v>
                </c:pt>
                <c:pt idx="8">
                  <c:v>60.9625252525253</c:v>
                </c:pt>
                <c:pt idx="9">
                  <c:v>60.9625252525253</c:v>
                </c:pt>
                <c:pt idx="10">
                  <c:v>60.9625252525253</c:v>
                </c:pt>
                <c:pt idx="11">
                  <c:v>60.9625252525253</c:v>
                </c:pt>
                <c:pt idx="12">
                  <c:v>60.9625252525253</c:v>
                </c:pt>
                <c:pt idx="13">
                  <c:v>60.9625252525253</c:v>
                </c:pt>
                <c:pt idx="14">
                  <c:v>60.9625252525253</c:v>
                </c:pt>
                <c:pt idx="15">
                  <c:v>60.9625252525253</c:v>
                </c:pt>
                <c:pt idx="16">
                  <c:v>60.9625252525253</c:v>
                </c:pt>
                <c:pt idx="17">
                  <c:v>60.9625252525253</c:v>
                </c:pt>
                <c:pt idx="18">
                  <c:v>60.9625252525253</c:v>
                </c:pt>
                <c:pt idx="19">
                  <c:v>60.9625252525253</c:v>
                </c:pt>
                <c:pt idx="20">
                  <c:v>60.9625252525253</c:v>
                </c:pt>
                <c:pt idx="21">
                  <c:v>60.9625252525253</c:v>
                </c:pt>
                <c:pt idx="22">
                  <c:v>60.9625252525253</c:v>
                </c:pt>
                <c:pt idx="23">
                  <c:v>60.9625252525253</c:v>
                </c:pt>
                <c:pt idx="24">
                  <c:v>60.9625252525253</c:v>
                </c:pt>
                <c:pt idx="25">
                  <c:v>60.9625252525253</c:v>
                </c:pt>
                <c:pt idx="26">
                  <c:v>60.9625252525253</c:v>
                </c:pt>
                <c:pt idx="27">
                  <c:v>60.9625252525253</c:v>
                </c:pt>
                <c:pt idx="28">
                  <c:v>60.9625252525253</c:v>
                </c:pt>
                <c:pt idx="29">
                  <c:v>60.9625252525253</c:v>
                </c:pt>
                <c:pt idx="30">
                  <c:v>60.9625252525253</c:v>
                </c:pt>
                <c:pt idx="31">
                  <c:v>60.9625252525253</c:v>
                </c:pt>
                <c:pt idx="32">
                  <c:v>60.9625252525253</c:v>
                </c:pt>
                <c:pt idx="33">
                  <c:v>60.9625252525253</c:v>
                </c:pt>
                <c:pt idx="34">
                  <c:v>60.9625252525253</c:v>
                </c:pt>
                <c:pt idx="35">
                  <c:v>60.9625252525253</c:v>
                </c:pt>
                <c:pt idx="36">
                  <c:v>60.9625252525253</c:v>
                </c:pt>
                <c:pt idx="37">
                  <c:v>60.9625252525253</c:v>
                </c:pt>
                <c:pt idx="38">
                  <c:v>60.9625252525253</c:v>
                </c:pt>
                <c:pt idx="39">
                  <c:v>60.9625252525253</c:v>
                </c:pt>
                <c:pt idx="40">
                  <c:v>60.9625252525253</c:v>
                </c:pt>
                <c:pt idx="41">
                  <c:v>60.9625252525253</c:v>
                </c:pt>
                <c:pt idx="42">
                  <c:v>60.9625252525253</c:v>
                </c:pt>
                <c:pt idx="43">
                  <c:v>60.9625252525253</c:v>
                </c:pt>
                <c:pt idx="44">
                  <c:v>60.9625252525253</c:v>
                </c:pt>
                <c:pt idx="45">
                  <c:v>60.9625252525253</c:v>
                </c:pt>
                <c:pt idx="46">
                  <c:v>60.9625252525253</c:v>
                </c:pt>
                <c:pt idx="47">
                  <c:v>60.9625252525253</c:v>
                </c:pt>
                <c:pt idx="48">
                  <c:v>60.9625252525253</c:v>
                </c:pt>
                <c:pt idx="49">
                  <c:v>60.9625252525253</c:v>
                </c:pt>
                <c:pt idx="50">
                  <c:v>60.9625252525253</c:v>
                </c:pt>
                <c:pt idx="51">
                  <c:v>60.9625252525253</c:v>
                </c:pt>
                <c:pt idx="52">
                  <c:v>60.9625252525253</c:v>
                </c:pt>
                <c:pt idx="53">
                  <c:v>60.9625252525253</c:v>
                </c:pt>
                <c:pt idx="54">
                  <c:v>60.9625252525253</c:v>
                </c:pt>
                <c:pt idx="55">
                  <c:v>60.9625252525253</c:v>
                </c:pt>
                <c:pt idx="56">
                  <c:v>60.9625252525253</c:v>
                </c:pt>
                <c:pt idx="57">
                  <c:v>60.9625252525253</c:v>
                </c:pt>
                <c:pt idx="58">
                  <c:v>60.9625252525253</c:v>
                </c:pt>
                <c:pt idx="59">
                  <c:v>60.9625252525253</c:v>
                </c:pt>
                <c:pt idx="60">
                  <c:v>60.9625252525253</c:v>
                </c:pt>
                <c:pt idx="61">
                  <c:v>60.9625252525253</c:v>
                </c:pt>
                <c:pt idx="62">
                  <c:v>60.9625252525253</c:v>
                </c:pt>
                <c:pt idx="63">
                  <c:v>60.9625252525253</c:v>
                </c:pt>
                <c:pt idx="64">
                  <c:v>60.9625252525253</c:v>
                </c:pt>
                <c:pt idx="65">
                  <c:v>60.9625252525253</c:v>
                </c:pt>
                <c:pt idx="66">
                  <c:v>60.9625252525253</c:v>
                </c:pt>
                <c:pt idx="67">
                  <c:v>60.9625252525253</c:v>
                </c:pt>
                <c:pt idx="68">
                  <c:v>60.9625252525253</c:v>
                </c:pt>
                <c:pt idx="69">
                  <c:v>60.9625252525253</c:v>
                </c:pt>
                <c:pt idx="70">
                  <c:v>60.9625252525253</c:v>
                </c:pt>
                <c:pt idx="71">
                  <c:v>60.9625252525253</c:v>
                </c:pt>
                <c:pt idx="72">
                  <c:v>60.9625252525253</c:v>
                </c:pt>
                <c:pt idx="73">
                  <c:v>60.9625252525253</c:v>
                </c:pt>
                <c:pt idx="74">
                  <c:v>60.9625252525253</c:v>
                </c:pt>
                <c:pt idx="75">
                  <c:v>60.9625252525253</c:v>
                </c:pt>
                <c:pt idx="76">
                  <c:v>60.9625252525253</c:v>
                </c:pt>
                <c:pt idx="77">
                  <c:v>60.9625252525253</c:v>
                </c:pt>
                <c:pt idx="78">
                  <c:v>60.9625252525253</c:v>
                </c:pt>
                <c:pt idx="79">
                  <c:v>60.9625252525253</c:v>
                </c:pt>
                <c:pt idx="80">
                  <c:v>60.9625252525253</c:v>
                </c:pt>
                <c:pt idx="81">
                  <c:v>60.9625252525253</c:v>
                </c:pt>
                <c:pt idx="82">
                  <c:v>60.9625252525253</c:v>
                </c:pt>
                <c:pt idx="83">
                  <c:v>60.9625252525253</c:v>
                </c:pt>
                <c:pt idx="84">
                  <c:v>60.9625252525253</c:v>
                </c:pt>
                <c:pt idx="85">
                  <c:v>60.9625252525253</c:v>
                </c:pt>
                <c:pt idx="86">
                  <c:v>60.9625252525253</c:v>
                </c:pt>
                <c:pt idx="87">
                  <c:v>60.9625252525253</c:v>
                </c:pt>
                <c:pt idx="88">
                  <c:v>60.9625252525253</c:v>
                </c:pt>
                <c:pt idx="89">
                  <c:v>60.9625252525253</c:v>
                </c:pt>
                <c:pt idx="90">
                  <c:v>60.9625252525253</c:v>
                </c:pt>
                <c:pt idx="91">
                  <c:v>60.9625252525253</c:v>
                </c:pt>
                <c:pt idx="92">
                  <c:v>60.9625252525253</c:v>
                </c:pt>
                <c:pt idx="93">
                  <c:v>60.9625252525253</c:v>
                </c:pt>
                <c:pt idx="94">
                  <c:v>60.9625252525253</c:v>
                </c:pt>
                <c:pt idx="95">
                  <c:v>60.9625252525253</c:v>
                </c:pt>
                <c:pt idx="96">
                  <c:v>60.9625252525253</c:v>
                </c:pt>
                <c:pt idx="97">
                  <c:v>60.9625252525253</c:v>
                </c:pt>
                <c:pt idx="98">
                  <c:v>60.9625252525253</c:v>
                </c:pt>
                <c:pt idx="99">
                  <c:v>60.9625252525253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9615983"/>
        <c:axId val="81410115"/>
      </c:lineChart>
      <c:catAx>
        <c:axId val="4961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410115"/>
        <c:crosses val="autoZero"/>
        <c:auto val="1"/>
        <c:lblAlgn val="ctr"/>
        <c:lblOffset val="100"/>
        <c:noMultiLvlLbl val="0"/>
      </c:catAx>
      <c:valAx>
        <c:axId val="81410115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6159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Carte des étendues mobiles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E5_Y_avec!C1</c:f>
              <c:strCache>
                <c:ptCount val="1"/>
                <c:pt idx="0">
                  <c:v>mR</c:v>
                </c:pt>
              </c:strCache>
            </c:strRef>
          </c:tx>
          <c:spPr>
            <a:solidFill>
              <a:srgbClr val="1f3864"/>
            </a:solidFill>
            <a:ln w="19080">
              <a:solidFill>
                <a:srgbClr val="1f3864"/>
              </a:solidFill>
              <a:round/>
            </a:ln>
          </c:spPr>
          <c:marker>
            <c:symbol val="circle"/>
            <c:size val="6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E5_Y_avec!$A$2:$A$101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E5_Y_avec!$C$2:$C$101</c:f>
              <c:numCache>
                <c:formatCode>0.00</c:formatCode>
                <c:ptCount val="100"/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3</c:v>
                </c:pt>
                <c:pt idx="12">
                  <c:v>9</c:v>
                </c:pt>
                <c:pt idx="13">
                  <c:v>9</c:v>
                </c:pt>
                <c:pt idx="14">
                  <c:v>4</c:v>
                </c:pt>
                <c:pt idx="15">
                  <c:v>0</c:v>
                </c:pt>
                <c:pt idx="16">
                  <c:v>2</c:v>
                </c:pt>
                <c:pt idx="17">
                  <c:v>3</c:v>
                </c:pt>
                <c:pt idx="18">
                  <c:v>2</c:v>
                </c:pt>
                <c:pt idx="19">
                  <c:v>8</c:v>
                </c:pt>
                <c:pt idx="20">
                  <c:v>6</c:v>
                </c:pt>
                <c:pt idx="21">
                  <c:v>3</c:v>
                </c:pt>
                <c:pt idx="22">
                  <c:v>1</c:v>
                </c:pt>
                <c:pt idx="23">
                  <c:v>3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2</c:v>
                </c:pt>
                <c:pt idx="33">
                  <c:v>6</c:v>
                </c:pt>
                <c:pt idx="34">
                  <c:v>2</c:v>
                </c:pt>
                <c:pt idx="35">
                  <c:v>2</c:v>
                </c:pt>
                <c:pt idx="36">
                  <c:v>4</c:v>
                </c:pt>
                <c:pt idx="37">
                  <c:v>1</c:v>
                </c:pt>
                <c:pt idx="38">
                  <c:v>2</c:v>
                </c:pt>
                <c:pt idx="39">
                  <c:v>4</c:v>
                </c:pt>
                <c:pt idx="40">
                  <c:v>2</c:v>
                </c:pt>
                <c:pt idx="41">
                  <c:v>3</c:v>
                </c:pt>
                <c:pt idx="42">
                  <c:v>2</c:v>
                </c:pt>
                <c:pt idx="43">
                  <c:v>3</c:v>
                </c:pt>
                <c:pt idx="44">
                  <c:v>1</c:v>
                </c:pt>
                <c:pt idx="45">
                  <c:v>0</c:v>
                </c:pt>
                <c:pt idx="46">
                  <c:v>2</c:v>
                </c:pt>
                <c:pt idx="47">
                  <c:v>1</c:v>
                </c:pt>
                <c:pt idx="48">
                  <c:v>1</c:v>
                </c:pt>
                <c:pt idx="49">
                  <c:v>2</c:v>
                </c:pt>
                <c:pt idx="50">
                  <c:v>0</c:v>
                </c:pt>
                <c:pt idx="51">
                  <c:v>5</c:v>
                </c:pt>
                <c:pt idx="52">
                  <c:v>10</c:v>
                </c:pt>
                <c:pt idx="53">
                  <c:v>10</c:v>
                </c:pt>
                <c:pt idx="54">
                  <c:v>6</c:v>
                </c:pt>
                <c:pt idx="55">
                  <c:v>4</c:v>
                </c:pt>
                <c:pt idx="56">
                  <c:v>8</c:v>
                </c:pt>
                <c:pt idx="57">
                  <c:v>1</c:v>
                </c:pt>
                <c:pt idx="58">
                  <c:v>3</c:v>
                </c:pt>
                <c:pt idx="59">
                  <c:v>3</c:v>
                </c:pt>
                <c:pt idx="60">
                  <c:v>2</c:v>
                </c:pt>
                <c:pt idx="61">
                  <c:v>2</c:v>
                </c:pt>
                <c:pt idx="62">
                  <c:v>1</c:v>
                </c:pt>
                <c:pt idx="63">
                  <c:v>2</c:v>
                </c:pt>
                <c:pt idx="64">
                  <c:v>1</c:v>
                </c:pt>
                <c:pt idx="65">
                  <c:v>1</c:v>
                </c:pt>
                <c:pt idx="66">
                  <c:v>3</c:v>
                </c:pt>
                <c:pt idx="67">
                  <c:v>6</c:v>
                </c:pt>
                <c:pt idx="68">
                  <c:v>5</c:v>
                </c:pt>
                <c:pt idx="69">
                  <c:v>1</c:v>
                </c:pt>
                <c:pt idx="70">
                  <c:v>8</c:v>
                </c:pt>
                <c:pt idx="71">
                  <c:v>10</c:v>
                </c:pt>
                <c:pt idx="72">
                  <c:v>8</c:v>
                </c:pt>
                <c:pt idx="73">
                  <c:v>6</c:v>
                </c:pt>
                <c:pt idx="74">
                  <c:v>4</c:v>
                </c:pt>
                <c:pt idx="75">
                  <c:v>3</c:v>
                </c:pt>
                <c:pt idx="76">
                  <c:v>6</c:v>
                </c:pt>
                <c:pt idx="77">
                  <c:v>2</c:v>
                </c:pt>
                <c:pt idx="78">
                  <c:v>0</c:v>
                </c:pt>
                <c:pt idx="79">
                  <c:v>5</c:v>
                </c:pt>
                <c:pt idx="80">
                  <c:v>8</c:v>
                </c:pt>
                <c:pt idx="81">
                  <c:v>4</c:v>
                </c:pt>
                <c:pt idx="82">
                  <c:v>2</c:v>
                </c:pt>
                <c:pt idx="83">
                  <c:v>6</c:v>
                </c:pt>
                <c:pt idx="84">
                  <c:v>2</c:v>
                </c:pt>
                <c:pt idx="85">
                  <c:v>8</c:v>
                </c:pt>
                <c:pt idx="86">
                  <c:v>1</c:v>
                </c:pt>
                <c:pt idx="87">
                  <c:v>1</c:v>
                </c:pt>
                <c:pt idx="88">
                  <c:v>2</c:v>
                </c:pt>
                <c:pt idx="89">
                  <c:v>3</c:v>
                </c:pt>
                <c:pt idx="90">
                  <c:v>2</c:v>
                </c:pt>
                <c:pt idx="91">
                  <c:v>5</c:v>
                </c:pt>
                <c:pt idx="92">
                  <c:v>4</c:v>
                </c:pt>
                <c:pt idx="93">
                  <c:v>0</c:v>
                </c:pt>
                <c:pt idx="94">
                  <c:v>1</c:v>
                </c:pt>
                <c:pt idx="95">
                  <c:v>4</c:v>
                </c:pt>
                <c:pt idx="96">
                  <c:v>4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E5_Y_avec!G1</c:f>
              <c:strCache>
                <c:ptCount val="1"/>
                <c:pt idx="0">
                  <c:v>mR barre</c:v>
                </c:pt>
              </c:strCache>
            </c:strRef>
          </c:tx>
          <c:spPr>
            <a:solidFill>
              <a:srgbClr val="1f3864"/>
            </a:solidFill>
            <a:ln w="15840">
              <a:solidFill>
                <a:srgbClr val="1f3864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E5_Y_avec!$A$2:$A$101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E5_Y_avec!$G$2:$G$101</c:f>
              <c:numCache>
                <c:formatCode>0.00</c:formatCode>
                <c:ptCount val="100"/>
                <c:pt idx="0">
                  <c:v>3.04040404040404</c:v>
                </c:pt>
                <c:pt idx="1">
                  <c:v>3.04040404040404</c:v>
                </c:pt>
                <c:pt idx="2">
                  <c:v>3.04040404040404</c:v>
                </c:pt>
                <c:pt idx="3">
                  <c:v>3.04040404040404</c:v>
                </c:pt>
                <c:pt idx="4">
                  <c:v>3.04040404040404</c:v>
                </c:pt>
                <c:pt idx="5">
                  <c:v>3.04040404040404</c:v>
                </c:pt>
                <c:pt idx="6">
                  <c:v>3.04040404040404</c:v>
                </c:pt>
                <c:pt idx="7">
                  <c:v>3.04040404040404</c:v>
                </c:pt>
                <c:pt idx="8">
                  <c:v>3.04040404040404</c:v>
                </c:pt>
                <c:pt idx="9">
                  <c:v>3.04040404040404</c:v>
                </c:pt>
                <c:pt idx="10">
                  <c:v>3.04040404040404</c:v>
                </c:pt>
                <c:pt idx="11">
                  <c:v>3.04040404040404</c:v>
                </c:pt>
                <c:pt idx="12">
                  <c:v>3.04040404040404</c:v>
                </c:pt>
                <c:pt idx="13">
                  <c:v>3.04040404040404</c:v>
                </c:pt>
                <c:pt idx="14">
                  <c:v>3.04040404040404</c:v>
                </c:pt>
                <c:pt idx="15">
                  <c:v>3.04040404040404</c:v>
                </c:pt>
                <c:pt idx="16">
                  <c:v>3.04040404040404</c:v>
                </c:pt>
                <c:pt idx="17">
                  <c:v>3.04040404040404</c:v>
                </c:pt>
                <c:pt idx="18">
                  <c:v>3.04040404040404</c:v>
                </c:pt>
                <c:pt idx="19">
                  <c:v>3.04040404040404</c:v>
                </c:pt>
                <c:pt idx="20">
                  <c:v>3.04040404040404</c:v>
                </c:pt>
                <c:pt idx="21">
                  <c:v>3.04040404040404</c:v>
                </c:pt>
                <c:pt idx="22">
                  <c:v>3.04040404040404</c:v>
                </c:pt>
                <c:pt idx="23">
                  <c:v>3.04040404040404</c:v>
                </c:pt>
                <c:pt idx="24">
                  <c:v>3.04040404040404</c:v>
                </c:pt>
                <c:pt idx="25">
                  <c:v>3.04040404040404</c:v>
                </c:pt>
                <c:pt idx="26">
                  <c:v>3.04040404040404</c:v>
                </c:pt>
                <c:pt idx="27">
                  <c:v>3.04040404040404</c:v>
                </c:pt>
                <c:pt idx="28">
                  <c:v>3.04040404040404</c:v>
                </c:pt>
                <c:pt idx="29">
                  <c:v>3.04040404040404</c:v>
                </c:pt>
                <c:pt idx="30">
                  <c:v>3.04040404040404</c:v>
                </c:pt>
                <c:pt idx="31">
                  <c:v>3.04040404040404</c:v>
                </c:pt>
                <c:pt idx="32">
                  <c:v>3.04040404040404</c:v>
                </c:pt>
                <c:pt idx="33">
                  <c:v>3.04040404040404</c:v>
                </c:pt>
                <c:pt idx="34">
                  <c:v>3.04040404040404</c:v>
                </c:pt>
                <c:pt idx="35">
                  <c:v>3.04040404040404</c:v>
                </c:pt>
                <c:pt idx="36">
                  <c:v>3.04040404040404</c:v>
                </c:pt>
                <c:pt idx="37">
                  <c:v>3.04040404040404</c:v>
                </c:pt>
                <c:pt idx="38">
                  <c:v>3.04040404040404</c:v>
                </c:pt>
                <c:pt idx="39">
                  <c:v>3.04040404040404</c:v>
                </c:pt>
                <c:pt idx="40">
                  <c:v>3.04040404040404</c:v>
                </c:pt>
                <c:pt idx="41">
                  <c:v>3.04040404040404</c:v>
                </c:pt>
                <c:pt idx="42">
                  <c:v>3.04040404040404</c:v>
                </c:pt>
                <c:pt idx="43">
                  <c:v>3.04040404040404</c:v>
                </c:pt>
                <c:pt idx="44">
                  <c:v>3.04040404040404</c:v>
                </c:pt>
                <c:pt idx="45">
                  <c:v>3.04040404040404</c:v>
                </c:pt>
                <c:pt idx="46">
                  <c:v>3.04040404040404</c:v>
                </c:pt>
                <c:pt idx="47">
                  <c:v>3.04040404040404</c:v>
                </c:pt>
                <c:pt idx="48">
                  <c:v>3.04040404040404</c:v>
                </c:pt>
                <c:pt idx="49">
                  <c:v>3.04040404040404</c:v>
                </c:pt>
                <c:pt idx="50">
                  <c:v>3.04040404040404</c:v>
                </c:pt>
                <c:pt idx="51">
                  <c:v>3.04040404040404</c:v>
                </c:pt>
                <c:pt idx="52">
                  <c:v>3.04040404040404</c:v>
                </c:pt>
                <c:pt idx="53">
                  <c:v>3.04040404040404</c:v>
                </c:pt>
                <c:pt idx="54">
                  <c:v>3.04040404040404</c:v>
                </c:pt>
                <c:pt idx="55">
                  <c:v>3.04040404040404</c:v>
                </c:pt>
                <c:pt idx="56">
                  <c:v>3.04040404040404</c:v>
                </c:pt>
                <c:pt idx="57">
                  <c:v>3.04040404040404</c:v>
                </c:pt>
                <c:pt idx="58">
                  <c:v>3.04040404040404</c:v>
                </c:pt>
                <c:pt idx="59">
                  <c:v>3.04040404040404</c:v>
                </c:pt>
                <c:pt idx="60">
                  <c:v>3.04040404040404</c:v>
                </c:pt>
                <c:pt idx="61">
                  <c:v>3.04040404040404</c:v>
                </c:pt>
                <c:pt idx="62">
                  <c:v>3.04040404040404</c:v>
                </c:pt>
                <c:pt idx="63">
                  <c:v>3.04040404040404</c:v>
                </c:pt>
                <c:pt idx="64">
                  <c:v>3.04040404040404</c:v>
                </c:pt>
                <c:pt idx="65">
                  <c:v>3.04040404040404</c:v>
                </c:pt>
                <c:pt idx="66">
                  <c:v>3.04040404040404</c:v>
                </c:pt>
                <c:pt idx="67">
                  <c:v>3.04040404040404</c:v>
                </c:pt>
                <c:pt idx="68">
                  <c:v>3.04040404040404</c:v>
                </c:pt>
                <c:pt idx="69">
                  <c:v>3.04040404040404</c:v>
                </c:pt>
                <c:pt idx="70">
                  <c:v>3.04040404040404</c:v>
                </c:pt>
                <c:pt idx="71">
                  <c:v>3.04040404040404</c:v>
                </c:pt>
                <c:pt idx="72">
                  <c:v>3.04040404040404</c:v>
                </c:pt>
                <c:pt idx="73">
                  <c:v>3.04040404040404</c:v>
                </c:pt>
                <c:pt idx="74">
                  <c:v>3.04040404040404</c:v>
                </c:pt>
                <c:pt idx="75">
                  <c:v>3.04040404040404</c:v>
                </c:pt>
                <c:pt idx="76">
                  <c:v>3.04040404040404</c:v>
                </c:pt>
                <c:pt idx="77">
                  <c:v>3.04040404040404</c:v>
                </c:pt>
                <c:pt idx="78">
                  <c:v>3.04040404040404</c:v>
                </c:pt>
                <c:pt idx="79">
                  <c:v>3.04040404040404</c:v>
                </c:pt>
                <c:pt idx="80">
                  <c:v>3.04040404040404</c:v>
                </c:pt>
                <c:pt idx="81">
                  <c:v>3.04040404040404</c:v>
                </c:pt>
                <c:pt idx="82">
                  <c:v>3.04040404040404</c:v>
                </c:pt>
                <c:pt idx="83">
                  <c:v>3.04040404040404</c:v>
                </c:pt>
                <c:pt idx="84">
                  <c:v>3.04040404040404</c:v>
                </c:pt>
                <c:pt idx="85">
                  <c:v>3.04040404040404</c:v>
                </c:pt>
                <c:pt idx="86">
                  <c:v>3.04040404040404</c:v>
                </c:pt>
                <c:pt idx="87">
                  <c:v>3.04040404040404</c:v>
                </c:pt>
                <c:pt idx="88">
                  <c:v>3.04040404040404</c:v>
                </c:pt>
                <c:pt idx="89">
                  <c:v>3.04040404040404</c:v>
                </c:pt>
                <c:pt idx="90">
                  <c:v>3.04040404040404</c:v>
                </c:pt>
                <c:pt idx="91">
                  <c:v>3.04040404040404</c:v>
                </c:pt>
                <c:pt idx="92">
                  <c:v>3.04040404040404</c:v>
                </c:pt>
                <c:pt idx="93">
                  <c:v>3.04040404040404</c:v>
                </c:pt>
                <c:pt idx="94">
                  <c:v>3.04040404040404</c:v>
                </c:pt>
                <c:pt idx="95">
                  <c:v>3.04040404040404</c:v>
                </c:pt>
                <c:pt idx="96">
                  <c:v>3.04040404040404</c:v>
                </c:pt>
                <c:pt idx="97">
                  <c:v>3.04040404040404</c:v>
                </c:pt>
                <c:pt idx="98">
                  <c:v>3.04040404040404</c:v>
                </c:pt>
                <c:pt idx="99">
                  <c:v>3.04040404040404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E5_Y_avec!H1</c:f>
              <c:strCache>
                <c:ptCount val="1"/>
                <c:pt idx="0">
                  <c:v>LCS mR</c:v>
                </c:pt>
              </c:strCache>
            </c:strRef>
          </c:tx>
          <c:spPr>
            <a:solidFill>
              <a:srgbClr val="c00000"/>
            </a:solidFill>
            <a:ln w="158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E5_Y_avec!$A$2:$A$101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E5_Y_avec!$H$2:$H$101</c:f>
              <c:numCache>
                <c:formatCode>0.00</c:formatCode>
                <c:ptCount val="100"/>
                <c:pt idx="0">
                  <c:v>9.933</c:v>
                </c:pt>
                <c:pt idx="1">
                  <c:v>9.933</c:v>
                </c:pt>
                <c:pt idx="2">
                  <c:v>9.933</c:v>
                </c:pt>
                <c:pt idx="3">
                  <c:v>9.933</c:v>
                </c:pt>
                <c:pt idx="4">
                  <c:v>9.933</c:v>
                </c:pt>
                <c:pt idx="5">
                  <c:v>9.933</c:v>
                </c:pt>
                <c:pt idx="6">
                  <c:v>9.933</c:v>
                </c:pt>
                <c:pt idx="7">
                  <c:v>9.933</c:v>
                </c:pt>
                <c:pt idx="8">
                  <c:v>9.933</c:v>
                </c:pt>
                <c:pt idx="9">
                  <c:v>9.933</c:v>
                </c:pt>
                <c:pt idx="10">
                  <c:v>9.933</c:v>
                </c:pt>
                <c:pt idx="11">
                  <c:v>9.933</c:v>
                </c:pt>
                <c:pt idx="12">
                  <c:v>9.933</c:v>
                </c:pt>
                <c:pt idx="13">
                  <c:v>9.933</c:v>
                </c:pt>
                <c:pt idx="14">
                  <c:v>9.933</c:v>
                </c:pt>
                <c:pt idx="15">
                  <c:v>9.933</c:v>
                </c:pt>
                <c:pt idx="16">
                  <c:v>9.933</c:v>
                </c:pt>
                <c:pt idx="17">
                  <c:v>9.933</c:v>
                </c:pt>
                <c:pt idx="18">
                  <c:v>9.933</c:v>
                </c:pt>
                <c:pt idx="19">
                  <c:v>9.933</c:v>
                </c:pt>
                <c:pt idx="20">
                  <c:v>9.933</c:v>
                </c:pt>
                <c:pt idx="21">
                  <c:v>9.933</c:v>
                </c:pt>
                <c:pt idx="22">
                  <c:v>9.933</c:v>
                </c:pt>
                <c:pt idx="23">
                  <c:v>9.933</c:v>
                </c:pt>
                <c:pt idx="24">
                  <c:v>9.933</c:v>
                </c:pt>
                <c:pt idx="25">
                  <c:v>9.933</c:v>
                </c:pt>
                <c:pt idx="26">
                  <c:v>9.933</c:v>
                </c:pt>
                <c:pt idx="27">
                  <c:v>9.933</c:v>
                </c:pt>
                <c:pt idx="28">
                  <c:v>9.933</c:v>
                </c:pt>
                <c:pt idx="29">
                  <c:v>9.933</c:v>
                </c:pt>
                <c:pt idx="30">
                  <c:v>9.933</c:v>
                </c:pt>
                <c:pt idx="31">
                  <c:v>9.933</c:v>
                </c:pt>
                <c:pt idx="32">
                  <c:v>9.933</c:v>
                </c:pt>
                <c:pt idx="33">
                  <c:v>9.933</c:v>
                </c:pt>
                <c:pt idx="34">
                  <c:v>9.933</c:v>
                </c:pt>
                <c:pt idx="35">
                  <c:v>9.933</c:v>
                </c:pt>
                <c:pt idx="36">
                  <c:v>9.933</c:v>
                </c:pt>
                <c:pt idx="37">
                  <c:v>9.933</c:v>
                </c:pt>
                <c:pt idx="38">
                  <c:v>9.933</c:v>
                </c:pt>
                <c:pt idx="39">
                  <c:v>9.933</c:v>
                </c:pt>
                <c:pt idx="40">
                  <c:v>9.933</c:v>
                </c:pt>
                <c:pt idx="41">
                  <c:v>9.933</c:v>
                </c:pt>
                <c:pt idx="42">
                  <c:v>9.933</c:v>
                </c:pt>
                <c:pt idx="43">
                  <c:v>9.933</c:v>
                </c:pt>
                <c:pt idx="44">
                  <c:v>9.933</c:v>
                </c:pt>
                <c:pt idx="45">
                  <c:v>9.933</c:v>
                </c:pt>
                <c:pt idx="46">
                  <c:v>9.933</c:v>
                </c:pt>
                <c:pt idx="47">
                  <c:v>9.933</c:v>
                </c:pt>
                <c:pt idx="48">
                  <c:v>9.933</c:v>
                </c:pt>
                <c:pt idx="49">
                  <c:v>9.933</c:v>
                </c:pt>
                <c:pt idx="50">
                  <c:v>9.933</c:v>
                </c:pt>
                <c:pt idx="51">
                  <c:v>9.933</c:v>
                </c:pt>
                <c:pt idx="52">
                  <c:v>9.933</c:v>
                </c:pt>
                <c:pt idx="53">
                  <c:v>9.933</c:v>
                </c:pt>
                <c:pt idx="54">
                  <c:v>9.933</c:v>
                </c:pt>
                <c:pt idx="55">
                  <c:v>9.933</c:v>
                </c:pt>
                <c:pt idx="56">
                  <c:v>9.933</c:v>
                </c:pt>
                <c:pt idx="57">
                  <c:v>9.933</c:v>
                </c:pt>
                <c:pt idx="58">
                  <c:v>9.933</c:v>
                </c:pt>
                <c:pt idx="59">
                  <c:v>9.933</c:v>
                </c:pt>
                <c:pt idx="60">
                  <c:v>9.933</c:v>
                </c:pt>
                <c:pt idx="61">
                  <c:v>9.933</c:v>
                </c:pt>
                <c:pt idx="62">
                  <c:v>9.933</c:v>
                </c:pt>
                <c:pt idx="63">
                  <c:v>9.933</c:v>
                </c:pt>
                <c:pt idx="64">
                  <c:v>9.933</c:v>
                </c:pt>
                <c:pt idx="65">
                  <c:v>9.933</c:v>
                </c:pt>
                <c:pt idx="66">
                  <c:v>9.933</c:v>
                </c:pt>
                <c:pt idx="67">
                  <c:v>9.933</c:v>
                </c:pt>
                <c:pt idx="68">
                  <c:v>9.933</c:v>
                </c:pt>
                <c:pt idx="69">
                  <c:v>9.933</c:v>
                </c:pt>
                <c:pt idx="70">
                  <c:v>9.933</c:v>
                </c:pt>
                <c:pt idx="71">
                  <c:v>9.933</c:v>
                </c:pt>
                <c:pt idx="72">
                  <c:v>9.933</c:v>
                </c:pt>
                <c:pt idx="73">
                  <c:v>9.933</c:v>
                </c:pt>
                <c:pt idx="74">
                  <c:v>9.933</c:v>
                </c:pt>
                <c:pt idx="75">
                  <c:v>9.933</c:v>
                </c:pt>
                <c:pt idx="76">
                  <c:v>9.933</c:v>
                </c:pt>
                <c:pt idx="77">
                  <c:v>9.933</c:v>
                </c:pt>
                <c:pt idx="78">
                  <c:v>9.933</c:v>
                </c:pt>
                <c:pt idx="79">
                  <c:v>9.933</c:v>
                </c:pt>
                <c:pt idx="80">
                  <c:v>9.933</c:v>
                </c:pt>
                <c:pt idx="81">
                  <c:v>9.933</c:v>
                </c:pt>
                <c:pt idx="82">
                  <c:v>9.933</c:v>
                </c:pt>
                <c:pt idx="83">
                  <c:v>9.933</c:v>
                </c:pt>
                <c:pt idx="84">
                  <c:v>9.933</c:v>
                </c:pt>
                <c:pt idx="85">
                  <c:v>9.933</c:v>
                </c:pt>
                <c:pt idx="86">
                  <c:v>9.933</c:v>
                </c:pt>
                <c:pt idx="87">
                  <c:v>9.933</c:v>
                </c:pt>
                <c:pt idx="88">
                  <c:v>9.933</c:v>
                </c:pt>
                <c:pt idx="89">
                  <c:v>9.933</c:v>
                </c:pt>
                <c:pt idx="90">
                  <c:v>9.933</c:v>
                </c:pt>
                <c:pt idx="91">
                  <c:v>9.933</c:v>
                </c:pt>
                <c:pt idx="92">
                  <c:v>9.933</c:v>
                </c:pt>
                <c:pt idx="93">
                  <c:v>9.933</c:v>
                </c:pt>
                <c:pt idx="94">
                  <c:v>9.933</c:v>
                </c:pt>
                <c:pt idx="95">
                  <c:v>9.933</c:v>
                </c:pt>
                <c:pt idx="96">
                  <c:v>9.933</c:v>
                </c:pt>
                <c:pt idx="97">
                  <c:v>9.933</c:v>
                </c:pt>
                <c:pt idx="98">
                  <c:v>9.933</c:v>
                </c:pt>
                <c:pt idx="99">
                  <c:v>9.933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8773521"/>
        <c:axId val="38719760"/>
      </c:lineChart>
      <c:catAx>
        <c:axId val="987735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719760"/>
        <c:crosses val="autoZero"/>
        <c:auto val="1"/>
        <c:lblAlgn val="ctr"/>
        <c:lblOffset val="100"/>
        <c:noMultiLvlLbl val="0"/>
      </c:catAx>
      <c:valAx>
        <c:axId val="38719760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7735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Carte 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G1_inspection!D1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rgbClr val="1f3864"/>
            </a:solidFill>
            <a:ln w="19080">
              <a:solidFill>
                <a:srgbClr val="1f3864"/>
              </a:solidFill>
              <a:round/>
            </a:ln>
          </c:spPr>
          <c:marker>
            <c:symbol val="circle"/>
            <c:size val="6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G1_inspection!$A$2:$A$121</c:f>
              <c:strCach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strCache>
            </c:strRef>
          </c:cat>
          <c:val>
            <c:numRef>
              <c:f>G1_inspection!$D$2:$D$121</c:f>
              <c:numCache>
                <c:formatCode>0.0%</c:formatCode>
                <c:ptCount val="120"/>
                <c:pt idx="0">
                  <c:v>0.02</c:v>
                </c:pt>
                <c:pt idx="1">
                  <c:v>0.0266666666666667</c:v>
                </c:pt>
                <c:pt idx="2">
                  <c:v>0.0133333333333333</c:v>
                </c:pt>
                <c:pt idx="3">
                  <c:v>0.0333333333333333</c:v>
                </c:pt>
                <c:pt idx="4">
                  <c:v>0.04</c:v>
                </c:pt>
                <c:pt idx="5">
                  <c:v>0.0666666666666667</c:v>
                </c:pt>
                <c:pt idx="6">
                  <c:v>0.0333333333333333</c:v>
                </c:pt>
                <c:pt idx="7">
                  <c:v>0.0266666666666667</c:v>
                </c:pt>
                <c:pt idx="8">
                  <c:v>0.02</c:v>
                </c:pt>
                <c:pt idx="9">
                  <c:v>0.0733333333333333</c:v>
                </c:pt>
                <c:pt idx="10">
                  <c:v>0.06</c:v>
                </c:pt>
                <c:pt idx="11">
                  <c:v>0.0133333333333333</c:v>
                </c:pt>
                <c:pt idx="12">
                  <c:v>0.0466666666666667</c:v>
                </c:pt>
                <c:pt idx="13">
                  <c:v>0.0533333333333333</c:v>
                </c:pt>
                <c:pt idx="14">
                  <c:v>0.0266666666666667</c:v>
                </c:pt>
                <c:pt idx="15">
                  <c:v>0.0133333333333333</c:v>
                </c:pt>
                <c:pt idx="16">
                  <c:v>0.04</c:v>
                </c:pt>
                <c:pt idx="17">
                  <c:v>0.0333333333333333</c:v>
                </c:pt>
                <c:pt idx="18">
                  <c:v>0.0266666666666667</c:v>
                </c:pt>
                <c:pt idx="19">
                  <c:v>0.02</c:v>
                </c:pt>
                <c:pt idx="20">
                  <c:v>0.04</c:v>
                </c:pt>
                <c:pt idx="21">
                  <c:v>0.0466666666666667</c:v>
                </c:pt>
                <c:pt idx="22">
                  <c:v>0.06</c:v>
                </c:pt>
                <c:pt idx="23">
                  <c:v>0.0666666666666667</c:v>
                </c:pt>
                <c:pt idx="24">
                  <c:v>0.0933333333333333</c:v>
                </c:pt>
                <c:pt idx="25">
                  <c:v>0.0866666666666667</c:v>
                </c:pt>
                <c:pt idx="26">
                  <c:v>0.0666666666666667</c:v>
                </c:pt>
                <c:pt idx="27">
                  <c:v>0.06</c:v>
                </c:pt>
                <c:pt idx="28">
                  <c:v>0.0533333333333333</c:v>
                </c:pt>
                <c:pt idx="29">
                  <c:v>0.0666666666666667</c:v>
                </c:pt>
                <c:pt idx="30">
                  <c:v>0.02</c:v>
                </c:pt>
                <c:pt idx="31">
                  <c:v>0.0133333333333333</c:v>
                </c:pt>
                <c:pt idx="32">
                  <c:v>0.0266666666666667</c:v>
                </c:pt>
                <c:pt idx="33">
                  <c:v>0.04</c:v>
                </c:pt>
                <c:pt idx="34">
                  <c:v>0.0266666666666667</c:v>
                </c:pt>
                <c:pt idx="35">
                  <c:v>0.0666666666666667</c:v>
                </c:pt>
                <c:pt idx="36">
                  <c:v>0.0533333333333333</c:v>
                </c:pt>
                <c:pt idx="37">
                  <c:v>0.0466666666666667</c:v>
                </c:pt>
                <c:pt idx="38">
                  <c:v>0.0933333333333333</c:v>
                </c:pt>
                <c:pt idx="39">
                  <c:v>0.0866666666666667</c:v>
                </c:pt>
                <c:pt idx="40">
                  <c:v>0.0266666666666667</c:v>
                </c:pt>
                <c:pt idx="41">
                  <c:v>0.0533333333333333</c:v>
                </c:pt>
                <c:pt idx="42">
                  <c:v>0.0266666666666667</c:v>
                </c:pt>
                <c:pt idx="43">
                  <c:v>0.0666666666666667</c:v>
                </c:pt>
                <c:pt idx="44">
                  <c:v>0.0933333333333333</c:v>
                </c:pt>
                <c:pt idx="45">
                  <c:v>0.0533333333333333</c:v>
                </c:pt>
                <c:pt idx="46">
                  <c:v>0.08</c:v>
                </c:pt>
                <c:pt idx="47">
                  <c:v>0.0266666666666667</c:v>
                </c:pt>
                <c:pt idx="48">
                  <c:v>0.0333333333333333</c:v>
                </c:pt>
                <c:pt idx="49">
                  <c:v>0.0933333333333333</c:v>
                </c:pt>
                <c:pt idx="50">
                  <c:v>0.0133333333333333</c:v>
                </c:pt>
                <c:pt idx="51">
                  <c:v>0.0533333333333333</c:v>
                </c:pt>
                <c:pt idx="52">
                  <c:v>0.04</c:v>
                </c:pt>
                <c:pt idx="53">
                  <c:v>0.0666666666666667</c:v>
                </c:pt>
                <c:pt idx="54">
                  <c:v>0.0533333333333333</c:v>
                </c:pt>
                <c:pt idx="55">
                  <c:v>0.04</c:v>
                </c:pt>
                <c:pt idx="56">
                  <c:v>0.0266666666666667</c:v>
                </c:pt>
                <c:pt idx="57">
                  <c:v>0.04</c:v>
                </c:pt>
                <c:pt idx="58">
                  <c:v>0.1</c:v>
                </c:pt>
                <c:pt idx="59">
                  <c:v>0.0266666666666667</c:v>
                </c:pt>
                <c:pt idx="60">
                  <c:v>0.0466666666666667</c:v>
                </c:pt>
                <c:pt idx="61">
                  <c:v>0.0133333333333333</c:v>
                </c:pt>
                <c:pt idx="62">
                  <c:v>0.04</c:v>
                </c:pt>
                <c:pt idx="63">
                  <c:v>0.06</c:v>
                </c:pt>
                <c:pt idx="64">
                  <c:v>0.0666666666666667</c:v>
                </c:pt>
                <c:pt idx="65">
                  <c:v>0.0466666666666667</c:v>
                </c:pt>
                <c:pt idx="66">
                  <c:v>0.06</c:v>
                </c:pt>
                <c:pt idx="67">
                  <c:v>0.106666666666667</c:v>
                </c:pt>
                <c:pt idx="68">
                  <c:v>0.0733333333333333</c:v>
                </c:pt>
                <c:pt idx="69">
                  <c:v>0.0866666666666667</c:v>
                </c:pt>
                <c:pt idx="70">
                  <c:v>0.02</c:v>
                </c:pt>
                <c:pt idx="71">
                  <c:v>0.0866666666666667</c:v>
                </c:pt>
                <c:pt idx="72">
                  <c:v>0.02</c:v>
                </c:pt>
                <c:pt idx="73">
                  <c:v>0.0466666666666667</c:v>
                </c:pt>
                <c:pt idx="74">
                  <c:v>0.02</c:v>
                </c:pt>
                <c:pt idx="75">
                  <c:v>0.0133333333333333</c:v>
                </c:pt>
                <c:pt idx="76">
                  <c:v>0.06</c:v>
                </c:pt>
                <c:pt idx="77">
                  <c:v>0.0266666666666667</c:v>
                </c:pt>
                <c:pt idx="78">
                  <c:v>0.0866666666666667</c:v>
                </c:pt>
                <c:pt idx="79">
                  <c:v>0.02</c:v>
                </c:pt>
                <c:pt idx="80">
                  <c:v>0.04</c:v>
                </c:pt>
                <c:pt idx="81">
                  <c:v>0.00666666666666667</c:v>
                </c:pt>
                <c:pt idx="82">
                  <c:v>0.0266666666666667</c:v>
                </c:pt>
                <c:pt idx="83">
                  <c:v>0.0866666666666667</c:v>
                </c:pt>
                <c:pt idx="84">
                  <c:v>0.08</c:v>
                </c:pt>
                <c:pt idx="85">
                  <c:v>0.0666666666666667</c:v>
                </c:pt>
                <c:pt idx="86">
                  <c:v>0.0133333333333333</c:v>
                </c:pt>
                <c:pt idx="87">
                  <c:v>0.0333333333333333</c:v>
                </c:pt>
                <c:pt idx="88">
                  <c:v>0.0466666666666667</c:v>
                </c:pt>
                <c:pt idx="89">
                  <c:v>0.0666666666666667</c:v>
                </c:pt>
                <c:pt idx="90">
                  <c:v>0.0266666666666667</c:v>
                </c:pt>
                <c:pt idx="91">
                  <c:v>0.0133333333333333</c:v>
                </c:pt>
                <c:pt idx="92">
                  <c:v>0.0133333333333333</c:v>
                </c:pt>
                <c:pt idx="93">
                  <c:v>0.04</c:v>
                </c:pt>
                <c:pt idx="94">
                  <c:v>0.0266666666666667</c:v>
                </c:pt>
                <c:pt idx="95">
                  <c:v>0.0666666666666667</c:v>
                </c:pt>
                <c:pt idx="96">
                  <c:v>0.0533333333333333</c:v>
                </c:pt>
                <c:pt idx="97">
                  <c:v>0.0933333333333333</c:v>
                </c:pt>
                <c:pt idx="98">
                  <c:v>0.04</c:v>
                </c:pt>
                <c:pt idx="99">
                  <c:v>0.0266666666666667</c:v>
                </c:pt>
                <c:pt idx="100">
                  <c:v>0.0466666666666667</c:v>
                </c:pt>
                <c:pt idx="101">
                  <c:v>0.0266666666666667</c:v>
                </c:pt>
                <c:pt idx="102">
                  <c:v>0.0533333333333333</c:v>
                </c:pt>
                <c:pt idx="103">
                  <c:v>0.0466666666666667</c:v>
                </c:pt>
                <c:pt idx="104">
                  <c:v>0.02</c:v>
                </c:pt>
                <c:pt idx="105">
                  <c:v>0.04</c:v>
                </c:pt>
                <c:pt idx="106">
                  <c:v>0.0466666666666667</c:v>
                </c:pt>
                <c:pt idx="107">
                  <c:v>0.0533333333333333</c:v>
                </c:pt>
                <c:pt idx="108">
                  <c:v>0.0266666666666667</c:v>
                </c:pt>
                <c:pt idx="109">
                  <c:v>0.08</c:v>
                </c:pt>
                <c:pt idx="110">
                  <c:v>0.04</c:v>
                </c:pt>
                <c:pt idx="111">
                  <c:v>0.113333333333333</c:v>
                </c:pt>
                <c:pt idx="112">
                  <c:v>0.0333333333333333</c:v>
                </c:pt>
                <c:pt idx="113">
                  <c:v>0.0666666666666667</c:v>
                </c:pt>
                <c:pt idx="114">
                  <c:v>0.0533333333333333</c:v>
                </c:pt>
                <c:pt idx="115">
                  <c:v>0.06</c:v>
                </c:pt>
                <c:pt idx="116">
                  <c:v>0.0733333333333333</c:v>
                </c:pt>
                <c:pt idx="117">
                  <c:v>0.0466666666666667</c:v>
                </c:pt>
                <c:pt idx="118">
                  <c:v>0.0133333333333333</c:v>
                </c:pt>
                <c:pt idx="119">
                  <c:v>0.0533333333333333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G1_inspection!G1</c:f>
              <c:strCache>
                <c:ptCount val="1"/>
                <c:pt idx="0">
                  <c:v>p barre</c:v>
                </c:pt>
              </c:strCache>
            </c:strRef>
          </c:tx>
          <c:spPr>
            <a:solidFill>
              <a:srgbClr val="1f3864"/>
            </a:solidFill>
            <a:ln w="15840">
              <a:solidFill>
                <a:srgbClr val="1f3864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G1_inspection!$A$2:$A$121</c:f>
              <c:strCach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strCache>
            </c:strRef>
          </c:cat>
          <c:val>
            <c:numRef>
              <c:f>G1_inspection!$G$2:$G$121</c:f>
              <c:numCache>
                <c:formatCode>0.0%</c:formatCode>
                <c:ptCount val="120"/>
                <c:pt idx="0">
                  <c:v>0.0472777777777778</c:v>
                </c:pt>
                <c:pt idx="1">
                  <c:v>0.0472777777777778</c:v>
                </c:pt>
                <c:pt idx="2">
                  <c:v>0.0472777777777778</c:v>
                </c:pt>
                <c:pt idx="3">
                  <c:v>0.0472777777777778</c:v>
                </c:pt>
                <c:pt idx="4">
                  <c:v>0.0472777777777778</c:v>
                </c:pt>
                <c:pt idx="5">
                  <c:v>0.0472777777777778</c:v>
                </c:pt>
                <c:pt idx="6">
                  <c:v>0.0472777777777778</c:v>
                </c:pt>
                <c:pt idx="7">
                  <c:v>0.0472777777777778</c:v>
                </c:pt>
                <c:pt idx="8">
                  <c:v>0.0472777777777778</c:v>
                </c:pt>
                <c:pt idx="9">
                  <c:v>0.0472777777777778</c:v>
                </c:pt>
                <c:pt idx="10">
                  <c:v>0.0472777777777778</c:v>
                </c:pt>
                <c:pt idx="11">
                  <c:v>0.0472777777777778</c:v>
                </c:pt>
                <c:pt idx="12">
                  <c:v>0.0472777777777778</c:v>
                </c:pt>
                <c:pt idx="13">
                  <c:v>0.0472777777777778</c:v>
                </c:pt>
                <c:pt idx="14">
                  <c:v>0.0472777777777778</c:v>
                </c:pt>
                <c:pt idx="15">
                  <c:v>0.0472777777777778</c:v>
                </c:pt>
                <c:pt idx="16">
                  <c:v>0.0472777777777778</c:v>
                </c:pt>
                <c:pt idx="17">
                  <c:v>0.0472777777777778</c:v>
                </c:pt>
                <c:pt idx="18">
                  <c:v>0.0472777777777778</c:v>
                </c:pt>
                <c:pt idx="19">
                  <c:v>0.0472777777777778</c:v>
                </c:pt>
                <c:pt idx="20">
                  <c:v>0.0472777777777778</c:v>
                </c:pt>
                <c:pt idx="21">
                  <c:v>0.0472777777777778</c:v>
                </c:pt>
                <c:pt idx="22">
                  <c:v>0.0472777777777778</c:v>
                </c:pt>
                <c:pt idx="23">
                  <c:v>0.0472777777777778</c:v>
                </c:pt>
                <c:pt idx="24">
                  <c:v>0.0472777777777778</c:v>
                </c:pt>
                <c:pt idx="25">
                  <c:v>0.0472777777777778</c:v>
                </c:pt>
                <c:pt idx="26">
                  <c:v>0.0472777777777778</c:v>
                </c:pt>
                <c:pt idx="27">
                  <c:v>0.0472777777777778</c:v>
                </c:pt>
                <c:pt idx="28">
                  <c:v>0.0472777777777778</c:v>
                </c:pt>
                <c:pt idx="29">
                  <c:v>0.0472777777777778</c:v>
                </c:pt>
                <c:pt idx="30">
                  <c:v>0.0472777777777778</c:v>
                </c:pt>
                <c:pt idx="31">
                  <c:v>0.0472777777777778</c:v>
                </c:pt>
                <c:pt idx="32">
                  <c:v>0.0472777777777778</c:v>
                </c:pt>
                <c:pt idx="33">
                  <c:v>0.0472777777777778</c:v>
                </c:pt>
                <c:pt idx="34">
                  <c:v>0.0472777777777778</c:v>
                </c:pt>
                <c:pt idx="35">
                  <c:v>0.0472777777777778</c:v>
                </c:pt>
                <c:pt idx="36">
                  <c:v>0.0472777777777778</c:v>
                </c:pt>
                <c:pt idx="37">
                  <c:v>0.0472777777777778</c:v>
                </c:pt>
                <c:pt idx="38">
                  <c:v>0.0472777777777778</c:v>
                </c:pt>
                <c:pt idx="39">
                  <c:v>0.0472777777777778</c:v>
                </c:pt>
                <c:pt idx="40">
                  <c:v>0.0472777777777778</c:v>
                </c:pt>
                <c:pt idx="41">
                  <c:v>0.0472777777777778</c:v>
                </c:pt>
                <c:pt idx="42">
                  <c:v>0.0472777777777778</c:v>
                </c:pt>
                <c:pt idx="43">
                  <c:v>0.0472777777777778</c:v>
                </c:pt>
                <c:pt idx="44">
                  <c:v>0.0472777777777778</c:v>
                </c:pt>
                <c:pt idx="45">
                  <c:v>0.0472777777777778</c:v>
                </c:pt>
                <c:pt idx="46">
                  <c:v>0.0472777777777778</c:v>
                </c:pt>
                <c:pt idx="47">
                  <c:v>0.0472777777777778</c:v>
                </c:pt>
                <c:pt idx="48">
                  <c:v>0.0472777777777778</c:v>
                </c:pt>
                <c:pt idx="49">
                  <c:v>0.0472777777777778</c:v>
                </c:pt>
                <c:pt idx="50">
                  <c:v>0.0472777777777778</c:v>
                </c:pt>
                <c:pt idx="51">
                  <c:v>0.0472777777777778</c:v>
                </c:pt>
                <c:pt idx="52">
                  <c:v>0.0472777777777778</c:v>
                </c:pt>
                <c:pt idx="53">
                  <c:v>0.0472777777777778</c:v>
                </c:pt>
                <c:pt idx="54">
                  <c:v>0.0472777777777778</c:v>
                </c:pt>
                <c:pt idx="55">
                  <c:v>0.0472777777777778</c:v>
                </c:pt>
                <c:pt idx="56">
                  <c:v>0.0472777777777778</c:v>
                </c:pt>
                <c:pt idx="57">
                  <c:v>0.0472777777777778</c:v>
                </c:pt>
                <c:pt idx="58">
                  <c:v>0.0472777777777778</c:v>
                </c:pt>
                <c:pt idx="59">
                  <c:v>0.0472777777777778</c:v>
                </c:pt>
                <c:pt idx="60">
                  <c:v>0.0472777777777778</c:v>
                </c:pt>
                <c:pt idx="61">
                  <c:v>0.0472777777777778</c:v>
                </c:pt>
                <c:pt idx="62">
                  <c:v>0.0472777777777778</c:v>
                </c:pt>
                <c:pt idx="63">
                  <c:v>0.0472777777777778</c:v>
                </c:pt>
                <c:pt idx="64">
                  <c:v>0.0472777777777778</c:v>
                </c:pt>
                <c:pt idx="65">
                  <c:v>0.0472777777777778</c:v>
                </c:pt>
                <c:pt idx="66">
                  <c:v>0.0472777777777778</c:v>
                </c:pt>
                <c:pt idx="67">
                  <c:v>0.0472777777777778</c:v>
                </c:pt>
                <c:pt idx="68">
                  <c:v>0.0472777777777778</c:v>
                </c:pt>
                <c:pt idx="69">
                  <c:v>0.0472777777777778</c:v>
                </c:pt>
                <c:pt idx="70">
                  <c:v>0.0472777777777778</c:v>
                </c:pt>
                <c:pt idx="71">
                  <c:v>0.0472777777777778</c:v>
                </c:pt>
                <c:pt idx="72">
                  <c:v>0.0472777777777778</c:v>
                </c:pt>
                <c:pt idx="73">
                  <c:v>0.0472777777777778</c:v>
                </c:pt>
                <c:pt idx="74">
                  <c:v>0.0472777777777778</c:v>
                </c:pt>
                <c:pt idx="75">
                  <c:v>0.0472777777777778</c:v>
                </c:pt>
                <c:pt idx="76">
                  <c:v>0.0472777777777778</c:v>
                </c:pt>
                <c:pt idx="77">
                  <c:v>0.0472777777777778</c:v>
                </c:pt>
                <c:pt idx="78">
                  <c:v>0.0472777777777778</c:v>
                </c:pt>
                <c:pt idx="79">
                  <c:v>0.0472777777777778</c:v>
                </c:pt>
                <c:pt idx="80">
                  <c:v>0.0472777777777778</c:v>
                </c:pt>
                <c:pt idx="81">
                  <c:v>0.0472777777777778</c:v>
                </c:pt>
                <c:pt idx="82">
                  <c:v>0.0472777777777778</c:v>
                </c:pt>
                <c:pt idx="83">
                  <c:v>0.0472777777777778</c:v>
                </c:pt>
                <c:pt idx="84">
                  <c:v>0.0472777777777778</c:v>
                </c:pt>
                <c:pt idx="85">
                  <c:v>0.0472777777777778</c:v>
                </c:pt>
                <c:pt idx="86">
                  <c:v>0.0472777777777778</c:v>
                </c:pt>
                <c:pt idx="87">
                  <c:v>0.0472777777777778</c:v>
                </c:pt>
                <c:pt idx="88">
                  <c:v>0.0472777777777778</c:v>
                </c:pt>
                <c:pt idx="89">
                  <c:v>0.0472777777777778</c:v>
                </c:pt>
                <c:pt idx="90">
                  <c:v>0.0472777777777778</c:v>
                </c:pt>
                <c:pt idx="91">
                  <c:v>0.0472777777777778</c:v>
                </c:pt>
                <c:pt idx="92">
                  <c:v>0.0472777777777778</c:v>
                </c:pt>
                <c:pt idx="93">
                  <c:v>0.0472777777777778</c:v>
                </c:pt>
                <c:pt idx="94">
                  <c:v>0.0472777777777778</c:v>
                </c:pt>
                <c:pt idx="95">
                  <c:v>0.0472777777777778</c:v>
                </c:pt>
                <c:pt idx="96">
                  <c:v>0.0472777777777778</c:v>
                </c:pt>
                <c:pt idx="97">
                  <c:v>0.0472777777777778</c:v>
                </c:pt>
                <c:pt idx="98">
                  <c:v>0.0472777777777778</c:v>
                </c:pt>
                <c:pt idx="99">
                  <c:v>0.0472777777777778</c:v>
                </c:pt>
                <c:pt idx="100">
                  <c:v>0.0472777777777778</c:v>
                </c:pt>
                <c:pt idx="101">
                  <c:v>0.0472777777777778</c:v>
                </c:pt>
                <c:pt idx="102">
                  <c:v>0.0472777777777778</c:v>
                </c:pt>
                <c:pt idx="103">
                  <c:v>0.0472777777777778</c:v>
                </c:pt>
                <c:pt idx="104">
                  <c:v>0.0472777777777778</c:v>
                </c:pt>
                <c:pt idx="105">
                  <c:v>0.0472777777777778</c:v>
                </c:pt>
                <c:pt idx="106">
                  <c:v>0.0472777777777778</c:v>
                </c:pt>
                <c:pt idx="107">
                  <c:v>0.0472777777777778</c:v>
                </c:pt>
                <c:pt idx="108">
                  <c:v>0.0472777777777778</c:v>
                </c:pt>
                <c:pt idx="109">
                  <c:v>0.0472777777777778</c:v>
                </c:pt>
                <c:pt idx="110">
                  <c:v>0.0472777777777778</c:v>
                </c:pt>
                <c:pt idx="111">
                  <c:v>0.0472777777777778</c:v>
                </c:pt>
                <c:pt idx="112">
                  <c:v>0.0472777777777778</c:v>
                </c:pt>
                <c:pt idx="113">
                  <c:v>0.0472777777777778</c:v>
                </c:pt>
                <c:pt idx="114">
                  <c:v>0.0472777777777778</c:v>
                </c:pt>
                <c:pt idx="115">
                  <c:v>0.0472777777777778</c:v>
                </c:pt>
                <c:pt idx="116">
                  <c:v>0.0472777777777778</c:v>
                </c:pt>
                <c:pt idx="117">
                  <c:v>0.0472777777777778</c:v>
                </c:pt>
                <c:pt idx="118">
                  <c:v>0.0472777777777778</c:v>
                </c:pt>
                <c:pt idx="119">
                  <c:v>0.0472777777777778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G1_inspection!E1</c:f>
              <c:strCache>
                <c:ptCount val="1"/>
                <c:pt idx="0">
                  <c:v>LCS p</c:v>
                </c:pt>
              </c:strCache>
            </c:strRef>
          </c:tx>
          <c:spPr>
            <a:solidFill>
              <a:srgbClr val="c00000"/>
            </a:solidFill>
            <a:ln w="158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G1_inspection!$A$2:$A$121</c:f>
              <c:strCach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strCache>
            </c:strRef>
          </c:cat>
          <c:val>
            <c:numRef>
              <c:f>G1_inspection!$E$2:$E$121</c:f>
              <c:numCache>
                <c:formatCode>0.0%</c:formatCode>
                <c:ptCount val="120"/>
                <c:pt idx="0">
                  <c:v>0.0992638852524712</c:v>
                </c:pt>
                <c:pt idx="1">
                  <c:v>0.0992638852524712</c:v>
                </c:pt>
                <c:pt idx="2">
                  <c:v>0.0992638852524712</c:v>
                </c:pt>
                <c:pt idx="3">
                  <c:v>0.0992638852524712</c:v>
                </c:pt>
                <c:pt idx="4">
                  <c:v>0.0992638852524712</c:v>
                </c:pt>
                <c:pt idx="5">
                  <c:v>0.0992638852524712</c:v>
                </c:pt>
                <c:pt idx="6">
                  <c:v>0.0992638852524712</c:v>
                </c:pt>
                <c:pt idx="7">
                  <c:v>0.0992638852524712</c:v>
                </c:pt>
                <c:pt idx="8">
                  <c:v>0.0992638852524712</c:v>
                </c:pt>
                <c:pt idx="9">
                  <c:v>0.0992638852524712</c:v>
                </c:pt>
                <c:pt idx="10">
                  <c:v>0.0992638852524712</c:v>
                </c:pt>
                <c:pt idx="11">
                  <c:v>0.0992638852524712</c:v>
                </c:pt>
                <c:pt idx="12">
                  <c:v>0.0992638852524712</c:v>
                </c:pt>
                <c:pt idx="13">
                  <c:v>0.0992638852524712</c:v>
                </c:pt>
                <c:pt idx="14">
                  <c:v>0.0992638852524712</c:v>
                </c:pt>
                <c:pt idx="15">
                  <c:v>0.0992638852524712</c:v>
                </c:pt>
                <c:pt idx="16">
                  <c:v>0.0992638852524712</c:v>
                </c:pt>
                <c:pt idx="17">
                  <c:v>0.0992638852524712</c:v>
                </c:pt>
                <c:pt idx="18">
                  <c:v>0.0992638852524712</c:v>
                </c:pt>
                <c:pt idx="19">
                  <c:v>0.0992638852524712</c:v>
                </c:pt>
                <c:pt idx="20">
                  <c:v>0.0992638852524712</c:v>
                </c:pt>
                <c:pt idx="21">
                  <c:v>0.0992638852524712</c:v>
                </c:pt>
                <c:pt idx="22">
                  <c:v>0.0992638852524712</c:v>
                </c:pt>
                <c:pt idx="23">
                  <c:v>0.0992638852524712</c:v>
                </c:pt>
                <c:pt idx="24">
                  <c:v>0.0992638852524712</c:v>
                </c:pt>
                <c:pt idx="25">
                  <c:v>0.0992638852524712</c:v>
                </c:pt>
                <c:pt idx="26">
                  <c:v>0.0992638852524712</c:v>
                </c:pt>
                <c:pt idx="27">
                  <c:v>0.0992638852524712</c:v>
                </c:pt>
                <c:pt idx="28">
                  <c:v>0.0992638852524712</c:v>
                </c:pt>
                <c:pt idx="29">
                  <c:v>0.0992638852524712</c:v>
                </c:pt>
                <c:pt idx="30">
                  <c:v>0.0992638852524712</c:v>
                </c:pt>
                <c:pt idx="31">
                  <c:v>0.0992638852524712</c:v>
                </c:pt>
                <c:pt idx="32">
                  <c:v>0.0992638852524712</c:v>
                </c:pt>
                <c:pt idx="33">
                  <c:v>0.0992638852524712</c:v>
                </c:pt>
                <c:pt idx="34">
                  <c:v>0.0992638852524712</c:v>
                </c:pt>
                <c:pt idx="35">
                  <c:v>0.0992638852524712</c:v>
                </c:pt>
                <c:pt idx="36">
                  <c:v>0.0992638852524712</c:v>
                </c:pt>
                <c:pt idx="37">
                  <c:v>0.0992638852524712</c:v>
                </c:pt>
                <c:pt idx="38">
                  <c:v>0.0992638852524712</c:v>
                </c:pt>
                <c:pt idx="39">
                  <c:v>0.0992638852524712</c:v>
                </c:pt>
                <c:pt idx="40">
                  <c:v>0.0992638852524712</c:v>
                </c:pt>
                <c:pt idx="41">
                  <c:v>0.0992638852524712</c:v>
                </c:pt>
                <c:pt idx="42">
                  <c:v>0.0992638852524712</c:v>
                </c:pt>
                <c:pt idx="43">
                  <c:v>0.0992638852524712</c:v>
                </c:pt>
                <c:pt idx="44">
                  <c:v>0.0992638852524712</c:v>
                </c:pt>
                <c:pt idx="45">
                  <c:v>0.0992638852524712</c:v>
                </c:pt>
                <c:pt idx="46">
                  <c:v>0.0992638852524712</c:v>
                </c:pt>
                <c:pt idx="47">
                  <c:v>0.0992638852524712</c:v>
                </c:pt>
                <c:pt idx="48">
                  <c:v>0.0992638852524712</c:v>
                </c:pt>
                <c:pt idx="49">
                  <c:v>0.0992638852524712</c:v>
                </c:pt>
                <c:pt idx="50">
                  <c:v>0.0992638852524712</c:v>
                </c:pt>
                <c:pt idx="51">
                  <c:v>0.0992638852524712</c:v>
                </c:pt>
                <c:pt idx="52">
                  <c:v>0.0992638852524712</c:v>
                </c:pt>
                <c:pt idx="53">
                  <c:v>0.0992638852524712</c:v>
                </c:pt>
                <c:pt idx="54">
                  <c:v>0.0992638852524712</c:v>
                </c:pt>
                <c:pt idx="55">
                  <c:v>0.0992638852524712</c:v>
                </c:pt>
                <c:pt idx="56">
                  <c:v>0.0992638852524712</c:v>
                </c:pt>
                <c:pt idx="57">
                  <c:v>0.0992638852524712</c:v>
                </c:pt>
                <c:pt idx="58">
                  <c:v>0.0992638852524712</c:v>
                </c:pt>
                <c:pt idx="59">
                  <c:v>0.0992638852524712</c:v>
                </c:pt>
                <c:pt idx="60">
                  <c:v>0.0992638852524712</c:v>
                </c:pt>
                <c:pt idx="61">
                  <c:v>0.0992638852524712</c:v>
                </c:pt>
                <c:pt idx="62">
                  <c:v>0.0992638852524712</c:v>
                </c:pt>
                <c:pt idx="63">
                  <c:v>0.0992638852524712</c:v>
                </c:pt>
                <c:pt idx="64">
                  <c:v>0.0992638852524712</c:v>
                </c:pt>
                <c:pt idx="65">
                  <c:v>0.0992638852524712</c:v>
                </c:pt>
                <c:pt idx="66">
                  <c:v>0.0992638852524712</c:v>
                </c:pt>
                <c:pt idx="67">
                  <c:v>0.0992638852524712</c:v>
                </c:pt>
                <c:pt idx="68">
                  <c:v>0.0992638852524712</c:v>
                </c:pt>
                <c:pt idx="69">
                  <c:v>0.0992638852524712</c:v>
                </c:pt>
                <c:pt idx="70">
                  <c:v>0.0992638852524712</c:v>
                </c:pt>
                <c:pt idx="71">
                  <c:v>0.0992638852524712</c:v>
                </c:pt>
                <c:pt idx="72">
                  <c:v>0.0992638852524712</c:v>
                </c:pt>
                <c:pt idx="73">
                  <c:v>0.0992638852524712</c:v>
                </c:pt>
                <c:pt idx="74">
                  <c:v>0.0992638852524712</c:v>
                </c:pt>
                <c:pt idx="75">
                  <c:v>0.0992638852524712</c:v>
                </c:pt>
                <c:pt idx="76">
                  <c:v>0.0992638852524712</c:v>
                </c:pt>
                <c:pt idx="77">
                  <c:v>0.0992638852524712</c:v>
                </c:pt>
                <c:pt idx="78">
                  <c:v>0.0992638852524712</c:v>
                </c:pt>
                <c:pt idx="79">
                  <c:v>0.0992638852524712</c:v>
                </c:pt>
                <c:pt idx="80">
                  <c:v>0.0992638852524712</c:v>
                </c:pt>
                <c:pt idx="81">
                  <c:v>0.0992638852524712</c:v>
                </c:pt>
                <c:pt idx="82">
                  <c:v>0.0992638852524712</c:v>
                </c:pt>
                <c:pt idx="83">
                  <c:v>0.0992638852524712</c:v>
                </c:pt>
                <c:pt idx="84">
                  <c:v>0.0992638852524712</c:v>
                </c:pt>
                <c:pt idx="85">
                  <c:v>0.0992638852524712</c:v>
                </c:pt>
                <c:pt idx="86">
                  <c:v>0.0992638852524712</c:v>
                </c:pt>
                <c:pt idx="87">
                  <c:v>0.0992638852524712</c:v>
                </c:pt>
                <c:pt idx="88">
                  <c:v>0.0992638852524712</c:v>
                </c:pt>
                <c:pt idx="89">
                  <c:v>0.0992638852524712</c:v>
                </c:pt>
                <c:pt idx="90">
                  <c:v>0.0992638852524712</c:v>
                </c:pt>
                <c:pt idx="91">
                  <c:v>0.0992638852524712</c:v>
                </c:pt>
                <c:pt idx="92">
                  <c:v>0.0992638852524712</c:v>
                </c:pt>
                <c:pt idx="93">
                  <c:v>0.0992638852524712</c:v>
                </c:pt>
                <c:pt idx="94">
                  <c:v>0.0992638852524712</c:v>
                </c:pt>
                <c:pt idx="95">
                  <c:v>0.0992638852524712</c:v>
                </c:pt>
                <c:pt idx="96">
                  <c:v>0.0992638852524712</c:v>
                </c:pt>
                <c:pt idx="97">
                  <c:v>0.0992638852524712</c:v>
                </c:pt>
                <c:pt idx="98">
                  <c:v>0.0992638852524712</c:v>
                </c:pt>
                <c:pt idx="99">
                  <c:v>0.0992638852524712</c:v>
                </c:pt>
                <c:pt idx="100">
                  <c:v>0.0992638852524712</c:v>
                </c:pt>
                <c:pt idx="101">
                  <c:v>0.0992638852524712</c:v>
                </c:pt>
                <c:pt idx="102">
                  <c:v>0.0992638852524712</c:v>
                </c:pt>
                <c:pt idx="103">
                  <c:v>0.0992638852524712</c:v>
                </c:pt>
                <c:pt idx="104">
                  <c:v>0.0992638852524712</c:v>
                </c:pt>
                <c:pt idx="105">
                  <c:v>0.0992638852524712</c:v>
                </c:pt>
                <c:pt idx="106">
                  <c:v>0.0992638852524712</c:v>
                </c:pt>
                <c:pt idx="107">
                  <c:v>0.0992638852524712</c:v>
                </c:pt>
                <c:pt idx="108">
                  <c:v>0.0992638852524712</c:v>
                </c:pt>
                <c:pt idx="109">
                  <c:v>0.0992638852524712</c:v>
                </c:pt>
                <c:pt idx="110">
                  <c:v>0.0992638852524712</c:v>
                </c:pt>
                <c:pt idx="111">
                  <c:v>0.0992638852524712</c:v>
                </c:pt>
                <c:pt idx="112">
                  <c:v>0.0992638852524712</c:v>
                </c:pt>
                <c:pt idx="113">
                  <c:v>0.0992638852524712</c:v>
                </c:pt>
                <c:pt idx="114">
                  <c:v>0.0992638852524712</c:v>
                </c:pt>
                <c:pt idx="115">
                  <c:v>0.0992638852524712</c:v>
                </c:pt>
                <c:pt idx="116">
                  <c:v>0.0992638852524712</c:v>
                </c:pt>
                <c:pt idx="117">
                  <c:v>0.0992638852524712</c:v>
                </c:pt>
                <c:pt idx="118">
                  <c:v>0.0992638852524712</c:v>
                </c:pt>
                <c:pt idx="119">
                  <c:v>0.0992638852524712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G1_inspection!F1</c:f>
              <c:strCache>
                <c:ptCount val="1"/>
                <c:pt idx="0">
                  <c:v>LCI p</c:v>
                </c:pt>
              </c:strCache>
            </c:strRef>
          </c:tx>
          <c:spPr>
            <a:solidFill>
              <a:srgbClr val="c00000"/>
            </a:solidFill>
            <a:ln w="158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G1_inspection!$A$2:$A$121</c:f>
              <c:strCach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strCache>
            </c:strRef>
          </c:cat>
          <c:val>
            <c:numRef>
              <c:f>G1_inspection!$F$2:$F$121</c:f>
              <c:numCache>
                <c:formatCode>0.0%</c:formatCode>
                <c:ptCount val="1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5361558"/>
        <c:axId val="37119039"/>
      </c:lineChart>
      <c:catAx>
        <c:axId val="253615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119039"/>
        <c:crosses val="autoZero"/>
        <c:auto val="1"/>
        <c:lblAlgn val="ctr"/>
        <c:lblOffset val="100"/>
        <c:noMultiLvlLbl val="0"/>
      </c:catAx>
      <c:valAx>
        <c:axId val="3711903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3615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Carte np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G1_inspection!C1</c:f>
              <c:strCache>
                <c:ptCount val="1"/>
                <c:pt idx="0">
                  <c:v>Non_conformes</c:v>
                </c:pt>
              </c:strCache>
            </c:strRef>
          </c:tx>
          <c:spPr>
            <a:solidFill>
              <a:srgbClr val="1f3864"/>
            </a:solidFill>
            <a:ln w="19080">
              <a:solidFill>
                <a:srgbClr val="1f3864"/>
              </a:solidFill>
              <a:round/>
            </a:ln>
          </c:spPr>
          <c:marker>
            <c:symbol val="circle"/>
            <c:size val="6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G1_inspection!$A$2:$A$121</c:f>
              <c:strCach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strCache>
            </c:strRef>
          </c:cat>
          <c:val>
            <c:numRef>
              <c:f>G1_inspection!$C$2:$C$121</c:f>
              <c:numCache>
                <c:formatCode>General</c:formatCode>
                <c:ptCount val="120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10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11</c:v>
                </c:pt>
                <c:pt idx="10">
                  <c:v>9</c:v>
                </c:pt>
                <c:pt idx="11">
                  <c:v>2</c:v>
                </c:pt>
                <c:pt idx="12">
                  <c:v>7</c:v>
                </c:pt>
                <c:pt idx="13">
                  <c:v>8</c:v>
                </c:pt>
                <c:pt idx="14">
                  <c:v>4</c:v>
                </c:pt>
                <c:pt idx="15">
                  <c:v>2</c:v>
                </c:pt>
                <c:pt idx="16">
                  <c:v>6</c:v>
                </c:pt>
                <c:pt idx="17">
                  <c:v>5</c:v>
                </c:pt>
                <c:pt idx="18">
                  <c:v>4</c:v>
                </c:pt>
                <c:pt idx="19">
                  <c:v>3</c:v>
                </c:pt>
                <c:pt idx="20">
                  <c:v>6</c:v>
                </c:pt>
                <c:pt idx="21">
                  <c:v>7</c:v>
                </c:pt>
                <c:pt idx="22">
                  <c:v>9</c:v>
                </c:pt>
                <c:pt idx="23">
                  <c:v>10</c:v>
                </c:pt>
                <c:pt idx="24">
                  <c:v>14</c:v>
                </c:pt>
                <c:pt idx="25">
                  <c:v>13</c:v>
                </c:pt>
                <c:pt idx="26">
                  <c:v>10</c:v>
                </c:pt>
                <c:pt idx="27">
                  <c:v>9</c:v>
                </c:pt>
                <c:pt idx="28">
                  <c:v>8</c:v>
                </c:pt>
                <c:pt idx="29">
                  <c:v>10</c:v>
                </c:pt>
                <c:pt idx="30">
                  <c:v>3</c:v>
                </c:pt>
                <c:pt idx="31">
                  <c:v>2</c:v>
                </c:pt>
                <c:pt idx="32">
                  <c:v>4</c:v>
                </c:pt>
                <c:pt idx="33">
                  <c:v>6</c:v>
                </c:pt>
                <c:pt idx="34">
                  <c:v>4</c:v>
                </c:pt>
                <c:pt idx="35">
                  <c:v>10</c:v>
                </c:pt>
                <c:pt idx="36">
                  <c:v>8</c:v>
                </c:pt>
                <c:pt idx="37">
                  <c:v>7</c:v>
                </c:pt>
                <c:pt idx="38">
                  <c:v>14</c:v>
                </c:pt>
                <c:pt idx="39">
                  <c:v>13</c:v>
                </c:pt>
                <c:pt idx="40">
                  <c:v>4</c:v>
                </c:pt>
                <c:pt idx="41">
                  <c:v>8</c:v>
                </c:pt>
                <c:pt idx="42">
                  <c:v>4</c:v>
                </c:pt>
                <c:pt idx="43">
                  <c:v>10</c:v>
                </c:pt>
                <c:pt idx="44">
                  <c:v>14</c:v>
                </c:pt>
                <c:pt idx="45">
                  <c:v>8</c:v>
                </c:pt>
                <c:pt idx="46">
                  <c:v>12</c:v>
                </c:pt>
                <c:pt idx="47">
                  <c:v>4</c:v>
                </c:pt>
                <c:pt idx="48">
                  <c:v>5</c:v>
                </c:pt>
                <c:pt idx="49">
                  <c:v>14</c:v>
                </c:pt>
                <c:pt idx="50">
                  <c:v>2</c:v>
                </c:pt>
                <c:pt idx="51">
                  <c:v>8</c:v>
                </c:pt>
                <c:pt idx="52">
                  <c:v>6</c:v>
                </c:pt>
                <c:pt idx="53">
                  <c:v>10</c:v>
                </c:pt>
                <c:pt idx="54">
                  <c:v>8</c:v>
                </c:pt>
                <c:pt idx="55">
                  <c:v>6</c:v>
                </c:pt>
                <c:pt idx="56">
                  <c:v>4</c:v>
                </c:pt>
                <c:pt idx="57">
                  <c:v>6</c:v>
                </c:pt>
                <c:pt idx="58">
                  <c:v>15</c:v>
                </c:pt>
                <c:pt idx="59">
                  <c:v>4</c:v>
                </c:pt>
                <c:pt idx="60">
                  <c:v>7</c:v>
                </c:pt>
                <c:pt idx="61">
                  <c:v>2</c:v>
                </c:pt>
                <c:pt idx="62">
                  <c:v>6</c:v>
                </c:pt>
                <c:pt idx="63">
                  <c:v>9</c:v>
                </c:pt>
                <c:pt idx="64">
                  <c:v>10</c:v>
                </c:pt>
                <c:pt idx="65">
                  <c:v>7</c:v>
                </c:pt>
                <c:pt idx="66">
                  <c:v>9</c:v>
                </c:pt>
                <c:pt idx="67">
                  <c:v>16</c:v>
                </c:pt>
                <c:pt idx="68">
                  <c:v>11</c:v>
                </c:pt>
                <c:pt idx="69">
                  <c:v>13</c:v>
                </c:pt>
                <c:pt idx="70">
                  <c:v>3</c:v>
                </c:pt>
                <c:pt idx="71">
                  <c:v>13</c:v>
                </c:pt>
                <c:pt idx="72">
                  <c:v>3</c:v>
                </c:pt>
                <c:pt idx="73">
                  <c:v>7</c:v>
                </c:pt>
                <c:pt idx="74">
                  <c:v>3</c:v>
                </c:pt>
                <c:pt idx="75">
                  <c:v>2</c:v>
                </c:pt>
                <c:pt idx="76">
                  <c:v>9</c:v>
                </c:pt>
                <c:pt idx="77">
                  <c:v>4</c:v>
                </c:pt>
                <c:pt idx="78">
                  <c:v>13</c:v>
                </c:pt>
                <c:pt idx="79">
                  <c:v>3</c:v>
                </c:pt>
                <c:pt idx="80">
                  <c:v>6</c:v>
                </c:pt>
                <c:pt idx="81">
                  <c:v>1</c:v>
                </c:pt>
                <c:pt idx="82">
                  <c:v>4</c:v>
                </c:pt>
                <c:pt idx="83">
                  <c:v>13</c:v>
                </c:pt>
                <c:pt idx="84">
                  <c:v>12</c:v>
                </c:pt>
                <c:pt idx="85">
                  <c:v>10</c:v>
                </c:pt>
                <c:pt idx="86">
                  <c:v>2</c:v>
                </c:pt>
                <c:pt idx="87">
                  <c:v>5</c:v>
                </c:pt>
                <c:pt idx="88">
                  <c:v>7</c:v>
                </c:pt>
                <c:pt idx="89">
                  <c:v>10</c:v>
                </c:pt>
                <c:pt idx="90">
                  <c:v>4</c:v>
                </c:pt>
                <c:pt idx="91">
                  <c:v>2</c:v>
                </c:pt>
                <c:pt idx="92">
                  <c:v>2</c:v>
                </c:pt>
                <c:pt idx="93">
                  <c:v>6</c:v>
                </c:pt>
                <c:pt idx="94">
                  <c:v>4</c:v>
                </c:pt>
                <c:pt idx="95">
                  <c:v>10</c:v>
                </c:pt>
                <c:pt idx="96">
                  <c:v>8</c:v>
                </c:pt>
                <c:pt idx="97">
                  <c:v>14</c:v>
                </c:pt>
                <c:pt idx="98">
                  <c:v>6</c:v>
                </c:pt>
                <c:pt idx="99">
                  <c:v>4</c:v>
                </c:pt>
                <c:pt idx="100">
                  <c:v>7</c:v>
                </c:pt>
                <c:pt idx="101">
                  <c:v>4</c:v>
                </c:pt>
                <c:pt idx="102">
                  <c:v>8</c:v>
                </c:pt>
                <c:pt idx="103">
                  <c:v>7</c:v>
                </c:pt>
                <c:pt idx="104">
                  <c:v>3</c:v>
                </c:pt>
                <c:pt idx="105">
                  <c:v>6</c:v>
                </c:pt>
                <c:pt idx="106">
                  <c:v>7</c:v>
                </c:pt>
                <c:pt idx="107">
                  <c:v>8</c:v>
                </c:pt>
                <c:pt idx="108">
                  <c:v>4</c:v>
                </c:pt>
                <c:pt idx="109">
                  <c:v>12</c:v>
                </c:pt>
                <c:pt idx="110">
                  <c:v>6</c:v>
                </c:pt>
                <c:pt idx="111">
                  <c:v>17</c:v>
                </c:pt>
                <c:pt idx="112">
                  <c:v>5</c:v>
                </c:pt>
                <c:pt idx="113">
                  <c:v>10</c:v>
                </c:pt>
                <c:pt idx="114">
                  <c:v>8</c:v>
                </c:pt>
                <c:pt idx="115">
                  <c:v>9</c:v>
                </c:pt>
                <c:pt idx="116">
                  <c:v>11</c:v>
                </c:pt>
                <c:pt idx="117">
                  <c:v>7</c:v>
                </c:pt>
                <c:pt idx="118">
                  <c:v>2</c:v>
                </c:pt>
                <c:pt idx="119">
                  <c:v>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G1_inspection!H1</c:f>
              <c:strCache>
                <c:ptCount val="1"/>
                <c:pt idx="0">
                  <c:v>np barre</c:v>
                </c:pt>
              </c:strCache>
            </c:strRef>
          </c:tx>
          <c:spPr>
            <a:solidFill>
              <a:srgbClr val="1f3864"/>
            </a:solidFill>
            <a:ln w="15840">
              <a:solidFill>
                <a:srgbClr val="1f3864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G1_inspection!$A$2:$A$121</c:f>
              <c:strCach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strCache>
            </c:strRef>
          </c:cat>
          <c:val>
            <c:numRef>
              <c:f>G1_inspection!$H$2:$H$121</c:f>
              <c:numCache>
                <c:formatCode>0.00</c:formatCode>
                <c:ptCount val="120"/>
                <c:pt idx="0">
                  <c:v>7.09166666666667</c:v>
                </c:pt>
                <c:pt idx="1">
                  <c:v>7.09166666666667</c:v>
                </c:pt>
                <c:pt idx="2">
                  <c:v>7.09166666666667</c:v>
                </c:pt>
                <c:pt idx="3">
                  <c:v>7.09166666666667</c:v>
                </c:pt>
                <c:pt idx="4">
                  <c:v>7.09166666666667</c:v>
                </c:pt>
                <c:pt idx="5">
                  <c:v>7.09166666666667</c:v>
                </c:pt>
                <c:pt idx="6">
                  <c:v>7.09166666666667</c:v>
                </c:pt>
                <c:pt idx="7">
                  <c:v>7.09166666666667</c:v>
                </c:pt>
                <c:pt idx="8">
                  <c:v>7.09166666666667</c:v>
                </c:pt>
                <c:pt idx="9">
                  <c:v>7.09166666666667</c:v>
                </c:pt>
                <c:pt idx="10">
                  <c:v>7.09166666666667</c:v>
                </c:pt>
                <c:pt idx="11">
                  <c:v>7.09166666666667</c:v>
                </c:pt>
                <c:pt idx="12">
                  <c:v>7.09166666666667</c:v>
                </c:pt>
                <c:pt idx="13">
                  <c:v>7.09166666666667</c:v>
                </c:pt>
                <c:pt idx="14">
                  <c:v>7.09166666666667</c:v>
                </c:pt>
                <c:pt idx="15">
                  <c:v>7.09166666666667</c:v>
                </c:pt>
                <c:pt idx="16">
                  <c:v>7.09166666666667</c:v>
                </c:pt>
                <c:pt idx="17">
                  <c:v>7.09166666666667</c:v>
                </c:pt>
                <c:pt idx="18">
                  <c:v>7.09166666666667</c:v>
                </c:pt>
                <c:pt idx="19">
                  <c:v>7.09166666666667</c:v>
                </c:pt>
                <c:pt idx="20">
                  <c:v>7.09166666666667</c:v>
                </c:pt>
                <c:pt idx="21">
                  <c:v>7.09166666666667</c:v>
                </c:pt>
                <c:pt idx="22">
                  <c:v>7.09166666666667</c:v>
                </c:pt>
                <c:pt idx="23">
                  <c:v>7.09166666666667</c:v>
                </c:pt>
                <c:pt idx="24">
                  <c:v>7.09166666666667</c:v>
                </c:pt>
                <c:pt idx="25">
                  <c:v>7.09166666666667</c:v>
                </c:pt>
                <c:pt idx="26">
                  <c:v>7.09166666666667</c:v>
                </c:pt>
                <c:pt idx="27">
                  <c:v>7.09166666666667</c:v>
                </c:pt>
                <c:pt idx="28">
                  <c:v>7.09166666666667</c:v>
                </c:pt>
                <c:pt idx="29">
                  <c:v>7.09166666666667</c:v>
                </c:pt>
                <c:pt idx="30">
                  <c:v>7.09166666666667</c:v>
                </c:pt>
                <c:pt idx="31">
                  <c:v>7.09166666666667</c:v>
                </c:pt>
                <c:pt idx="32">
                  <c:v>7.09166666666667</c:v>
                </c:pt>
                <c:pt idx="33">
                  <c:v>7.09166666666667</c:v>
                </c:pt>
                <c:pt idx="34">
                  <c:v>7.09166666666667</c:v>
                </c:pt>
                <c:pt idx="35">
                  <c:v>7.09166666666667</c:v>
                </c:pt>
                <c:pt idx="36">
                  <c:v>7.09166666666667</c:v>
                </c:pt>
                <c:pt idx="37">
                  <c:v>7.09166666666667</c:v>
                </c:pt>
                <c:pt idx="38">
                  <c:v>7.09166666666667</c:v>
                </c:pt>
                <c:pt idx="39">
                  <c:v>7.09166666666667</c:v>
                </c:pt>
                <c:pt idx="40">
                  <c:v>7.09166666666667</c:v>
                </c:pt>
                <c:pt idx="41">
                  <c:v>7.09166666666667</c:v>
                </c:pt>
                <c:pt idx="42">
                  <c:v>7.09166666666667</c:v>
                </c:pt>
                <c:pt idx="43">
                  <c:v>7.09166666666667</c:v>
                </c:pt>
                <c:pt idx="44">
                  <c:v>7.09166666666667</c:v>
                </c:pt>
                <c:pt idx="45">
                  <c:v>7.09166666666667</c:v>
                </c:pt>
                <c:pt idx="46">
                  <c:v>7.09166666666667</c:v>
                </c:pt>
                <c:pt idx="47">
                  <c:v>7.09166666666667</c:v>
                </c:pt>
                <c:pt idx="48">
                  <c:v>7.09166666666667</c:v>
                </c:pt>
                <c:pt idx="49">
                  <c:v>7.09166666666667</c:v>
                </c:pt>
                <c:pt idx="50">
                  <c:v>7.09166666666667</c:v>
                </c:pt>
                <c:pt idx="51">
                  <c:v>7.09166666666667</c:v>
                </c:pt>
                <c:pt idx="52">
                  <c:v>7.09166666666667</c:v>
                </c:pt>
                <c:pt idx="53">
                  <c:v>7.09166666666667</c:v>
                </c:pt>
                <c:pt idx="54">
                  <c:v>7.09166666666667</c:v>
                </c:pt>
                <c:pt idx="55">
                  <c:v>7.09166666666667</c:v>
                </c:pt>
                <c:pt idx="56">
                  <c:v>7.09166666666667</c:v>
                </c:pt>
                <c:pt idx="57">
                  <c:v>7.09166666666667</c:v>
                </c:pt>
                <c:pt idx="58">
                  <c:v>7.09166666666667</c:v>
                </c:pt>
                <c:pt idx="59">
                  <c:v>7.09166666666667</c:v>
                </c:pt>
                <c:pt idx="60">
                  <c:v>7.09166666666667</c:v>
                </c:pt>
                <c:pt idx="61">
                  <c:v>7.09166666666667</c:v>
                </c:pt>
                <c:pt idx="62">
                  <c:v>7.09166666666667</c:v>
                </c:pt>
                <c:pt idx="63">
                  <c:v>7.09166666666667</c:v>
                </c:pt>
                <c:pt idx="64">
                  <c:v>7.09166666666667</c:v>
                </c:pt>
                <c:pt idx="65">
                  <c:v>7.09166666666667</c:v>
                </c:pt>
                <c:pt idx="66">
                  <c:v>7.09166666666667</c:v>
                </c:pt>
                <c:pt idx="67">
                  <c:v>7.09166666666667</c:v>
                </c:pt>
                <c:pt idx="68">
                  <c:v>7.09166666666667</c:v>
                </c:pt>
                <c:pt idx="69">
                  <c:v>7.09166666666667</c:v>
                </c:pt>
                <c:pt idx="70">
                  <c:v>7.09166666666667</c:v>
                </c:pt>
                <c:pt idx="71">
                  <c:v>7.09166666666667</c:v>
                </c:pt>
                <c:pt idx="72">
                  <c:v>7.09166666666667</c:v>
                </c:pt>
                <c:pt idx="73">
                  <c:v>7.09166666666667</c:v>
                </c:pt>
                <c:pt idx="74">
                  <c:v>7.09166666666667</c:v>
                </c:pt>
                <c:pt idx="75">
                  <c:v>7.09166666666667</c:v>
                </c:pt>
                <c:pt idx="76">
                  <c:v>7.09166666666667</c:v>
                </c:pt>
                <c:pt idx="77">
                  <c:v>7.09166666666667</c:v>
                </c:pt>
                <c:pt idx="78">
                  <c:v>7.09166666666667</c:v>
                </c:pt>
                <c:pt idx="79">
                  <c:v>7.09166666666667</c:v>
                </c:pt>
                <c:pt idx="80">
                  <c:v>7.09166666666667</c:v>
                </c:pt>
                <c:pt idx="81">
                  <c:v>7.09166666666667</c:v>
                </c:pt>
                <c:pt idx="82">
                  <c:v>7.09166666666667</c:v>
                </c:pt>
                <c:pt idx="83">
                  <c:v>7.09166666666667</c:v>
                </c:pt>
                <c:pt idx="84">
                  <c:v>7.09166666666667</c:v>
                </c:pt>
                <c:pt idx="85">
                  <c:v>7.09166666666667</c:v>
                </c:pt>
                <c:pt idx="86">
                  <c:v>7.09166666666667</c:v>
                </c:pt>
                <c:pt idx="87">
                  <c:v>7.09166666666667</c:v>
                </c:pt>
                <c:pt idx="88">
                  <c:v>7.09166666666667</c:v>
                </c:pt>
                <c:pt idx="89">
                  <c:v>7.09166666666667</c:v>
                </c:pt>
                <c:pt idx="90">
                  <c:v>7.09166666666667</c:v>
                </c:pt>
                <c:pt idx="91">
                  <c:v>7.09166666666667</c:v>
                </c:pt>
                <c:pt idx="92">
                  <c:v>7.09166666666667</c:v>
                </c:pt>
                <c:pt idx="93">
                  <c:v>7.09166666666667</c:v>
                </c:pt>
                <c:pt idx="94">
                  <c:v>7.09166666666667</c:v>
                </c:pt>
                <c:pt idx="95">
                  <c:v>7.09166666666667</c:v>
                </c:pt>
                <c:pt idx="96">
                  <c:v>7.09166666666667</c:v>
                </c:pt>
                <c:pt idx="97">
                  <c:v>7.09166666666667</c:v>
                </c:pt>
                <c:pt idx="98">
                  <c:v>7.09166666666667</c:v>
                </c:pt>
                <c:pt idx="99">
                  <c:v>7.09166666666667</c:v>
                </c:pt>
                <c:pt idx="100">
                  <c:v>7.09166666666667</c:v>
                </c:pt>
                <c:pt idx="101">
                  <c:v>7.09166666666667</c:v>
                </c:pt>
                <c:pt idx="102">
                  <c:v>7.09166666666667</c:v>
                </c:pt>
                <c:pt idx="103">
                  <c:v>7.09166666666667</c:v>
                </c:pt>
                <c:pt idx="104">
                  <c:v>7.09166666666667</c:v>
                </c:pt>
                <c:pt idx="105">
                  <c:v>7.09166666666667</c:v>
                </c:pt>
                <c:pt idx="106">
                  <c:v>7.09166666666667</c:v>
                </c:pt>
                <c:pt idx="107">
                  <c:v>7.09166666666667</c:v>
                </c:pt>
                <c:pt idx="108">
                  <c:v>7.09166666666667</c:v>
                </c:pt>
                <c:pt idx="109">
                  <c:v>7.09166666666667</c:v>
                </c:pt>
                <c:pt idx="110">
                  <c:v>7.09166666666667</c:v>
                </c:pt>
                <c:pt idx="111">
                  <c:v>7.09166666666667</c:v>
                </c:pt>
                <c:pt idx="112">
                  <c:v>7.09166666666667</c:v>
                </c:pt>
                <c:pt idx="113">
                  <c:v>7.09166666666667</c:v>
                </c:pt>
                <c:pt idx="114">
                  <c:v>7.09166666666667</c:v>
                </c:pt>
                <c:pt idx="115">
                  <c:v>7.09166666666667</c:v>
                </c:pt>
                <c:pt idx="116">
                  <c:v>7.09166666666667</c:v>
                </c:pt>
                <c:pt idx="117">
                  <c:v>7.09166666666667</c:v>
                </c:pt>
                <c:pt idx="118">
                  <c:v>7.09166666666667</c:v>
                </c:pt>
                <c:pt idx="119">
                  <c:v>7.09166666666667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G1_inspection!I1</c:f>
              <c:strCache>
                <c:ptCount val="1"/>
                <c:pt idx="0">
                  <c:v>LCS np</c:v>
                </c:pt>
              </c:strCache>
            </c:strRef>
          </c:tx>
          <c:spPr>
            <a:solidFill>
              <a:srgbClr val="c00000"/>
            </a:solidFill>
            <a:ln w="158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G1_inspection!$A$2:$A$121</c:f>
              <c:strCach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strCache>
            </c:strRef>
          </c:cat>
          <c:val>
            <c:numRef>
              <c:f>G1_inspection!$I$2:$I$121</c:f>
              <c:numCache>
                <c:formatCode>0.00</c:formatCode>
                <c:ptCount val="120"/>
                <c:pt idx="0">
                  <c:v>14.8895827878707</c:v>
                </c:pt>
                <c:pt idx="1">
                  <c:v>14.8895827878707</c:v>
                </c:pt>
                <c:pt idx="2">
                  <c:v>14.8895827878707</c:v>
                </c:pt>
                <c:pt idx="3">
                  <c:v>14.8895827878707</c:v>
                </c:pt>
                <c:pt idx="4">
                  <c:v>14.8895827878707</c:v>
                </c:pt>
                <c:pt idx="5">
                  <c:v>14.8895827878707</c:v>
                </c:pt>
                <c:pt idx="6">
                  <c:v>14.8895827878707</c:v>
                </c:pt>
                <c:pt idx="7">
                  <c:v>14.8895827878707</c:v>
                </c:pt>
                <c:pt idx="8">
                  <c:v>14.8895827878707</c:v>
                </c:pt>
                <c:pt idx="9">
                  <c:v>14.8895827878707</c:v>
                </c:pt>
                <c:pt idx="10">
                  <c:v>14.8895827878707</c:v>
                </c:pt>
                <c:pt idx="11">
                  <c:v>14.8895827878707</c:v>
                </c:pt>
                <c:pt idx="12">
                  <c:v>14.8895827878707</c:v>
                </c:pt>
                <c:pt idx="13">
                  <c:v>14.8895827878707</c:v>
                </c:pt>
                <c:pt idx="14">
                  <c:v>14.8895827878707</c:v>
                </c:pt>
                <c:pt idx="15">
                  <c:v>14.8895827878707</c:v>
                </c:pt>
                <c:pt idx="16">
                  <c:v>14.8895827878707</c:v>
                </c:pt>
                <c:pt idx="17">
                  <c:v>14.8895827878707</c:v>
                </c:pt>
                <c:pt idx="18">
                  <c:v>14.8895827878707</c:v>
                </c:pt>
                <c:pt idx="19">
                  <c:v>14.8895827878707</c:v>
                </c:pt>
                <c:pt idx="20">
                  <c:v>14.8895827878707</c:v>
                </c:pt>
                <c:pt idx="21">
                  <c:v>14.8895827878707</c:v>
                </c:pt>
                <c:pt idx="22">
                  <c:v>14.8895827878707</c:v>
                </c:pt>
                <c:pt idx="23">
                  <c:v>14.8895827878707</c:v>
                </c:pt>
                <c:pt idx="24">
                  <c:v>14.8895827878707</c:v>
                </c:pt>
                <c:pt idx="25">
                  <c:v>14.8895827878707</c:v>
                </c:pt>
                <c:pt idx="26">
                  <c:v>14.8895827878707</c:v>
                </c:pt>
                <c:pt idx="27">
                  <c:v>14.8895827878707</c:v>
                </c:pt>
                <c:pt idx="28">
                  <c:v>14.8895827878707</c:v>
                </c:pt>
                <c:pt idx="29">
                  <c:v>14.8895827878707</c:v>
                </c:pt>
                <c:pt idx="30">
                  <c:v>14.8895827878707</c:v>
                </c:pt>
                <c:pt idx="31">
                  <c:v>14.8895827878707</c:v>
                </c:pt>
                <c:pt idx="32">
                  <c:v>14.8895827878707</c:v>
                </c:pt>
                <c:pt idx="33">
                  <c:v>14.8895827878707</c:v>
                </c:pt>
                <c:pt idx="34">
                  <c:v>14.8895827878707</c:v>
                </c:pt>
                <c:pt idx="35">
                  <c:v>14.8895827878707</c:v>
                </c:pt>
                <c:pt idx="36">
                  <c:v>14.8895827878707</c:v>
                </c:pt>
                <c:pt idx="37">
                  <c:v>14.8895827878707</c:v>
                </c:pt>
                <c:pt idx="38">
                  <c:v>14.8895827878707</c:v>
                </c:pt>
                <c:pt idx="39">
                  <c:v>14.8895827878707</c:v>
                </c:pt>
                <c:pt idx="40">
                  <c:v>14.8895827878707</c:v>
                </c:pt>
                <c:pt idx="41">
                  <c:v>14.8895827878707</c:v>
                </c:pt>
                <c:pt idx="42">
                  <c:v>14.8895827878707</c:v>
                </c:pt>
                <c:pt idx="43">
                  <c:v>14.8895827878707</c:v>
                </c:pt>
                <c:pt idx="44">
                  <c:v>14.8895827878707</c:v>
                </c:pt>
                <c:pt idx="45">
                  <c:v>14.8895827878707</c:v>
                </c:pt>
                <c:pt idx="46">
                  <c:v>14.8895827878707</c:v>
                </c:pt>
                <c:pt idx="47">
                  <c:v>14.8895827878707</c:v>
                </c:pt>
                <c:pt idx="48">
                  <c:v>14.8895827878707</c:v>
                </c:pt>
                <c:pt idx="49">
                  <c:v>14.8895827878707</c:v>
                </c:pt>
                <c:pt idx="50">
                  <c:v>14.8895827878707</c:v>
                </c:pt>
                <c:pt idx="51">
                  <c:v>14.8895827878707</c:v>
                </c:pt>
                <c:pt idx="52">
                  <c:v>14.8895827878707</c:v>
                </c:pt>
                <c:pt idx="53">
                  <c:v>14.8895827878707</c:v>
                </c:pt>
                <c:pt idx="54">
                  <c:v>14.8895827878707</c:v>
                </c:pt>
                <c:pt idx="55">
                  <c:v>14.8895827878707</c:v>
                </c:pt>
                <c:pt idx="56">
                  <c:v>14.8895827878707</c:v>
                </c:pt>
                <c:pt idx="57">
                  <c:v>14.8895827878707</c:v>
                </c:pt>
                <c:pt idx="58">
                  <c:v>14.8895827878707</c:v>
                </c:pt>
                <c:pt idx="59">
                  <c:v>14.8895827878707</c:v>
                </c:pt>
                <c:pt idx="60">
                  <c:v>14.8895827878707</c:v>
                </c:pt>
                <c:pt idx="61">
                  <c:v>14.8895827878707</c:v>
                </c:pt>
                <c:pt idx="62">
                  <c:v>14.8895827878707</c:v>
                </c:pt>
                <c:pt idx="63">
                  <c:v>14.8895827878707</c:v>
                </c:pt>
                <c:pt idx="64">
                  <c:v>14.8895827878707</c:v>
                </c:pt>
                <c:pt idx="65">
                  <c:v>14.8895827878707</c:v>
                </c:pt>
                <c:pt idx="66">
                  <c:v>14.8895827878707</c:v>
                </c:pt>
                <c:pt idx="67">
                  <c:v>14.8895827878707</c:v>
                </c:pt>
                <c:pt idx="68">
                  <c:v>14.8895827878707</c:v>
                </c:pt>
                <c:pt idx="69">
                  <c:v>14.8895827878707</c:v>
                </c:pt>
                <c:pt idx="70">
                  <c:v>14.8895827878707</c:v>
                </c:pt>
                <c:pt idx="71">
                  <c:v>14.8895827878707</c:v>
                </c:pt>
                <c:pt idx="72">
                  <c:v>14.8895827878707</c:v>
                </c:pt>
                <c:pt idx="73">
                  <c:v>14.8895827878707</c:v>
                </c:pt>
                <c:pt idx="74">
                  <c:v>14.8895827878707</c:v>
                </c:pt>
                <c:pt idx="75">
                  <c:v>14.8895827878707</c:v>
                </c:pt>
                <c:pt idx="76">
                  <c:v>14.8895827878707</c:v>
                </c:pt>
                <c:pt idx="77">
                  <c:v>14.8895827878707</c:v>
                </c:pt>
                <c:pt idx="78">
                  <c:v>14.8895827878707</c:v>
                </c:pt>
                <c:pt idx="79">
                  <c:v>14.8895827878707</c:v>
                </c:pt>
                <c:pt idx="80">
                  <c:v>14.8895827878707</c:v>
                </c:pt>
                <c:pt idx="81">
                  <c:v>14.8895827878707</c:v>
                </c:pt>
                <c:pt idx="82">
                  <c:v>14.8895827878707</c:v>
                </c:pt>
                <c:pt idx="83">
                  <c:v>14.8895827878707</c:v>
                </c:pt>
                <c:pt idx="84">
                  <c:v>14.8895827878707</c:v>
                </c:pt>
                <c:pt idx="85">
                  <c:v>14.8895827878707</c:v>
                </c:pt>
                <c:pt idx="86">
                  <c:v>14.8895827878707</c:v>
                </c:pt>
                <c:pt idx="87">
                  <c:v>14.8895827878707</c:v>
                </c:pt>
                <c:pt idx="88">
                  <c:v>14.8895827878707</c:v>
                </c:pt>
                <c:pt idx="89">
                  <c:v>14.8895827878707</c:v>
                </c:pt>
                <c:pt idx="90">
                  <c:v>14.8895827878707</c:v>
                </c:pt>
                <c:pt idx="91">
                  <c:v>14.8895827878707</c:v>
                </c:pt>
                <c:pt idx="92">
                  <c:v>14.8895827878707</c:v>
                </c:pt>
                <c:pt idx="93">
                  <c:v>14.8895827878707</c:v>
                </c:pt>
                <c:pt idx="94">
                  <c:v>14.8895827878707</c:v>
                </c:pt>
                <c:pt idx="95">
                  <c:v>14.8895827878707</c:v>
                </c:pt>
                <c:pt idx="96">
                  <c:v>14.8895827878707</c:v>
                </c:pt>
                <c:pt idx="97">
                  <c:v>14.8895827878707</c:v>
                </c:pt>
                <c:pt idx="98">
                  <c:v>14.8895827878707</c:v>
                </c:pt>
                <c:pt idx="99">
                  <c:v>14.8895827878707</c:v>
                </c:pt>
                <c:pt idx="100">
                  <c:v>14.8895827878707</c:v>
                </c:pt>
                <c:pt idx="101">
                  <c:v>14.8895827878707</c:v>
                </c:pt>
                <c:pt idx="102">
                  <c:v>14.8895827878707</c:v>
                </c:pt>
                <c:pt idx="103">
                  <c:v>14.8895827878707</c:v>
                </c:pt>
                <c:pt idx="104">
                  <c:v>14.8895827878707</c:v>
                </c:pt>
                <c:pt idx="105">
                  <c:v>14.8895827878707</c:v>
                </c:pt>
                <c:pt idx="106">
                  <c:v>14.8895827878707</c:v>
                </c:pt>
                <c:pt idx="107">
                  <c:v>14.8895827878707</c:v>
                </c:pt>
                <c:pt idx="108">
                  <c:v>14.8895827878707</c:v>
                </c:pt>
                <c:pt idx="109">
                  <c:v>14.8895827878707</c:v>
                </c:pt>
                <c:pt idx="110">
                  <c:v>14.8895827878707</c:v>
                </c:pt>
                <c:pt idx="111">
                  <c:v>14.8895827878707</c:v>
                </c:pt>
                <c:pt idx="112">
                  <c:v>14.8895827878707</c:v>
                </c:pt>
                <c:pt idx="113">
                  <c:v>14.8895827878707</c:v>
                </c:pt>
                <c:pt idx="114">
                  <c:v>14.8895827878707</c:v>
                </c:pt>
                <c:pt idx="115">
                  <c:v>14.8895827878707</c:v>
                </c:pt>
                <c:pt idx="116">
                  <c:v>14.8895827878707</c:v>
                </c:pt>
                <c:pt idx="117">
                  <c:v>14.8895827878707</c:v>
                </c:pt>
                <c:pt idx="118">
                  <c:v>14.8895827878707</c:v>
                </c:pt>
                <c:pt idx="119">
                  <c:v>14.8895827878707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G1_inspection!J1</c:f>
              <c:strCache>
                <c:ptCount val="1"/>
                <c:pt idx="0">
                  <c:v>LCI np</c:v>
                </c:pt>
              </c:strCache>
            </c:strRef>
          </c:tx>
          <c:spPr>
            <a:solidFill>
              <a:srgbClr val="c00000"/>
            </a:solidFill>
            <a:ln w="158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G1_inspection!$A$2:$A$121</c:f>
              <c:strCach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strCache>
            </c:strRef>
          </c:cat>
          <c:val>
            <c:numRef>
              <c:f>G1_inspection!$J$2:$J$121</c:f>
              <c:numCache>
                <c:formatCode>0.00</c:formatCode>
                <c:ptCount val="1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3879220"/>
        <c:axId val="45553737"/>
      </c:lineChart>
      <c:catAx>
        <c:axId val="738792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553737"/>
        <c:crosses val="autoZero"/>
        <c:auto val="1"/>
        <c:lblAlgn val="ctr"/>
        <c:lblOffset val="100"/>
        <c:noMultiLvlLbl val="0"/>
      </c:catAx>
      <c:valAx>
        <c:axId val="45553737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8792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20</xdr:row>
      <xdr:rowOff>21240</xdr:rowOff>
    </xdr:from>
    <xdr:to>
      <xdr:col>22</xdr:col>
      <xdr:colOff>414000</xdr:colOff>
      <xdr:row>35</xdr:row>
      <xdr:rowOff>43200</xdr:rowOff>
    </xdr:to>
    <xdr:graphicFrame>
      <xdr:nvGraphicFramePr>
        <xdr:cNvPr id="0" name="Chart 1"/>
        <xdr:cNvGraphicFramePr/>
      </xdr:nvGraphicFramePr>
      <xdr:xfrm>
        <a:off x="9172440" y="4000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37</xdr:row>
      <xdr:rowOff>20880</xdr:rowOff>
    </xdr:from>
    <xdr:to>
      <xdr:col>22</xdr:col>
      <xdr:colOff>414000</xdr:colOff>
      <xdr:row>50</xdr:row>
      <xdr:rowOff>64080</xdr:rowOff>
    </xdr:to>
    <xdr:graphicFrame>
      <xdr:nvGraphicFramePr>
        <xdr:cNvPr id="1" name="Chart 2"/>
        <xdr:cNvGraphicFramePr/>
      </xdr:nvGraphicFramePr>
      <xdr:xfrm>
        <a:off x="9172440" y="7238880"/>
        <a:ext cx="64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17</xdr:row>
      <xdr:rowOff>20880</xdr:rowOff>
    </xdr:from>
    <xdr:to>
      <xdr:col>16</xdr:col>
      <xdr:colOff>132480</xdr:colOff>
      <xdr:row>32</xdr:row>
      <xdr:rowOff>43200</xdr:rowOff>
    </xdr:to>
    <xdr:graphicFrame>
      <xdr:nvGraphicFramePr>
        <xdr:cNvPr id="2" name="Chart 1"/>
        <xdr:cNvGraphicFramePr/>
      </xdr:nvGraphicFramePr>
      <xdr:xfrm>
        <a:off x="5503680" y="342900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34</xdr:row>
      <xdr:rowOff>20880</xdr:rowOff>
    </xdr:from>
    <xdr:to>
      <xdr:col>16</xdr:col>
      <xdr:colOff>132480</xdr:colOff>
      <xdr:row>47</xdr:row>
      <xdr:rowOff>64080</xdr:rowOff>
    </xdr:to>
    <xdr:graphicFrame>
      <xdr:nvGraphicFramePr>
        <xdr:cNvPr id="3" name="Chart 2"/>
        <xdr:cNvGraphicFramePr/>
      </xdr:nvGraphicFramePr>
      <xdr:xfrm>
        <a:off x="5503680" y="6667560"/>
        <a:ext cx="64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14</xdr:row>
      <xdr:rowOff>21240</xdr:rowOff>
    </xdr:from>
    <xdr:to>
      <xdr:col>18</xdr:col>
      <xdr:colOff>273240</xdr:colOff>
      <xdr:row>29</xdr:row>
      <xdr:rowOff>43200</xdr:rowOff>
    </xdr:to>
    <xdr:graphicFrame>
      <xdr:nvGraphicFramePr>
        <xdr:cNvPr id="4" name="Chart 1"/>
        <xdr:cNvGraphicFramePr/>
      </xdr:nvGraphicFramePr>
      <xdr:xfrm>
        <a:off x="6726600" y="2857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31</xdr:row>
      <xdr:rowOff>20880</xdr:rowOff>
    </xdr:from>
    <xdr:to>
      <xdr:col>18</xdr:col>
      <xdr:colOff>273240</xdr:colOff>
      <xdr:row>44</xdr:row>
      <xdr:rowOff>64080</xdr:rowOff>
    </xdr:to>
    <xdr:graphicFrame>
      <xdr:nvGraphicFramePr>
        <xdr:cNvPr id="5" name="Chart 2"/>
        <xdr:cNvGraphicFramePr/>
      </xdr:nvGraphicFramePr>
      <xdr:xfrm>
        <a:off x="6726600" y="6095880"/>
        <a:ext cx="64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20</xdr:row>
      <xdr:rowOff>21240</xdr:rowOff>
    </xdr:from>
    <xdr:to>
      <xdr:col>21</xdr:col>
      <xdr:colOff>414360</xdr:colOff>
      <xdr:row>35</xdr:row>
      <xdr:rowOff>43200</xdr:rowOff>
    </xdr:to>
    <xdr:graphicFrame>
      <xdr:nvGraphicFramePr>
        <xdr:cNvPr id="6" name="Chart 1"/>
        <xdr:cNvGraphicFramePr/>
      </xdr:nvGraphicFramePr>
      <xdr:xfrm>
        <a:off x="8561160" y="4000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37</xdr:row>
      <xdr:rowOff>20880</xdr:rowOff>
    </xdr:from>
    <xdr:to>
      <xdr:col>21</xdr:col>
      <xdr:colOff>414360</xdr:colOff>
      <xdr:row>50</xdr:row>
      <xdr:rowOff>64080</xdr:rowOff>
    </xdr:to>
    <xdr:graphicFrame>
      <xdr:nvGraphicFramePr>
        <xdr:cNvPr id="7" name="Chart 2"/>
        <xdr:cNvGraphicFramePr/>
      </xdr:nvGraphicFramePr>
      <xdr:xfrm>
        <a:off x="8561160" y="7238880"/>
        <a:ext cx="64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17</xdr:row>
      <xdr:rowOff>20880</xdr:rowOff>
    </xdr:from>
    <xdr:to>
      <xdr:col>16</xdr:col>
      <xdr:colOff>132480</xdr:colOff>
      <xdr:row>32</xdr:row>
      <xdr:rowOff>43200</xdr:rowOff>
    </xdr:to>
    <xdr:graphicFrame>
      <xdr:nvGraphicFramePr>
        <xdr:cNvPr id="8" name="Chart 1"/>
        <xdr:cNvGraphicFramePr/>
      </xdr:nvGraphicFramePr>
      <xdr:xfrm>
        <a:off x="5503680" y="342900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34</xdr:row>
      <xdr:rowOff>20880</xdr:rowOff>
    </xdr:from>
    <xdr:to>
      <xdr:col>16</xdr:col>
      <xdr:colOff>132480</xdr:colOff>
      <xdr:row>47</xdr:row>
      <xdr:rowOff>64080</xdr:rowOff>
    </xdr:to>
    <xdr:graphicFrame>
      <xdr:nvGraphicFramePr>
        <xdr:cNvPr id="9" name="Chart 2"/>
        <xdr:cNvGraphicFramePr/>
      </xdr:nvGraphicFramePr>
      <xdr:xfrm>
        <a:off x="5503680" y="6667560"/>
        <a:ext cx="64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17</xdr:row>
      <xdr:rowOff>20880</xdr:rowOff>
    </xdr:from>
    <xdr:to>
      <xdr:col>16</xdr:col>
      <xdr:colOff>132480</xdr:colOff>
      <xdr:row>32</xdr:row>
      <xdr:rowOff>43200</xdr:rowOff>
    </xdr:to>
    <xdr:graphicFrame>
      <xdr:nvGraphicFramePr>
        <xdr:cNvPr id="10" name="Chart 1"/>
        <xdr:cNvGraphicFramePr/>
      </xdr:nvGraphicFramePr>
      <xdr:xfrm>
        <a:off x="5503680" y="342900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34</xdr:row>
      <xdr:rowOff>20880</xdr:rowOff>
    </xdr:from>
    <xdr:to>
      <xdr:col>16</xdr:col>
      <xdr:colOff>132480</xdr:colOff>
      <xdr:row>47</xdr:row>
      <xdr:rowOff>64080</xdr:rowOff>
    </xdr:to>
    <xdr:graphicFrame>
      <xdr:nvGraphicFramePr>
        <xdr:cNvPr id="11" name="Chart 2"/>
        <xdr:cNvGraphicFramePr/>
      </xdr:nvGraphicFramePr>
      <xdr:xfrm>
        <a:off x="5503680" y="6667560"/>
        <a:ext cx="64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4</xdr:row>
      <xdr:rowOff>20880</xdr:rowOff>
    </xdr:from>
    <xdr:to>
      <xdr:col>21</xdr:col>
      <xdr:colOff>253800</xdr:colOff>
      <xdr:row>19</xdr:row>
      <xdr:rowOff>43200</xdr:rowOff>
    </xdr:to>
    <xdr:graphicFrame>
      <xdr:nvGraphicFramePr>
        <xdr:cNvPr id="12" name="Chart 1"/>
        <xdr:cNvGraphicFramePr/>
      </xdr:nvGraphicFramePr>
      <xdr:xfrm>
        <a:off x="6114960" y="95256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21</xdr:row>
      <xdr:rowOff>21240</xdr:rowOff>
    </xdr:from>
    <xdr:to>
      <xdr:col>21</xdr:col>
      <xdr:colOff>253800</xdr:colOff>
      <xdr:row>36</xdr:row>
      <xdr:rowOff>43200</xdr:rowOff>
    </xdr:to>
    <xdr:graphicFrame>
      <xdr:nvGraphicFramePr>
        <xdr:cNvPr id="13" name="Chart 2"/>
        <xdr:cNvGraphicFramePr/>
      </xdr:nvGraphicFramePr>
      <xdr:xfrm>
        <a:off x="6114960" y="419112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6" style="0" width="34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0" t="n">
        <v>1</v>
      </c>
      <c r="B2" s="0" t="s">
        <v>14</v>
      </c>
      <c r="C2" s="0" t="n">
        <v>60</v>
      </c>
      <c r="D2" s="0" t="n">
        <v>59</v>
      </c>
      <c r="E2" s="0" t="n">
        <v>54</v>
      </c>
      <c r="F2" s="0" t="n">
        <v>57</v>
      </c>
      <c r="G2" s="0" t="n">
        <v>58</v>
      </c>
      <c r="H2" s="2" t="n">
        <f aca="false">AVERAGE(C2:G2)</f>
        <v>57.6</v>
      </c>
      <c r="I2" s="2" t="n">
        <f aca="false">MAX(C2:G2)-MIN(C2:G2)</f>
        <v>6</v>
      </c>
      <c r="J2" s="2" t="n">
        <f aca="false">$Q$3</f>
        <v>57.8333333333333</v>
      </c>
      <c r="K2" s="2" t="n">
        <f aca="false">$Q$3+$Q$5*$Q$4</f>
        <v>62.8820833333333</v>
      </c>
      <c r="L2" s="2" t="n">
        <f aca="false">$Q$3-$Q$5*$Q$4</f>
        <v>52.7845833333333</v>
      </c>
      <c r="M2" s="2" t="n">
        <f aca="false">$Q$4</f>
        <v>8.75</v>
      </c>
      <c r="N2" s="2" t="n">
        <f aca="false">$Q$6*$Q$4</f>
        <v>18.4975</v>
      </c>
      <c r="P2" s="3" t="s">
        <v>15</v>
      </c>
      <c r="Q2" s="4" t="n">
        <v>12</v>
      </c>
    </row>
    <row r="3" customFormat="false" ht="15" hidden="false" customHeight="false" outlineLevel="0" collapsed="false">
      <c r="A3" s="0" t="n">
        <v>2</v>
      </c>
      <c r="B3" s="0" t="s">
        <v>16</v>
      </c>
      <c r="C3" s="0" t="n">
        <v>60</v>
      </c>
      <c r="D3" s="0" t="n">
        <v>59</v>
      </c>
      <c r="E3" s="0" t="n">
        <v>56</v>
      </c>
      <c r="F3" s="0" t="n">
        <v>63</v>
      </c>
      <c r="G3" s="0" t="n">
        <v>59</v>
      </c>
      <c r="H3" s="2" t="n">
        <f aca="false">AVERAGE(C3:G3)</f>
        <v>59.4</v>
      </c>
      <c r="I3" s="2" t="n">
        <f aca="false">MAX(C3:G3)-MIN(C3:G3)</f>
        <v>7</v>
      </c>
      <c r="J3" s="2" t="n">
        <f aca="false">$Q$3</f>
        <v>57.8333333333333</v>
      </c>
      <c r="K3" s="2" t="n">
        <f aca="false">$Q$3+$Q$5*$Q$4</f>
        <v>62.8820833333333</v>
      </c>
      <c r="L3" s="2" t="n">
        <f aca="false">$Q$3-$Q$5*$Q$4</f>
        <v>52.7845833333333</v>
      </c>
      <c r="M3" s="2" t="n">
        <f aca="false">$Q$4</f>
        <v>8.75</v>
      </c>
      <c r="N3" s="2" t="n">
        <f aca="false">$Q$6*$Q$4</f>
        <v>18.4975</v>
      </c>
      <c r="P3" s="3" t="s">
        <v>17</v>
      </c>
      <c r="Q3" s="5" t="n">
        <f aca="true">AVERAGE(OFFSET(H2,0,0,Q2,1))</f>
        <v>57.8333333333333</v>
      </c>
    </row>
    <row r="4" customFormat="false" ht="15" hidden="false" customHeight="false" outlineLevel="0" collapsed="false">
      <c r="A4" s="0" t="n">
        <v>3</v>
      </c>
      <c r="B4" s="0" t="s">
        <v>18</v>
      </c>
      <c r="C4" s="0" t="n">
        <v>61</v>
      </c>
      <c r="D4" s="0" t="n">
        <v>55</v>
      </c>
      <c r="E4" s="0" t="n">
        <v>56</v>
      </c>
      <c r="F4" s="0" t="n">
        <v>61</v>
      </c>
      <c r="G4" s="0" t="n">
        <v>58</v>
      </c>
      <c r="H4" s="2" t="n">
        <f aca="false">AVERAGE(C4:G4)</f>
        <v>58.2</v>
      </c>
      <c r="I4" s="2" t="n">
        <f aca="false">MAX(C4:G4)-MIN(C4:G4)</f>
        <v>6</v>
      </c>
      <c r="J4" s="2" t="n">
        <f aca="false">$Q$3</f>
        <v>57.8333333333333</v>
      </c>
      <c r="K4" s="2" t="n">
        <f aca="false">$Q$3+$Q$5*$Q$4</f>
        <v>62.8820833333333</v>
      </c>
      <c r="L4" s="2" t="n">
        <f aca="false">$Q$3-$Q$5*$Q$4</f>
        <v>52.7845833333333</v>
      </c>
      <c r="M4" s="2" t="n">
        <f aca="false">$Q$4</f>
        <v>8.75</v>
      </c>
      <c r="N4" s="2" t="n">
        <f aca="false">$Q$6*$Q$4</f>
        <v>18.4975</v>
      </c>
      <c r="P4" s="3" t="s">
        <v>12</v>
      </c>
      <c r="Q4" s="5" t="n">
        <f aca="true">AVERAGE(OFFSET(I2,0,0,Q2,1))</f>
        <v>8.75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63</v>
      </c>
      <c r="D5" s="0" t="n">
        <v>60</v>
      </c>
      <c r="E5" s="0" t="n">
        <v>57</v>
      </c>
      <c r="F5" s="0" t="n">
        <v>59</v>
      </c>
      <c r="G5" s="0" t="n">
        <v>61</v>
      </c>
      <c r="H5" s="2" t="n">
        <f aca="false">AVERAGE(C5:G5)</f>
        <v>60</v>
      </c>
      <c r="I5" s="2" t="n">
        <f aca="false">MAX(C5:G5)-MIN(C5:G5)</f>
        <v>6</v>
      </c>
      <c r="J5" s="2" t="n">
        <f aca="false">$Q$3</f>
        <v>57.8333333333333</v>
      </c>
      <c r="K5" s="2" t="n">
        <f aca="false">$Q$3+$Q$5*$Q$4</f>
        <v>62.8820833333333</v>
      </c>
      <c r="L5" s="2" t="n">
        <f aca="false">$Q$3-$Q$5*$Q$4</f>
        <v>52.7845833333333</v>
      </c>
      <c r="M5" s="2" t="n">
        <f aca="false">$Q$4</f>
        <v>8.75</v>
      </c>
      <c r="N5" s="2" t="n">
        <f aca="false">$Q$6*$Q$4</f>
        <v>18.4975</v>
      </c>
      <c r="P5" s="3" t="s">
        <v>20</v>
      </c>
      <c r="Q5" s="0" t="n">
        <v>0.577</v>
      </c>
    </row>
    <row r="6" customFormat="false" ht="15" hidden="false" customHeight="false" outlineLevel="0" collapsed="false">
      <c r="A6" s="0" t="n">
        <v>5</v>
      </c>
      <c r="B6" s="0" t="s">
        <v>21</v>
      </c>
      <c r="C6" s="0" t="n">
        <v>57</v>
      </c>
      <c r="D6" s="0" t="n">
        <v>58</v>
      </c>
      <c r="E6" s="0" t="n">
        <v>54</v>
      </c>
      <c r="F6" s="0" t="n">
        <v>59</v>
      </c>
      <c r="G6" s="0" t="n">
        <v>61</v>
      </c>
      <c r="H6" s="2" t="n">
        <f aca="false">AVERAGE(C6:G6)</f>
        <v>57.8</v>
      </c>
      <c r="I6" s="2" t="n">
        <f aca="false">MAX(C6:G6)-MIN(C6:G6)</f>
        <v>7</v>
      </c>
      <c r="J6" s="2" t="n">
        <f aca="false">$Q$3</f>
        <v>57.8333333333333</v>
      </c>
      <c r="K6" s="2" t="n">
        <f aca="false">$Q$3+$Q$5*$Q$4</f>
        <v>62.8820833333333</v>
      </c>
      <c r="L6" s="2" t="n">
        <f aca="false">$Q$3-$Q$5*$Q$4</f>
        <v>52.7845833333333</v>
      </c>
      <c r="M6" s="2" t="n">
        <f aca="false">$Q$4</f>
        <v>8.75</v>
      </c>
      <c r="N6" s="2" t="n">
        <f aca="false">$Q$6*$Q$4</f>
        <v>18.4975</v>
      </c>
      <c r="P6" s="3" t="s">
        <v>22</v>
      </c>
      <c r="Q6" s="0" t="n">
        <v>2.114</v>
      </c>
    </row>
    <row r="7" customFormat="false" ht="15" hidden="false" customHeight="false" outlineLevel="0" collapsed="false">
      <c r="A7" s="0" t="n">
        <v>6</v>
      </c>
      <c r="B7" s="0" t="s">
        <v>23</v>
      </c>
      <c r="C7" s="0" t="n">
        <v>56</v>
      </c>
      <c r="D7" s="0" t="n">
        <v>58</v>
      </c>
      <c r="E7" s="0" t="n">
        <v>51</v>
      </c>
      <c r="F7" s="0" t="n">
        <v>59</v>
      </c>
      <c r="G7" s="0" t="n">
        <v>61</v>
      </c>
      <c r="H7" s="2" t="n">
        <f aca="false">AVERAGE(C7:G7)</f>
        <v>57</v>
      </c>
      <c r="I7" s="2" t="n">
        <f aca="false">MAX(C7:G7)-MIN(C7:G7)</f>
        <v>10</v>
      </c>
      <c r="J7" s="2" t="n">
        <f aca="false">$Q$3</f>
        <v>57.8333333333333</v>
      </c>
      <c r="K7" s="2" t="n">
        <f aca="false">$Q$3+$Q$5*$Q$4</f>
        <v>62.8820833333333</v>
      </c>
      <c r="L7" s="2" t="n">
        <f aca="false">$Q$3-$Q$5*$Q$4</f>
        <v>52.7845833333333</v>
      </c>
      <c r="M7" s="2" t="n">
        <f aca="false">$Q$4</f>
        <v>8.75</v>
      </c>
      <c r="N7" s="2" t="n">
        <f aca="false">$Q$6*$Q$4</f>
        <v>18.4975</v>
      </c>
      <c r="P7" s="3" t="s">
        <v>24</v>
      </c>
      <c r="Q7" s="0" t="n">
        <v>0</v>
      </c>
    </row>
    <row r="8" customFormat="false" ht="15" hidden="false" customHeight="false" outlineLevel="0" collapsed="false">
      <c r="A8" s="0" t="n">
        <v>7</v>
      </c>
      <c r="B8" s="0" t="s">
        <v>25</v>
      </c>
      <c r="C8" s="0" t="n">
        <v>58</v>
      </c>
      <c r="D8" s="0" t="n">
        <v>50</v>
      </c>
      <c r="E8" s="0" t="n">
        <v>51</v>
      </c>
      <c r="F8" s="0" t="n">
        <v>52</v>
      </c>
      <c r="G8" s="0" t="n">
        <v>66</v>
      </c>
      <c r="H8" s="2" t="n">
        <f aca="false">AVERAGE(C8:G8)</f>
        <v>55.4</v>
      </c>
      <c r="I8" s="2" t="n">
        <f aca="false">MAX(C8:G8)-MIN(C8:G8)</f>
        <v>16</v>
      </c>
      <c r="J8" s="2" t="n">
        <f aca="false">$Q$3</f>
        <v>57.8333333333333</v>
      </c>
      <c r="K8" s="2" t="n">
        <f aca="false">$Q$3+$Q$5*$Q$4</f>
        <v>62.8820833333333</v>
      </c>
      <c r="L8" s="2" t="n">
        <f aca="false">$Q$3-$Q$5*$Q$4</f>
        <v>52.7845833333333</v>
      </c>
      <c r="M8" s="2" t="n">
        <f aca="false">$Q$4</f>
        <v>8.75</v>
      </c>
      <c r="N8" s="2" t="n">
        <f aca="false">$Q$6*$Q$4</f>
        <v>18.4975</v>
      </c>
    </row>
    <row r="9" customFormat="false" ht="15" hidden="false" customHeight="false" outlineLevel="0" collapsed="false">
      <c r="A9" s="0" t="n">
        <v>8</v>
      </c>
      <c r="B9" s="0" t="s">
        <v>26</v>
      </c>
      <c r="C9" s="0" t="n">
        <v>58</v>
      </c>
      <c r="D9" s="0" t="n">
        <v>53</v>
      </c>
      <c r="E9" s="0" t="n">
        <v>52</v>
      </c>
      <c r="F9" s="0" t="n">
        <v>58</v>
      </c>
      <c r="G9" s="0" t="n">
        <v>56</v>
      </c>
      <c r="H9" s="2" t="n">
        <f aca="false">AVERAGE(C9:G9)</f>
        <v>55.4</v>
      </c>
      <c r="I9" s="2" t="n">
        <f aca="false">MAX(C9:G9)-MIN(C9:G9)</f>
        <v>6</v>
      </c>
      <c r="J9" s="2" t="n">
        <f aca="false">$Q$3</f>
        <v>57.8333333333333</v>
      </c>
      <c r="K9" s="2" t="n">
        <f aca="false">$Q$3+$Q$5*$Q$4</f>
        <v>62.8820833333333</v>
      </c>
      <c r="L9" s="2" t="n">
        <f aca="false">$Q$3-$Q$5*$Q$4</f>
        <v>52.7845833333333</v>
      </c>
      <c r="M9" s="2" t="n">
        <f aca="false">$Q$4</f>
        <v>8.75</v>
      </c>
      <c r="N9" s="2" t="n">
        <f aca="false">$Q$6*$Q$4</f>
        <v>18.4975</v>
      </c>
      <c r="P9" s="3" t="s">
        <v>27</v>
      </c>
      <c r="Q9" s="6" t="n">
        <f aca="false">SUMPRODUCT((H2:H25&gt;K2:K25)+(H2:H25&lt;L2:L25))</f>
        <v>7</v>
      </c>
    </row>
    <row r="10" customFormat="false" ht="15" hidden="false" customHeight="false" outlineLevel="0" collapsed="false">
      <c r="A10" s="0" t="n">
        <v>9</v>
      </c>
      <c r="B10" s="0" t="s">
        <v>28</v>
      </c>
      <c r="C10" s="0" t="n">
        <v>56</v>
      </c>
      <c r="D10" s="0" t="n">
        <v>62</v>
      </c>
      <c r="E10" s="0" t="n">
        <v>53</v>
      </c>
      <c r="F10" s="0" t="n">
        <v>59</v>
      </c>
      <c r="G10" s="0" t="n">
        <v>60</v>
      </c>
      <c r="H10" s="2" t="n">
        <f aca="false">AVERAGE(C10:G10)</f>
        <v>58</v>
      </c>
      <c r="I10" s="2" t="n">
        <f aca="false">MAX(C10:G10)-MIN(C10:G10)</f>
        <v>9</v>
      </c>
      <c r="J10" s="2" t="n">
        <f aca="false">$Q$3</f>
        <v>57.8333333333333</v>
      </c>
      <c r="K10" s="2" t="n">
        <f aca="false">$Q$3+$Q$5*$Q$4</f>
        <v>62.8820833333333</v>
      </c>
      <c r="L10" s="2" t="n">
        <f aca="false">$Q$3-$Q$5*$Q$4</f>
        <v>52.7845833333333</v>
      </c>
      <c r="M10" s="2" t="n">
        <f aca="false">$Q$4</f>
        <v>8.75</v>
      </c>
      <c r="N10" s="2" t="n">
        <f aca="false">$Q$6*$Q$4</f>
        <v>18.4975</v>
      </c>
      <c r="P10" s="3" t="s">
        <v>29</v>
      </c>
      <c r="Q10" s="6" t="n">
        <f aca="false">SUMPRODUCT(--(I2:I25&gt;N2:N25))</f>
        <v>1</v>
      </c>
    </row>
    <row r="11" customFormat="false" ht="15" hidden="false" customHeight="false" outlineLevel="0" collapsed="false">
      <c r="A11" s="0" t="n">
        <v>10</v>
      </c>
      <c r="B11" s="0" t="s">
        <v>30</v>
      </c>
      <c r="C11" s="0" t="n">
        <v>57</v>
      </c>
      <c r="D11" s="0" t="n">
        <v>58</v>
      </c>
      <c r="E11" s="0" t="n">
        <v>58</v>
      </c>
      <c r="F11" s="0" t="n">
        <v>58</v>
      </c>
      <c r="G11" s="0" t="n">
        <v>60</v>
      </c>
      <c r="H11" s="2" t="n">
        <f aca="false">AVERAGE(C11:G11)</f>
        <v>58.2</v>
      </c>
      <c r="I11" s="2" t="n">
        <f aca="false">MAX(C11:G11)-MIN(C11:G11)</f>
        <v>3</v>
      </c>
      <c r="J11" s="2" t="n">
        <f aca="false">$Q$3</f>
        <v>57.8333333333333</v>
      </c>
      <c r="K11" s="2" t="n">
        <f aca="false">$Q$3+$Q$5*$Q$4</f>
        <v>62.8820833333333</v>
      </c>
      <c r="L11" s="2" t="n">
        <f aca="false">$Q$3-$Q$5*$Q$4</f>
        <v>52.7845833333333</v>
      </c>
      <c r="M11" s="2" t="n">
        <f aca="false">$Q$4</f>
        <v>8.75</v>
      </c>
      <c r="N11" s="2" t="n">
        <f aca="false">$Q$6*$Q$4</f>
        <v>18.4975</v>
      </c>
    </row>
    <row r="12" customFormat="false" ht="15" hidden="false" customHeight="true" outlineLevel="0" collapsed="false">
      <c r="A12" s="0" t="n">
        <v>11</v>
      </c>
      <c r="B12" s="0" t="s">
        <v>31</v>
      </c>
      <c r="C12" s="0" t="n">
        <v>64</v>
      </c>
      <c r="D12" s="0" t="n">
        <v>64</v>
      </c>
      <c r="E12" s="0" t="n">
        <v>53</v>
      </c>
      <c r="F12" s="0" t="n">
        <v>54</v>
      </c>
      <c r="G12" s="0" t="n">
        <v>60</v>
      </c>
      <c r="H12" s="2" t="n">
        <f aca="false">AVERAGE(C12:G12)</f>
        <v>59</v>
      </c>
      <c r="I12" s="2" t="n">
        <f aca="false">MAX(C12:G12)-MIN(C12:G12)</f>
        <v>11</v>
      </c>
      <c r="J12" s="2" t="n">
        <f aca="false">$Q$3</f>
        <v>57.8333333333333</v>
      </c>
      <c r="K12" s="2" t="n">
        <f aca="false">$Q$3+$Q$5*$Q$4</f>
        <v>62.8820833333333</v>
      </c>
      <c r="L12" s="2" t="n">
        <f aca="false">$Q$3-$Q$5*$Q$4</f>
        <v>52.7845833333333</v>
      </c>
      <c r="M12" s="2" t="n">
        <f aca="false">$Q$4</f>
        <v>8.75</v>
      </c>
      <c r="N12" s="2" t="n">
        <f aca="false">$Q$6*$Q$4</f>
        <v>18.4975</v>
      </c>
      <c r="P12" s="7" t="s">
        <v>32</v>
      </c>
      <c r="Q12" s="7"/>
      <c r="R12" s="7"/>
      <c r="S12" s="7"/>
    </row>
    <row r="13" customFormat="false" ht="15" hidden="false" customHeight="false" outlineLevel="0" collapsed="false">
      <c r="A13" s="0" t="n">
        <v>12</v>
      </c>
      <c r="B13" s="0" t="s">
        <v>33</v>
      </c>
      <c r="C13" s="0" t="n">
        <v>64</v>
      </c>
      <c r="D13" s="0" t="n">
        <v>61</v>
      </c>
      <c r="E13" s="0" t="n">
        <v>66</v>
      </c>
      <c r="F13" s="0" t="n">
        <v>48</v>
      </c>
      <c r="G13" s="0" t="n">
        <v>51</v>
      </c>
      <c r="H13" s="2" t="n">
        <f aca="false">AVERAGE(C13:G13)</f>
        <v>58</v>
      </c>
      <c r="I13" s="2" t="n">
        <f aca="false">MAX(C13:G13)-MIN(C13:G13)</f>
        <v>18</v>
      </c>
      <c r="J13" s="2" t="n">
        <f aca="false">$Q$3</f>
        <v>57.8333333333333</v>
      </c>
      <c r="K13" s="2" t="n">
        <f aca="false">$Q$3+$Q$5*$Q$4</f>
        <v>62.8820833333333</v>
      </c>
      <c r="L13" s="2" t="n">
        <f aca="false">$Q$3-$Q$5*$Q$4</f>
        <v>52.7845833333333</v>
      </c>
      <c r="M13" s="2" t="n">
        <f aca="false">$Q$4</f>
        <v>8.75</v>
      </c>
      <c r="N13" s="2" t="n">
        <f aca="false">$Q$6*$Q$4</f>
        <v>18.4975</v>
      </c>
      <c r="P13" s="7"/>
      <c r="Q13" s="7"/>
      <c r="R13" s="7"/>
      <c r="S13" s="7"/>
    </row>
    <row r="14" customFormat="false" ht="15" hidden="false" customHeight="false" outlineLevel="0" collapsed="false">
      <c r="A14" s="0" t="n">
        <v>13</v>
      </c>
      <c r="B14" s="0" t="s">
        <v>34</v>
      </c>
      <c r="C14" s="0" t="n">
        <v>55</v>
      </c>
      <c r="D14" s="0" t="n">
        <v>55</v>
      </c>
      <c r="E14" s="0" t="n">
        <v>55</v>
      </c>
      <c r="F14" s="0" t="n">
        <v>52</v>
      </c>
      <c r="G14" s="0" t="n">
        <v>58</v>
      </c>
      <c r="H14" s="2" t="n">
        <f aca="false">AVERAGE(C14:G14)</f>
        <v>55</v>
      </c>
      <c r="I14" s="2" t="n">
        <f aca="false">MAX(C14:G14)-MIN(C14:G14)</f>
        <v>6</v>
      </c>
      <c r="J14" s="2" t="n">
        <f aca="false">$Q$3</f>
        <v>57.8333333333333</v>
      </c>
      <c r="K14" s="2" t="n">
        <f aca="false">$Q$3+$Q$5*$Q$4</f>
        <v>62.8820833333333</v>
      </c>
      <c r="L14" s="2" t="n">
        <f aca="false">$Q$3-$Q$5*$Q$4</f>
        <v>52.7845833333333</v>
      </c>
      <c r="M14" s="2" t="n">
        <f aca="false">$Q$4</f>
        <v>8.75</v>
      </c>
      <c r="N14" s="2" t="n">
        <f aca="false">$Q$6*$Q$4</f>
        <v>18.4975</v>
      </c>
      <c r="P14" s="7"/>
      <c r="Q14" s="7"/>
      <c r="R14" s="7"/>
      <c r="S14" s="7"/>
    </row>
    <row r="15" customFormat="false" ht="15" hidden="false" customHeight="false" outlineLevel="0" collapsed="false">
      <c r="A15" s="0" t="n">
        <v>14</v>
      </c>
      <c r="B15" s="0" t="s">
        <v>35</v>
      </c>
      <c r="C15" s="0" t="n">
        <v>58</v>
      </c>
      <c r="D15" s="0" t="n">
        <v>66</v>
      </c>
      <c r="E15" s="0" t="n">
        <v>60</v>
      </c>
      <c r="F15" s="0" t="n">
        <v>62</v>
      </c>
      <c r="G15" s="0" t="n">
        <v>61</v>
      </c>
      <c r="H15" s="2" t="n">
        <f aca="false">AVERAGE(C15:G15)</f>
        <v>61.4</v>
      </c>
      <c r="I15" s="2" t="n">
        <f aca="false">MAX(C15:G15)-MIN(C15:G15)</f>
        <v>8</v>
      </c>
      <c r="J15" s="2" t="n">
        <f aca="false">$Q$3</f>
        <v>57.8333333333333</v>
      </c>
      <c r="K15" s="2" t="n">
        <f aca="false">$Q$3+$Q$5*$Q$4</f>
        <v>62.8820833333333</v>
      </c>
      <c r="L15" s="2" t="n">
        <f aca="false">$Q$3-$Q$5*$Q$4</f>
        <v>52.7845833333333</v>
      </c>
      <c r="M15" s="2" t="n">
        <f aca="false">$Q$4</f>
        <v>8.75</v>
      </c>
      <c r="N15" s="2" t="n">
        <f aca="false">$Q$6*$Q$4</f>
        <v>18.4975</v>
      </c>
      <c r="P15" s="7"/>
      <c r="Q15" s="7"/>
      <c r="R15" s="7"/>
      <c r="S15" s="7"/>
    </row>
    <row r="16" customFormat="false" ht="15" hidden="false" customHeight="false" outlineLevel="0" collapsed="false">
      <c r="A16" s="0" t="n">
        <v>15</v>
      </c>
      <c r="B16" s="0" t="s">
        <v>36</v>
      </c>
      <c r="C16" s="0" t="n">
        <v>70</v>
      </c>
      <c r="D16" s="0" t="n">
        <v>69</v>
      </c>
      <c r="E16" s="0" t="n">
        <v>70</v>
      </c>
      <c r="F16" s="0" t="n">
        <v>70</v>
      </c>
      <c r="G16" s="0" t="n">
        <v>70</v>
      </c>
      <c r="H16" s="2" t="n">
        <f aca="false">AVERAGE(C16:G16)</f>
        <v>69.8</v>
      </c>
      <c r="I16" s="2" t="n">
        <f aca="false">MAX(C16:G16)-MIN(C16:G16)</f>
        <v>1</v>
      </c>
      <c r="J16" s="2" t="n">
        <f aca="false">$Q$3</f>
        <v>57.8333333333333</v>
      </c>
      <c r="K16" s="2" t="n">
        <f aca="false">$Q$3+$Q$5*$Q$4</f>
        <v>62.8820833333333</v>
      </c>
      <c r="L16" s="2" t="n">
        <f aca="false">$Q$3-$Q$5*$Q$4</f>
        <v>52.7845833333333</v>
      </c>
      <c r="M16" s="2" t="n">
        <f aca="false">$Q$4</f>
        <v>8.75</v>
      </c>
      <c r="N16" s="2" t="n">
        <f aca="false">$Q$6*$Q$4</f>
        <v>18.4975</v>
      </c>
      <c r="P16" s="7"/>
      <c r="Q16" s="7"/>
      <c r="R16" s="7"/>
      <c r="S16" s="7"/>
    </row>
    <row r="17" customFormat="false" ht="15" hidden="false" customHeight="false" outlineLevel="0" collapsed="false">
      <c r="A17" s="0" t="n">
        <v>16</v>
      </c>
      <c r="B17" s="0" t="s">
        <v>37</v>
      </c>
      <c r="C17" s="0" t="n">
        <v>70</v>
      </c>
      <c r="D17" s="0" t="n">
        <v>70</v>
      </c>
      <c r="E17" s="0" t="n">
        <v>70</v>
      </c>
      <c r="F17" s="0" t="n">
        <v>61</v>
      </c>
      <c r="G17" s="0" t="n">
        <v>71</v>
      </c>
      <c r="H17" s="2" t="n">
        <f aca="false">AVERAGE(C17:G17)</f>
        <v>68.4</v>
      </c>
      <c r="I17" s="2" t="n">
        <f aca="false">MAX(C17:G17)-MIN(C17:G17)</f>
        <v>10</v>
      </c>
      <c r="J17" s="2" t="n">
        <f aca="false">$Q$3</f>
        <v>57.8333333333333</v>
      </c>
      <c r="K17" s="2" t="n">
        <f aca="false">$Q$3+$Q$5*$Q$4</f>
        <v>62.8820833333333</v>
      </c>
      <c r="L17" s="2" t="n">
        <f aca="false">$Q$3-$Q$5*$Q$4</f>
        <v>52.7845833333333</v>
      </c>
      <c r="M17" s="2" t="n">
        <f aca="false">$Q$4</f>
        <v>8.75</v>
      </c>
      <c r="N17" s="2" t="n">
        <f aca="false">$Q$6*$Q$4</f>
        <v>18.4975</v>
      </c>
      <c r="P17" s="7"/>
      <c r="Q17" s="7"/>
      <c r="R17" s="7"/>
      <c r="S17" s="7"/>
    </row>
    <row r="18" customFormat="false" ht="15" hidden="false" customHeight="false" outlineLevel="0" collapsed="false">
      <c r="A18" s="0" t="n">
        <v>17</v>
      </c>
      <c r="B18" s="0" t="s">
        <v>38</v>
      </c>
      <c r="C18" s="0" t="n">
        <v>55</v>
      </c>
      <c r="D18" s="0" t="n">
        <v>51</v>
      </c>
      <c r="E18" s="0" t="n">
        <v>44</v>
      </c>
      <c r="F18" s="0" t="n">
        <v>53</v>
      </c>
      <c r="G18" s="0" t="n">
        <v>58</v>
      </c>
      <c r="H18" s="2" t="n">
        <f aca="false">AVERAGE(C18:G18)</f>
        <v>52.2</v>
      </c>
      <c r="I18" s="2" t="n">
        <f aca="false">MAX(C18:G18)-MIN(C18:G18)</f>
        <v>14</v>
      </c>
      <c r="J18" s="2" t="n">
        <f aca="false">$Q$3</f>
        <v>57.8333333333333</v>
      </c>
      <c r="K18" s="2" t="n">
        <f aca="false">$Q$3+$Q$5*$Q$4</f>
        <v>62.8820833333333</v>
      </c>
      <c r="L18" s="2" t="n">
        <f aca="false">$Q$3-$Q$5*$Q$4</f>
        <v>52.7845833333333</v>
      </c>
      <c r="M18" s="2" t="n">
        <f aca="false">$Q$4</f>
        <v>8.75</v>
      </c>
      <c r="N18" s="2" t="n">
        <f aca="false">$Q$6*$Q$4</f>
        <v>18.4975</v>
      </c>
      <c r="P18" s="7"/>
      <c r="Q18" s="7"/>
      <c r="R18" s="7"/>
      <c r="S18" s="7"/>
    </row>
    <row r="19" customFormat="false" ht="15" hidden="false" customHeight="false" outlineLevel="0" collapsed="false">
      <c r="A19" s="0" t="n">
        <v>18</v>
      </c>
      <c r="B19" s="0" t="s">
        <v>39</v>
      </c>
      <c r="C19" s="0" t="n">
        <v>52</v>
      </c>
      <c r="D19" s="0" t="n">
        <v>58</v>
      </c>
      <c r="E19" s="0" t="n">
        <v>48</v>
      </c>
      <c r="F19" s="0" t="n">
        <v>49</v>
      </c>
      <c r="G19" s="0" t="n">
        <v>52</v>
      </c>
      <c r="H19" s="2" t="n">
        <f aca="false">AVERAGE(C19:G19)</f>
        <v>51.8</v>
      </c>
      <c r="I19" s="2" t="n">
        <f aca="false">MAX(C19:G19)-MIN(C19:G19)</f>
        <v>10</v>
      </c>
      <c r="J19" s="2" t="n">
        <f aca="false">$Q$3</f>
        <v>57.8333333333333</v>
      </c>
      <c r="K19" s="2" t="n">
        <f aca="false">$Q$3+$Q$5*$Q$4</f>
        <v>62.8820833333333</v>
      </c>
      <c r="L19" s="2" t="n">
        <f aca="false">$Q$3-$Q$5*$Q$4</f>
        <v>52.7845833333333</v>
      </c>
      <c r="M19" s="2" t="n">
        <f aca="false">$Q$4</f>
        <v>8.75</v>
      </c>
      <c r="N19" s="2" t="n">
        <f aca="false">$Q$6*$Q$4</f>
        <v>18.4975</v>
      </c>
      <c r="P19" s="7"/>
      <c r="Q19" s="7"/>
      <c r="R19" s="7"/>
      <c r="S19" s="7"/>
    </row>
    <row r="20" customFormat="false" ht="15" hidden="false" customHeight="false" outlineLevel="0" collapsed="false">
      <c r="A20" s="0" t="n">
        <v>19</v>
      </c>
      <c r="B20" s="0" t="s">
        <v>40</v>
      </c>
      <c r="C20" s="0" t="n">
        <v>44</v>
      </c>
      <c r="D20" s="0" t="n">
        <v>46</v>
      </c>
      <c r="E20" s="0" t="n">
        <v>51</v>
      </c>
      <c r="F20" s="0" t="n">
        <v>46</v>
      </c>
      <c r="G20" s="0" t="n">
        <v>46</v>
      </c>
      <c r="H20" s="2" t="n">
        <f aca="false">AVERAGE(C20:G20)</f>
        <v>46.6</v>
      </c>
      <c r="I20" s="2" t="n">
        <f aca="false">MAX(C20:G20)-MIN(C20:G20)</f>
        <v>7</v>
      </c>
      <c r="J20" s="2" t="n">
        <f aca="false">$Q$3</f>
        <v>57.8333333333333</v>
      </c>
      <c r="K20" s="2" t="n">
        <f aca="false">$Q$3+$Q$5*$Q$4</f>
        <v>62.8820833333333</v>
      </c>
      <c r="L20" s="2" t="n">
        <f aca="false">$Q$3-$Q$5*$Q$4</f>
        <v>52.7845833333333</v>
      </c>
      <c r="M20" s="2" t="n">
        <f aca="false">$Q$4</f>
        <v>8.75</v>
      </c>
      <c r="N20" s="2" t="n">
        <f aca="false">$Q$6*$Q$4</f>
        <v>18.4975</v>
      </c>
      <c r="P20" s="7"/>
      <c r="Q20" s="7"/>
      <c r="R20" s="7"/>
      <c r="S20" s="7"/>
    </row>
    <row r="21" customFormat="false" ht="15" hidden="false" customHeight="false" outlineLevel="0" collapsed="false">
      <c r="A21" s="0" t="n">
        <v>20</v>
      </c>
      <c r="B21" s="0" t="s">
        <v>41</v>
      </c>
      <c r="C21" s="0" t="n">
        <v>57</v>
      </c>
      <c r="D21" s="0" t="n">
        <v>58</v>
      </c>
      <c r="E21" s="0" t="n">
        <v>46</v>
      </c>
      <c r="F21" s="0" t="n">
        <v>46</v>
      </c>
      <c r="G21" s="0" t="n">
        <v>56</v>
      </c>
      <c r="H21" s="2" t="n">
        <f aca="false">AVERAGE(C21:G21)</f>
        <v>52.6</v>
      </c>
      <c r="I21" s="2" t="n">
        <f aca="false">MAX(C21:G21)-MIN(C21:G21)</f>
        <v>12</v>
      </c>
      <c r="J21" s="2" t="n">
        <f aca="false">$Q$3</f>
        <v>57.8333333333333</v>
      </c>
      <c r="K21" s="2" t="n">
        <f aca="false">$Q$3+$Q$5*$Q$4</f>
        <v>62.8820833333333</v>
      </c>
      <c r="L21" s="2" t="n">
        <f aca="false">$Q$3-$Q$5*$Q$4</f>
        <v>52.7845833333333</v>
      </c>
      <c r="M21" s="2" t="n">
        <f aca="false">$Q$4</f>
        <v>8.75</v>
      </c>
      <c r="N21" s="2" t="n">
        <f aca="false">$Q$6*$Q$4</f>
        <v>18.4975</v>
      </c>
    </row>
    <row r="22" customFormat="false" ht="15" hidden="false" customHeight="false" outlineLevel="0" collapsed="false">
      <c r="A22" s="0" t="n">
        <v>21</v>
      </c>
      <c r="B22" s="0" t="s">
        <v>42</v>
      </c>
      <c r="C22" s="0" t="n">
        <v>59</v>
      </c>
      <c r="D22" s="0" t="n">
        <v>65</v>
      </c>
      <c r="E22" s="0" t="n">
        <v>52</v>
      </c>
      <c r="F22" s="0" t="n">
        <v>56</v>
      </c>
      <c r="G22" s="0" t="n">
        <v>62</v>
      </c>
      <c r="H22" s="2" t="n">
        <f aca="false">AVERAGE(C22:G22)</f>
        <v>58.8</v>
      </c>
      <c r="I22" s="2" t="n">
        <f aca="false">MAX(C22:G22)-MIN(C22:G22)</f>
        <v>13</v>
      </c>
      <c r="J22" s="2" t="n">
        <f aca="false">$Q$3</f>
        <v>57.8333333333333</v>
      </c>
      <c r="K22" s="2" t="n">
        <f aca="false">$Q$3+$Q$5*$Q$4</f>
        <v>62.8820833333333</v>
      </c>
      <c r="L22" s="2" t="n">
        <f aca="false">$Q$3-$Q$5*$Q$4</f>
        <v>52.7845833333333</v>
      </c>
      <c r="M22" s="2" t="n">
        <f aca="false">$Q$4</f>
        <v>8.75</v>
      </c>
      <c r="N22" s="2" t="n">
        <f aca="false">$Q$6*$Q$4</f>
        <v>18.4975</v>
      </c>
    </row>
    <row r="23" customFormat="false" ht="15" hidden="false" customHeight="false" outlineLevel="0" collapsed="false">
      <c r="A23" s="0" t="n">
        <v>22</v>
      </c>
      <c r="B23" s="0" t="s">
        <v>43</v>
      </c>
      <c r="C23" s="0" t="n">
        <v>62</v>
      </c>
      <c r="D23" s="0" t="n">
        <v>57</v>
      </c>
      <c r="E23" s="0" t="n">
        <v>56</v>
      </c>
      <c r="F23" s="0" t="n">
        <v>60</v>
      </c>
      <c r="G23" s="0" t="n">
        <v>58</v>
      </c>
      <c r="H23" s="2" t="n">
        <f aca="false">AVERAGE(C23:G23)</f>
        <v>58.6</v>
      </c>
      <c r="I23" s="2" t="n">
        <f aca="false">MAX(C23:G23)-MIN(C23:G23)</f>
        <v>6</v>
      </c>
      <c r="J23" s="2" t="n">
        <f aca="false">$Q$3</f>
        <v>57.8333333333333</v>
      </c>
      <c r="K23" s="2" t="n">
        <f aca="false">$Q$3+$Q$5*$Q$4</f>
        <v>62.8820833333333</v>
      </c>
      <c r="L23" s="2" t="n">
        <f aca="false">$Q$3-$Q$5*$Q$4</f>
        <v>52.7845833333333</v>
      </c>
      <c r="M23" s="2" t="n">
        <f aca="false">$Q$4</f>
        <v>8.75</v>
      </c>
      <c r="N23" s="2" t="n">
        <f aca="false">$Q$6*$Q$4</f>
        <v>18.4975</v>
      </c>
    </row>
    <row r="24" customFormat="false" ht="15" hidden="false" customHeight="false" outlineLevel="0" collapsed="false">
      <c r="A24" s="0" t="n">
        <v>23</v>
      </c>
      <c r="B24" s="0" t="s">
        <v>44</v>
      </c>
      <c r="C24" s="0" t="n">
        <v>58</v>
      </c>
      <c r="D24" s="0" t="n">
        <v>53</v>
      </c>
      <c r="E24" s="0" t="n">
        <v>43</v>
      </c>
      <c r="F24" s="0" t="n">
        <v>43</v>
      </c>
      <c r="G24" s="0" t="n">
        <v>62</v>
      </c>
      <c r="H24" s="2" t="n">
        <f aca="false">AVERAGE(C24:G24)</f>
        <v>51.8</v>
      </c>
      <c r="I24" s="2" t="n">
        <f aca="false">MAX(C24:G24)-MIN(C24:G24)</f>
        <v>19</v>
      </c>
      <c r="J24" s="2" t="n">
        <f aca="false">$Q$3</f>
        <v>57.8333333333333</v>
      </c>
      <c r="K24" s="2" t="n">
        <f aca="false">$Q$3+$Q$5*$Q$4</f>
        <v>62.8820833333333</v>
      </c>
      <c r="L24" s="2" t="n">
        <f aca="false">$Q$3-$Q$5*$Q$4</f>
        <v>52.7845833333333</v>
      </c>
      <c r="M24" s="2" t="n">
        <f aca="false">$Q$4</f>
        <v>8.75</v>
      </c>
      <c r="N24" s="2" t="n">
        <f aca="false">$Q$6*$Q$4</f>
        <v>18.4975</v>
      </c>
    </row>
    <row r="25" customFormat="false" ht="15" hidden="false" customHeight="false" outlineLevel="0" collapsed="false">
      <c r="A25" s="0" t="n">
        <v>24</v>
      </c>
      <c r="B25" s="0" t="s">
        <v>45</v>
      </c>
      <c r="C25" s="0" t="n">
        <v>52</v>
      </c>
      <c r="D25" s="0" t="n">
        <v>63</v>
      </c>
      <c r="E25" s="0" t="n">
        <v>48</v>
      </c>
      <c r="F25" s="0" t="n">
        <v>54</v>
      </c>
      <c r="G25" s="0" t="n">
        <v>54</v>
      </c>
      <c r="H25" s="2" t="n">
        <f aca="false">AVERAGE(C25:G25)</f>
        <v>54.2</v>
      </c>
      <c r="I25" s="2" t="n">
        <f aca="false">MAX(C25:G25)-MIN(C25:G25)</f>
        <v>15</v>
      </c>
      <c r="J25" s="2" t="n">
        <f aca="false">$Q$3</f>
        <v>57.8333333333333</v>
      </c>
      <c r="K25" s="2" t="n">
        <f aca="false">$Q$3+$Q$5*$Q$4</f>
        <v>62.8820833333333</v>
      </c>
      <c r="L25" s="2" t="n">
        <f aca="false">$Q$3-$Q$5*$Q$4</f>
        <v>52.7845833333333</v>
      </c>
      <c r="M25" s="2" t="n">
        <f aca="false">$Q$4</f>
        <v>8.75</v>
      </c>
      <c r="N25" s="2" t="n">
        <f aca="false">$Q$6*$Q$4</f>
        <v>18.4975</v>
      </c>
    </row>
  </sheetData>
  <mergeCells count="1">
    <mergeCell ref="P12:S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0" style="0" width="38"/>
  </cols>
  <sheetData>
    <row r="1" customFormat="false" ht="28.35" hidden="false" customHeight="false" outlineLevel="0" collapsed="false">
      <c r="A1" s="1" t="s">
        <v>46</v>
      </c>
      <c r="B1" s="1" t="s">
        <v>47</v>
      </c>
      <c r="C1" s="1" t="s">
        <v>48</v>
      </c>
      <c r="D1" s="1" t="s">
        <v>9</v>
      </c>
      <c r="E1" s="1" t="s">
        <v>10</v>
      </c>
      <c r="F1" s="1" t="s">
        <v>11</v>
      </c>
      <c r="G1" s="1" t="s">
        <v>49</v>
      </c>
      <c r="H1" s="1" t="s">
        <v>50</v>
      </c>
    </row>
    <row r="2" customFormat="false" ht="15" hidden="false" customHeight="false" outlineLevel="0" collapsed="false">
      <c r="A2" s="0" t="n">
        <v>1</v>
      </c>
      <c r="B2" s="0" t="n">
        <v>35</v>
      </c>
      <c r="D2" s="8" t="n">
        <f aca="false">$K$3</f>
        <v>38.3333333333333</v>
      </c>
      <c r="E2" s="8" t="n">
        <f aca="false">$K$3+2.66*$K$4</f>
        <v>44.6033333333333</v>
      </c>
      <c r="F2" s="8" t="n">
        <f aca="false">$K$3-2.66*$K$4</f>
        <v>32.0633333333333</v>
      </c>
      <c r="G2" s="8" t="n">
        <f aca="false">$K$4</f>
        <v>2.35714285714286</v>
      </c>
      <c r="H2" s="8" t="n">
        <f aca="false">3.267*$K$4</f>
        <v>7.70078571428571</v>
      </c>
      <c r="J2" s="3" t="s">
        <v>51</v>
      </c>
      <c r="K2" s="4" t="n">
        <v>15</v>
      </c>
    </row>
    <row r="3" customFormat="false" ht="15" hidden="false" customHeight="false" outlineLevel="0" collapsed="false">
      <c r="A3" s="0" t="n">
        <v>2</v>
      </c>
      <c r="B3" s="0" t="n">
        <v>39</v>
      </c>
      <c r="C3" s="8" t="n">
        <f aca="false">ABS(B3-B2)</f>
        <v>4</v>
      </c>
      <c r="D3" s="8" t="n">
        <f aca="false">$K$3</f>
        <v>38.3333333333333</v>
      </c>
      <c r="E3" s="8" t="n">
        <f aca="false">$K$3+2.66*$K$4</f>
        <v>44.6033333333333</v>
      </c>
      <c r="F3" s="8" t="n">
        <f aca="false">$K$3-2.66*$K$4</f>
        <v>32.0633333333333</v>
      </c>
      <c r="G3" s="8" t="n">
        <f aca="false">$K$4</f>
        <v>2.35714285714286</v>
      </c>
      <c r="H3" s="8" t="n">
        <f aca="false">3.267*$K$4</f>
        <v>7.70078571428571</v>
      </c>
      <c r="J3" s="3" t="s">
        <v>7</v>
      </c>
      <c r="K3" s="2" t="n">
        <f aca="true">AVERAGE(OFFSET(B2,0,0,K2,1))</f>
        <v>38.3333333333333</v>
      </c>
    </row>
    <row r="4" customFormat="false" ht="15" hidden="false" customHeight="false" outlineLevel="0" collapsed="false">
      <c r="A4" s="0" t="n">
        <v>3</v>
      </c>
      <c r="B4" s="0" t="n">
        <v>38</v>
      </c>
      <c r="C4" s="8" t="n">
        <f aca="false">ABS(B4-B3)</f>
        <v>1</v>
      </c>
      <c r="D4" s="8" t="n">
        <f aca="false">$K$3</f>
        <v>38.3333333333333</v>
      </c>
      <c r="E4" s="8" t="n">
        <f aca="false">$K$3+2.66*$K$4</f>
        <v>44.6033333333333</v>
      </c>
      <c r="F4" s="8" t="n">
        <f aca="false">$K$3-2.66*$K$4</f>
        <v>32.0633333333333</v>
      </c>
      <c r="G4" s="8" t="n">
        <f aca="false">$K$4</f>
        <v>2.35714285714286</v>
      </c>
      <c r="H4" s="8" t="n">
        <f aca="false">3.267*$K$4</f>
        <v>7.70078571428571</v>
      </c>
      <c r="J4" s="3" t="s">
        <v>49</v>
      </c>
      <c r="K4" s="2" t="n">
        <f aca="true">AVERAGE(OFFSET(C3,0,0,K2-1,1))</f>
        <v>2.35714285714286</v>
      </c>
    </row>
    <row r="5" customFormat="false" ht="15" hidden="false" customHeight="false" outlineLevel="0" collapsed="false">
      <c r="A5" s="0" t="n">
        <v>4</v>
      </c>
      <c r="B5" s="0" t="n">
        <v>42</v>
      </c>
      <c r="C5" s="8" t="n">
        <f aca="false">ABS(B5-B4)</f>
        <v>4</v>
      </c>
      <c r="D5" s="8" t="n">
        <f aca="false">$K$3</f>
        <v>38.3333333333333</v>
      </c>
      <c r="E5" s="8" t="n">
        <f aca="false">$K$3+2.66*$K$4</f>
        <v>44.6033333333333</v>
      </c>
      <c r="F5" s="8" t="n">
        <f aca="false">$K$3-2.66*$K$4</f>
        <v>32.0633333333333</v>
      </c>
      <c r="G5" s="8" t="n">
        <f aca="false">$K$4</f>
        <v>2.35714285714286</v>
      </c>
      <c r="H5" s="8" t="n">
        <f aca="false">3.267*$K$4</f>
        <v>7.70078571428571</v>
      </c>
      <c r="J5" s="3" t="s">
        <v>52</v>
      </c>
      <c r="K5" s="2" t="n">
        <f aca="false">K4/1.128</f>
        <v>2.08966565349544</v>
      </c>
    </row>
    <row r="6" customFormat="false" ht="15" hidden="false" customHeight="false" outlineLevel="0" collapsed="false">
      <c r="A6" s="0" t="n">
        <v>5</v>
      </c>
      <c r="B6" s="0" t="n">
        <v>37</v>
      </c>
      <c r="C6" s="8" t="n">
        <f aca="false">ABS(B6-B5)</f>
        <v>5</v>
      </c>
      <c r="D6" s="8" t="n">
        <f aca="false">$K$3</f>
        <v>38.3333333333333</v>
      </c>
      <c r="E6" s="8" t="n">
        <f aca="false">$K$3+2.66*$K$4</f>
        <v>44.6033333333333</v>
      </c>
      <c r="F6" s="8" t="n">
        <f aca="false">$K$3-2.66*$K$4</f>
        <v>32.0633333333333</v>
      </c>
      <c r="G6" s="8" t="n">
        <f aca="false">$K$4</f>
        <v>2.35714285714286</v>
      </c>
      <c r="H6" s="8" t="n">
        <f aca="false">3.267*$K$4</f>
        <v>7.70078571428571</v>
      </c>
      <c r="J6" s="3" t="s">
        <v>53</v>
      </c>
      <c r="K6" s="2" t="n">
        <f aca="true">_xlfn.STDEV.S(OFFSET(B2,0,0,K2,1))</f>
        <v>1.98805959477601</v>
      </c>
    </row>
    <row r="7" customFormat="false" ht="15" hidden="false" customHeight="false" outlineLevel="0" collapsed="false">
      <c r="A7" s="0" t="n">
        <v>6</v>
      </c>
      <c r="B7" s="0" t="n">
        <v>37</v>
      </c>
      <c r="C7" s="8" t="n">
        <f aca="false">ABS(B7-B6)</f>
        <v>0</v>
      </c>
      <c r="D7" s="8" t="n">
        <f aca="false">$K$3</f>
        <v>38.3333333333333</v>
      </c>
      <c r="E7" s="8" t="n">
        <f aca="false">$K$3+2.66*$K$4</f>
        <v>44.6033333333333</v>
      </c>
      <c r="F7" s="8" t="n">
        <f aca="false">$K$3-2.66*$K$4</f>
        <v>32.0633333333333</v>
      </c>
      <c r="G7" s="8" t="n">
        <f aca="false">$K$4</f>
        <v>2.35714285714286</v>
      </c>
      <c r="H7" s="8" t="n">
        <f aca="false">3.267*$K$4</f>
        <v>7.70078571428571</v>
      </c>
      <c r="J7" s="3" t="s">
        <v>54</v>
      </c>
      <c r="K7" s="6" t="n">
        <f aca="false">SUMPRODUCT((B2:B18&gt;E2:E18)+(B2:B18&lt;F2:F18))</f>
        <v>0</v>
      </c>
    </row>
    <row r="8" customFormat="false" ht="15" hidden="false" customHeight="false" outlineLevel="0" collapsed="false">
      <c r="A8" s="0" t="n">
        <v>7</v>
      </c>
      <c r="B8" s="0" t="n">
        <v>39</v>
      </c>
      <c r="C8" s="8" t="n">
        <f aca="false">ABS(B8-B7)</f>
        <v>2</v>
      </c>
      <c r="D8" s="8" t="n">
        <f aca="false">$K$3</f>
        <v>38.3333333333333</v>
      </c>
      <c r="E8" s="8" t="n">
        <f aca="false">$K$3+2.66*$K$4</f>
        <v>44.6033333333333</v>
      </c>
      <c r="F8" s="8" t="n">
        <f aca="false">$K$3-2.66*$K$4</f>
        <v>32.0633333333333</v>
      </c>
      <c r="G8" s="8" t="n">
        <f aca="false">$K$4</f>
        <v>2.35714285714286</v>
      </c>
      <c r="H8" s="8" t="n">
        <f aca="false">3.267*$K$4</f>
        <v>7.70078571428571</v>
      </c>
      <c r="J8" s="3" t="s">
        <v>55</v>
      </c>
      <c r="K8" s="6" t="n">
        <f aca="false">SUMPRODUCT(--(C3:C18&gt;H3:H18))</f>
        <v>1</v>
      </c>
    </row>
    <row r="9" customFormat="false" ht="15" hidden="false" customHeight="false" outlineLevel="0" collapsed="false">
      <c r="A9" s="0" t="n">
        <v>8</v>
      </c>
      <c r="B9" s="0" t="n">
        <v>37</v>
      </c>
      <c r="C9" s="8" t="n">
        <f aca="false">ABS(B9-B8)</f>
        <v>2</v>
      </c>
      <c r="D9" s="8" t="n">
        <f aca="false">$K$3</f>
        <v>38.3333333333333</v>
      </c>
      <c r="E9" s="8" t="n">
        <f aca="false">$K$3+2.66*$K$4</f>
        <v>44.6033333333333</v>
      </c>
      <c r="F9" s="8" t="n">
        <f aca="false">$K$3-2.66*$K$4</f>
        <v>32.0633333333333</v>
      </c>
      <c r="G9" s="8" t="n">
        <f aca="false">$K$4</f>
        <v>2.35714285714286</v>
      </c>
      <c r="H9" s="8" t="n">
        <f aca="false">3.267*$K$4</f>
        <v>7.70078571428571</v>
      </c>
    </row>
    <row r="10" customFormat="false" ht="15" hidden="false" customHeight="true" outlineLevel="0" collapsed="false">
      <c r="A10" s="0" t="n">
        <v>9</v>
      </c>
      <c r="B10" s="0" t="n">
        <v>37</v>
      </c>
      <c r="C10" s="8" t="n">
        <f aca="false">ABS(B10-B9)</f>
        <v>0</v>
      </c>
      <c r="D10" s="8" t="n">
        <f aca="false">$K$3</f>
        <v>38.3333333333333</v>
      </c>
      <c r="E10" s="8" t="n">
        <f aca="false">$K$3+2.66*$K$4</f>
        <v>44.6033333333333</v>
      </c>
      <c r="F10" s="8" t="n">
        <f aca="false">$K$3-2.66*$K$4</f>
        <v>32.0633333333333</v>
      </c>
      <c r="G10" s="8" t="n">
        <f aca="false">$K$4</f>
        <v>2.35714285714286</v>
      </c>
      <c r="H10" s="8" t="n">
        <f aca="false">3.267*$K$4</f>
        <v>7.70078571428571</v>
      </c>
      <c r="J10" s="7" t="s">
        <v>56</v>
      </c>
      <c r="K10" s="7"/>
      <c r="L10" s="7"/>
      <c r="M10" s="7"/>
    </row>
    <row r="11" customFormat="false" ht="15" hidden="false" customHeight="false" outlineLevel="0" collapsed="false">
      <c r="A11" s="0" t="n">
        <v>10</v>
      </c>
      <c r="B11" s="0" t="n">
        <v>40</v>
      </c>
      <c r="C11" s="8" t="n">
        <f aca="false">ABS(B11-B10)</f>
        <v>3</v>
      </c>
      <c r="D11" s="8" t="n">
        <f aca="false">$K$3</f>
        <v>38.3333333333333</v>
      </c>
      <c r="E11" s="8" t="n">
        <f aca="false">$K$3+2.66*$K$4</f>
        <v>44.6033333333333</v>
      </c>
      <c r="F11" s="8" t="n">
        <f aca="false">$K$3-2.66*$K$4</f>
        <v>32.0633333333333</v>
      </c>
      <c r="G11" s="8" t="n">
        <f aca="false">$K$4</f>
        <v>2.35714285714286</v>
      </c>
      <c r="H11" s="8" t="n">
        <f aca="false">3.267*$K$4</f>
        <v>7.70078571428571</v>
      </c>
      <c r="J11" s="7"/>
      <c r="K11" s="7"/>
      <c r="L11" s="7"/>
      <c r="M11" s="7"/>
    </row>
    <row r="12" customFormat="false" ht="15" hidden="false" customHeight="false" outlineLevel="0" collapsed="false">
      <c r="A12" s="0" t="n">
        <v>11</v>
      </c>
      <c r="B12" s="0" t="n">
        <v>39</v>
      </c>
      <c r="C12" s="8" t="n">
        <f aca="false">ABS(B12-B11)</f>
        <v>1</v>
      </c>
      <c r="D12" s="8" t="n">
        <f aca="false">$K$3</f>
        <v>38.3333333333333</v>
      </c>
      <c r="E12" s="8" t="n">
        <f aca="false">$K$3+2.66*$K$4</f>
        <v>44.6033333333333</v>
      </c>
      <c r="F12" s="8" t="n">
        <f aca="false">$K$3-2.66*$K$4</f>
        <v>32.0633333333333</v>
      </c>
      <c r="G12" s="8" t="n">
        <f aca="false">$K$4</f>
        <v>2.35714285714286</v>
      </c>
      <c r="H12" s="8" t="n">
        <f aca="false">3.267*$K$4</f>
        <v>7.70078571428571</v>
      </c>
      <c r="J12" s="7"/>
      <c r="K12" s="7"/>
      <c r="L12" s="7"/>
      <c r="M12" s="7"/>
    </row>
    <row r="13" customFormat="false" ht="15" hidden="false" customHeight="false" outlineLevel="0" collapsed="false">
      <c r="A13" s="0" t="n">
        <v>12</v>
      </c>
      <c r="B13" s="0" t="n">
        <v>39</v>
      </c>
      <c r="C13" s="8" t="n">
        <f aca="false">ABS(B13-B12)</f>
        <v>0</v>
      </c>
      <c r="D13" s="8" t="n">
        <f aca="false">$K$3</f>
        <v>38.3333333333333</v>
      </c>
      <c r="E13" s="8" t="n">
        <f aca="false">$K$3+2.66*$K$4</f>
        <v>44.6033333333333</v>
      </c>
      <c r="F13" s="8" t="n">
        <f aca="false">$K$3-2.66*$K$4</f>
        <v>32.0633333333333</v>
      </c>
      <c r="G13" s="8" t="n">
        <f aca="false">$K$4</f>
        <v>2.35714285714286</v>
      </c>
      <c r="H13" s="8" t="n">
        <f aca="false">3.267*$K$4</f>
        <v>7.70078571428571</v>
      </c>
      <c r="J13" s="7"/>
      <c r="K13" s="7"/>
      <c r="L13" s="7"/>
      <c r="M13" s="7"/>
    </row>
    <row r="14" customFormat="false" ht="15" hidden="false" customHeight="false" outlineLevel="0" collapsed="false">
      <c r="A14" s="0" t="n">
        <v>13</v>
      </c>
      <c r="B14" s="0" t="n">
        <v>38</v>
      </c>
      <c r="C14" s="8" t="n">
        <f aca="false">ABS(B14-B13)</f>
        <v>1</v>
      </c>
      <c r="D14" s="8" t="n">
        <f aca="false">$K$3</f>
        <v>38.3333333333333</v>
      </c>
      <c r="E14" s="8" t="n">
        <f aca="false">$K$3+2.66*$K$4</f>
        <v>44.6033333333333</v>
      </c>
      <c r="F14" s="8" t="n">
        <f aca="false">$K$3-2.66*$K$4</f>
        <v>32.0633333333333</v>
      </c>
      <c r="G14" s="8" t="n">
        <f aca="false">$K$4</f>
        <v>2.35714285714286</v>
      </c>
      <c r="H14" s="8" t="n">
        <f aca="false">3.267*$K$4</f>
        <v>7.70078571428571</v>
      </c>
      <c r="J14" s="7"/>
      <c r="K14" s="7"/>
      <c r="L14" s="7"/>
      <c r="M14" s="7"/>
    </row>
    <row r="15" customFormat="false" ht="15" hidden="false" customHeight="false" outlineLevel="0" collapsed="false">
      <c r="A15" s="0" t="n">
        <v>14</v>
      </c>
      <c r="B15" s="0" t="n">
        <v>42</v>
      </c>
      <c r="C15" s="8" t="n">
        <f aca="false">ABS(B15-B14)</f>
        <v>4</v>
      </c>
      <c r="D15" s="8" t="n">
        <f aca="false">$K$3</f>
        <v>38.3333333333333</v>
      </c>
      <c r="E15" s="8" t="n">
        <f aca="false">$K$3+2.66*$K$4</f>
        <v>44.6033333333333</v>
      </c>
      <c r="F15" s="8" t="n">
        <f aca="false">$K$3-2.66*$K$4</f>
        <v>32.0633333333333</v>
      </c>
      <c r="G15" s="8" t="n">
        <f aca="false">$K$4</f>
        <v>2.35714285714286</v>
      </c>
      <c r="H15" s="8" t="n">
        <f aca="false">3.267*$K$4</f>
        <v>7.70078571428571</v>
      </c>
      <c r="J15" s="7"/>
      <c r="K15" s="7"/>
      <c r="L15" s="7"/>
      <c r="M15" s="7"/>
    </row>
    <row r="16" customFormat="false" ht="15" hidden="false" customHeight="false" outlineLevel="0" collapsed="false">
      <c r="A16" s="0" t="n">
        <v>15</v>
      </c>
      <c r="B16" s="0" t="n">
        <v>36</v>
      </c>
      <c r="C16" s="8" t="n">
        <f aca="false">ABS(B16-B15)</f>
        <v>6</v>
      </c>
      <c r="D16" s="8" t="n">
        <f aca="false">$K$3</f>
        <v>38.3333333333333</v>
      </c>
      <c r="E16" s="8" t="n">
        <f aca="false">$K$3+2.66*$K$4</f>
        <v>44.6033333333333</v>
      </c>
      <c r="F16" s="8" t="n">
        <f aca="false">$K$3-2.66*$K$4</f>
        <v>32.0633333333333</v>
      </c>
      <c r="G16" s="8" t="n">
        <f aca="false">$K$4</f>
        <v>2.35714285714286</v>
      </c>
      <c r="H16" s="8" t="n">
        <f aca="false">3.267*$K$4</f>
        <v>7.70078571428571</v>
      </c>
      <c r="J16" s="7"/>
      <c r="K16" s="7"/>
      <c r="L16" s="7"/>
      <c r="M16" s="7"/>
    </row>
    <row r="17" customFormat="false" ht="15" hidden="false" customHeight="false" outlineLevel="0" collapsed="false">
      <c r="A17" s="0" t="n">
        <v>16</v>
      </c>
      <c r="B17" s="0" t="n">
        <v>34</v>
      </c>
      <c r="C17" s="8" t="n">
        <f aca="false">ABS(B17-B16)</f>
        <v>2</v>
      </c>
      <c r="D17" s="8" t="n">
        <f aca="false">$K$3</f>
        <v>38.3333333333333</v>
      </c>
      <c r="E17" s="8" t="n">
        <f aca="false">$K$3+2.66*$K$4</f>
        <v>44.6033333333333</v>
      </c>
      <c r="F17" s="8" t="n">
        <f aca="false">$K$3-2.66*$K$4</f>
        <v>32.0633333333333</v>
      </c>
      <c r="G17" s="8" t="n">
        <f aca="false">$K$4</f>
        <v>2.35714285714286</v>
      </c>
      <c r="H17" s="8" t="n">
        <f aca="false">3.267*$K$4</f>
        <v>7.70078571428571</v>
      </c>
      <c r="J17" s="7"/>
      <c r="K17" s="7"/>
      <c r="L17" s="7"/>
      <c r="M17" s="7"/>
    </row>
    <row r="18" customFormat="false" ht="15" hidden="false" customHeight="false" outlineLevel="0" collapsed="false">
      <c r="A18" s="0" t="n">
        <v>17</v>
      </c>
      <c r="B18" s="0" t="n">
        <v>44</v>
      </c>
      <c r="C18" s="8" t="n">
        <f aca="false">ABS(B18-B17)</f>
        <v>10</v>
      </c>
      <c r="D18" s="8" t="n">
        <f aca="false">$K$3</f>
        <v>38.3333333333333</v>
      </c>
      <c r="E18" s="8" t="n">
        <f aca="false">$K$3+2.66*$K$4</f>
        <v>44.6033333333333</v>
      </c>
      <c r="F18" s="8" t="n">
        <f aca="false">$K$3-2.66*$K$4</f>
        <v>32.0633333333333</v>
      </c>
      <c r="G18" s="8" t="n">
        <f aca="false">$K$4</f>
        <v>2.35714285714286</v>
      </c>
      <c r="H18" s="8" t="n">
        <f aca="false">3.267*$K$4</f>
        <v>7.70078571428571</v>
      </c>
    </row>
  </sheetData>
  <mergeCells count="1">
    <mergeCell ref="J10:M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2" style="0" width="36"/>
  </cols>
  <sheetData>
    <row r="1" customFormat="false" ht="28.35" hidden="false" customHeight="false" outlineLevel="0" collapsed="false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</row>
    <row r="2" customFormat="false" ht="15" hidden="false" customHeight="false" outlineLevel="0" collapsed="false">
      <c r="A2" s="0" t="n">
        <v>1</v>
      </c>
      <c r="B2" s="0" t="n">
        <v>5</v>
      </c>
      <c r="C2" s="0" t="n">
        <v>5.345</v>
      </c>
      <c r="D2" s="0" t="n">
        <v>0.031</v>
      </c>
      <c r="E2" s="4" t="n">
        <v>1</v>
      </c>
      <c r="F2" s="5" t="n">
        <f aca="false">$M$3</f>
        <v>5.34129166666667</v>
      </c>
      <c r="G2" s="5" t="n">
        <f aca="false">$M$3+0.577*$M$4</f>
        <v>5.36985316666667</v>
      </c>
      <c r="H2" s="5" t="n">
        <f aca="false">$M$3-0.577*$M$4</f>
        <v>5.31273016666667</v>
      </c>
      <c r="I2" s="5" t="n">
        <f aca="false">$M$4</f>
        <v>0.0495</v>
      </c>
      <c r="J2" s="5" t="n">
        <f aca="false">2.114*$M$4</f>
        <v>0.104643</v>
      </c>
    </row>
    <row r="3" customFormat="false" ht="15" hidden="false" customHeight="false" outlineLevel="0" collapsed="false">
      <c r="A3" s="0" t="n">
        <v>2</v>
      </c>
      <c r="B3" s="0" t="n">
        <v>5</v>
      </c>
      <c r="C3" s="0" t="n">
        <v>5.342</v>
      </c>
      <c r="D3" s="0" t="n">
        <v>0.042</v>
      </c>
      <c r="E3" s="4" t="n">
        <v>1</v>
      </c>
      <c r="F3" s="5" t="n">
        <f aca="false">$M$3</f>
        <v>5.34129166666667</v>
      </c>
      <c r="G3" s="5" t="n">
        <f aca="false">$M$3+0.577*$M$4</f>
        <v>5.36985316666667</v>
      </c>
      <c r="H3" s="5" t="n">
        <f aca="false">$M$3-0.577*$M$4</f>
        <v>5.31273016666667</v>
      </c>
      <c r="I3" s="5" t="n">
        <f aca="false">$M$4</f>
        <v>0.0495</v>
      </c>
      <c r="J3" s="5" t="n">
        <f aca="false">2.114*$M$4</f>
        <v>0.104643</v>
      </c>
      <c r="L3" s="3" t="s">
        <v>62</v>
      </c>
      <c r="M3" s="5" t="n">
        <f aca="false">SUMPRODUCT(C2:C25,E2:E25)/SUM(E2:E25)</f>
        <v>5.34129166666667</v>
      </c>
    </row>
    <row r="4" customFormat="false" ht="15" hidden="false" customHeight="false" outlineLevel="0" collapsed="false">
      <c r="A4" s="0" t="n">
        <v>3</v>
      </c>
      <c r="B4" s="0" t="n">
        <v>5</v>
      </c>
      <c r="C4" s="0" t="n">
        <v>5.346</v>
      </c>
      <c r="D4" s="0" t="n">
        <v>0.039</v>
      </c>
      <c r="E4" s="4" t="n">
        <v>1</v>
      </c>
      <c r="F4" s="5" t="n">
        <f aca="false">$M$3</f>
        <v>5.34129166666667</v>
      </c>
      <c r="G4" s="5" t="n">
        <f aca="false">$M$3+0.577*$M$4</f>
        <v>5.36985316666667</v>
      </c>
      <c r="H4" s="5" t="n">
        <f aca="false">$M$3-0.577*$M$4</f>
        <v>5.31273016666667</v>
      </c>
      <c r="I4" s="5" t="n">
        <f aca="false">$M$4</f>
        <v>0.0495</v>
      </c>
      <c r="J4" s="5" t="n">
        <f aca="false">2.114*$M$4</f>
        <v>0.104643</v>
      </c>
      <c r="L4" s="3" t="s">
        <v>63</v>
      </c>
      <c r="M4" s="5" t="n">
        <f aca="false">SUMPRODUCT(D2:D25,E2:E25)/SUM(E2:E25)</f>
        <v>0.0495</v>
      </c>
    </row>
    <row r="5" customFormat="false" ht="15" hidden="false" customHeight="false" outlineLevel="0" collapsed="false">
      <c r="A5" s="0" t="n">
        <v>4</v>
      </c>
      <c r="B5" s="0" t="n">
        <v>5</v>
      </c>
      <c r="C5" s="0" t="n">
        <v>5.315</v>
      </c>
      <c r="D5" s="0" t="n">
        <v>0.042</v>
      </c>
      <c r="E5" s="4" t="n">
        <v>1</v>
      </c>
      <c r="F5" s="5" t="n">
        <f aca="false">$M$3</f>
        <v>5.34129166666667</v>
      </c>
      <c r="G5" s="5" t="n">
        <f aca="false">$M$3+0.577*$M$4</f>
        <v>5.36985316666667</v>
      </c>
      <c r="H5" s="5" t="n">
        <f aca="false">$M$3-0.577*$M$4</f>
        <v>5.31273016666667</v>
      </c>
      <c r="I5" s="5" t="n">
        <f aca="false">$M$4</f>
        <v>0.0495</v>
      </c>
      <c r="J5" s="5" t="n">
        <f aca="false">2.114*$M$4</f>
        <v>0.104643</v>
      </c>
      <c r="L5" s="3" t="s">
        <v>27</v>
      </c>
      <c r="M5" s="6" t="n">
        <f aca="false">SUMPRODUCT((C2:C25&gt;G2:G25)+(C2:C25&lt;H2:H25))</f>
        <v>2</v>
      </c>
    </row>
    <row r="6" customFormat="false" ht="15" hidden="false" customHeight="false" outlineLevel="0" collapsed="false">
      <c r="A6" s="0" t="n">
        <v>5</v>
      </c>
      <c r="B6" s="0" t="n">
        <v>5</v>
      </c>
      <c r="C6" s="0" t="n">
        <v>5.35</v>
      </c>
      <c r="D6" s="0" t="n">
        <v>0.05</v>
      </c>
      <c r="E6" s="4" t="n">
        <v>1</v>
      </c>
      <c r="F6" s="5" t="n">
        <f aca="false">$M$3</f>
        <v>5.34129166666667</v>
      </c>
      <c r="G6" s="5" t="n">
        <f aca="false">$M$3+0.577*$M$4</f>
        <v>5.36985316666667</v>
      </c>
      <c r="H6" s="5" t="n">
        <f aca="false">$M$3-0.577*$M$4</f>
        <v>5.31273016666667</v>
      </c>
      <c r="I6" s="5" t="n">
        <f aca="false">$M$4</f>
        <v>0.0495</v>
      </c>
      <c r="J6" s="5" t="n">
        <f aca="false">2.114*$M$4</f>
        <v>0.104643</v>
      </c>
      <c r="L6" s="3" t="s">
        <v>29</v>
      </c>
      <c r="M6" s="6" t="n">
        <f aca="false">SUMPRODUCT(--(D2:D25&gt;J2:J25))</f>
        <v>0</v>
      </c>
    </row>
    <row r="7" customFormat="false" ht="15" hidden="false" customHeight="false" outlineLevel="0" collapsed="false">
      <c r="A7" s="0" t="n">
        <v>6</v>
      </c>
      <c r="B7" s="0" t="n">
        <v>5</v>
      </c>
      <c r="C7" s="0" t="n">
        <v>5.341</v>
      </c>
      <c r="D7" s="0" t="n">
        <v>0.061</v>
      </c>
      <c r="E7" s="4" t="n">
        <v>1</v>
      </c>
      <c r="F7" s="5" t="n">
        <f aca="false">$M$3</f>
        <v>5.34129166666667</v>
      </c>
      <c r="G7" s="5" t="n">
        <f aca="false">$M$3+0.577*$M$4</f>
        <v>5.36985316666667</v>
      </c>
      <c r="H7" s="5" t="n">
        <f aca="false">$M$3-0.577*$M$4</f>
        <v>5.31273016666667</v>
      </c>
      <c r="I7" s="5" t="n">
        <f aca="false">$M$4</f>
        <v>0.0495</v>
      </c>
      <c r="J7" s="5" t="n">
        <f aca="false">2.114*$M$4</f>
        <v>0.104643</v>
      </c>
    </row>
    <row r="8" customFormat="false" ht="15" hidden="false" customHeight="true" outlineLevel="0" collapsed="false">
      <c r="A8" s="0" t="n">
        <v>7</v>
      </c>
      <c r="B8" s="0" t="n">
        <v>5</v>
      </c>
      <c r="C8" s="0" t="n">
        <v>5.326</v>
      </c>
      <c r="D8" s="0" t="n">
        <v>0.041</v>
      </c>
      <c r="E8" s="4" t="n">
        <v>1</v>
      </c>
      <c r="F8" s="5" t="n">
        <f aca="false">$M$3</f>
        <v>5.34129166666667</v>
      </c>
      <c r="G8" s="5" t="n">
        <f aca="false">$M$3+0.577*$M$4</f>
        <v>5.36985316666667</v>
      </c>
      <c r="H8" s="5" t="n">
        <f aca="false">$M$3-0.577*$M$4</f>
        <v>5.31273016666667</v>
      </c>
      <c r="I8" s="5" t="n">
        <f aca="false">$M$4</f>
        <v>0.0495</v>
      </c>
      <c r="J8" s="5" t="n">
        <f aca="false">2.114*$M$4</f>
        <v>0.104643</v>
      </c>
      <c r="L8" s="7" t="s">
        <v>64</v>
      </c>
      <c r="M8" s="7"/>
      <c r="N8" s="7"/>
      <c r="O8" s="7"/>
    </row>
    <row r="9" customFormat="false" ht="15" hidden="false" customHeight="false" outlineLevel="0" collapsed="false">
      <c r="A9" s="0" t="n">
        <v>8</v>
      </c>
      <c r="B9" s="0" t="n">
        <v>5</v>
      </c>
      <c r="C9" s="0" t="n">
        <v>5.338</v>
      </c>
      <c r="D9" s="0" t="n">
        <v>0.037</v>
      </c>
      <c r="E9" s="4" t="n">
        <v>1</v>
      </c>
      <c r="F9" s="5" t="n">
        <f aca="false">$M$3</f>
        <v>5.34129166666667</v>
      </c>
      <c r="G9" s="5" t="n">
        <f aca="false">$M$3+0.577*$M$4</f>
        <v>5.36985316666667</v>
      </c>
      <c r="H9" s="5" t="n">
        <f aca="false">$M$3-0.577*$M$4</f>
        <v>5.31273016666667</v>
      </c>
      <c r="I9" s="5" t="n">
        <f aca="false">$M$4</f>
        <v>0.0495</v>
      </c>
      <c r="J9" s="5" t="n">
        <f aca="false">2.114*$M$4</f>
        <v>0.104643</v>
      </c>
      <c r="L9" s="7"/>
      <c r="M9" s="7"/>
      <c r="N9" s="7"/>
      <c r="O9" s="7"/>
    </row>
    <row r="10" customFormat="false" ht="15" hidden="false" customHeight="false" outlineLevel="0" collapsed="false">
      <c r="A10" s="0" t="n">
        <v>9</v>
      </c>
      <c r="B10" s="0" t="n">
        <v>5</v>
      </c>
      <c r="C10" s="0" t="n">
        <v>5.348</v>
      </c>
      <c r="D10" s="0" t="n">
        <v>0.071</v>
      </c>
      <c r="E10" s="4" t="n">
        <v>1</v>
      </c>
      <c r="F10" s="5" t="n">
        <f aca="false">$M$3</f>
        <v>5.34129166666667</v>
      </c>
      <c r="G10" s="5" t="n">
        <f aca="false">$M$3+0.577*$M$4</f>
        <v>5.36985316666667</v>
      </c>
      <c r="H10" s="5" t="n">
        <f aca="false">$M$3-0.577*$M$4</f>
        <v>5.31273016666667</v>
      </c>
      <c r="I10" s="5" t="n">
        <f aca="false">$M$4</f>
        <v>0.0495</v>
      </c>
      <c r="J10" s="5" t="n">
        <f aca="false">2.114*$M$4</f>
        <v>0.104643</v>
      </c>
      <c r="L10" s="7"/>
      <c r="M10" s="7"/>
      <c r="N10" s="7"/>
      <c r="O10" s="7"/>
    </row>
    <row r="11" customFormat="false" ht="15" hidden="false" customHeight="false" outlineLevel="0" collapsed="false">
      <c r="A11" s="0" t="n">
        <v>10</v>
      </c>
      <c r="B11" s="0" t="n">
        <v>5</v>
      </c>
      <c r="C11" s="0" t="n">
        <v>5.336</v>
      </c>
      <c r="D11" s="0" t="n">
        <v>0.083</v>
      </c>
      <c r="E11" s="4" t="n">
        <v>1</v>
      </c>
      <c r="F11" s="5" t="n">
        <f aca="false">$M$3</f>
        <v>5.34129166666667</v>
      </c>
      <c r="G11" s="5" t="n">
        <f aca="false">$M$3+0.577*$M$4</f>
        <v>5.36985316666667</v>
      </c>
      <c r="H11" s="5" t="n">
        <f aca="false">$M$3-0.577*$M$4</f>
        <v>5.31273016666667</v>
      </c>
      <c r="I11" s="5" t="n">
        <f aca="false">$M$4</f>
        <v>0.0495</v>
      </c>
      <c r="J11" s="5" t="n">
        <f aca="false">2.114*$M$4</f>
        <v>0.104643</v>
      </c>
      <c r="L11" s="7"/>
      <c r="M11" s="7"/>
      <c r="N11" s="7"/>
      <c r="O11" s="7"/>
    </row>
    <row r="12" customFormat="false" ht="15" hidden="false" customHeight="false" outlineLevel="0" collapsed="false">
      <c r="A12" s="0" t="n">
        <v>11</v>
      </c>
      <c r="B12" s="0" t="n">
        <v>5</v>
      </c>
      <c r="C12" s="0" t="n">
        <v>5.319</v>
      </c>
      <c r="D12" s="0" t="n">
        <v>0.033</v>
      </c>
      <c r="E12" s="4" t="n">
        <v>1</v>
      </c>
      <c r="F12" s="5" t="n">
        <f aca="false">$M$3</f>
        <v>5.34129166666667</v>
      </c>
      <c r="G12" s="5" t="n">
        <f aca="false">$M$3+0.577*$M$4</f>
        <v>5.36985316666667</v>
      </c>
      <c r="H12" s="5" t="n">
        <f aca="false">$M$3-0.577*$M$4</f>
        <v>5.31273016666667</v>
      </c>
      <c r="I12" s="5" t="n">
        <f aca="false">$M$4</f>
        <v>0.0495</v>
      </c>
      <c r="J12" s="5" t="n">
        <f aca="false">2.114*$M$4</f>
        <v>0.104643</v>
      </c>
      <c r="L12" s="7"/>
      <c r="M12" s="7"/>
      <c r="N12" s="7"/>
      <c r="O12" s="7"/>
    </row>
    <row r="13" customFormat="false" ht="15" hidden="false" customHeight="false" outlineLevel="0" collapsed="false">
      <c r="A13" s="0" t="n">
        <v>12</v>
      </c>
      <c r="B13" s="0" t="n">
        <v>5</v>
      </c>
      <c r="C13" s="0" t="n">
        <v>5.386</v>
      </c>
      <c r="D13" s="0" t="n">
        <v>0.09</v>
      </c>
      <c r="E13" s="4" t="n">
        <v>1</v>
      </c>
      <c r="F13" s="5" t="n">
        <f aca="false">$M$3</f>
        <v>5.34129166666667</v>
      </c>
      <c r="G13" s="5" t="n">
        <f aca="false">$M$3+0.577*$M$4</f>
        <v>5.36985316666667</v>
      </c>
      <c r="H13" s="5" t="n">
        <f aca="false">$M$3-0.577*$M$4</f>
        <v>5.31273016666667</v>
      </c>
      <c r="I13" s="5" t="n">
        <f aca="false">$M$4</f>
        <v>0.0495</v>
      </c>
      <c r="J13" s="5" t="n">
        <f aca="false">2.114*$M$4</f>
        <v>0.104643</v>
      </c>
      <c r="L13" s="7"/>
      <c r="M13" s="7"/>
      <c r="N13" s="7"/>
      <c r="O13" s="7"/>
    </row>
    <row r="14" customFormat="false" ht="15" hidden="false" customHeight="false" outlineLevel="0" collapsed="false">
      <c r="A14" s="0" t="n">
        <v>13</v>
      </c>
      <c r="B14" s="0" t="n">
        <v>5</v>
      </c>
      <c r="C14" s="0" t="n">
        <v>5.354</v>
      </c>
      <c r="D14" s="0" t="n">
        <v>0.081</v>
      </c>
      <c r="E14" s="4" t="n">
        <v>1</v>
      </c>
      <c r="F14" s="5" t="n">
        <f aca="false">$M$3</f>
        <v>5.34129166666667</v>
      </c>
      <c r="G14" s="5" t="n">
        <f aca="false">$M$3+0.577*$M$4</f>
        <v>5.36985316666667</v>
      </c>
      <c r="H14" s="5" t="n">
        <f aca="false">$M$3-0.577*$M$4</f>
        <v>5.31273016666667</v>
      </c>
      <c r="I14" s="5" t="n">
        <f aca="false">$M$4</f>
        <v>0.0495</v>
      </c>
      <c r="J14" s="5" t="n">
        <f aca="false">2.114*$M$4</f>
        <v>0.104643</v>
      </c>
      <c r="L14" s="7"/>
      <c r="M14" s="7"/>
      <c r="N14" s="7"/>
      <c r="O14" s="7"/>
    </row>
    <row r="15" customFormat="false" ht="15" hidden="false" customHeight="false" outlineLevel="0" collapsed="false">
      <c r="A15" s="0" t="n">
        <v>14</v>
      </c>
      <c r="B15" s="0" t="n">
        <v>5</v>
      </c>
      <c r="C15" s="0" t="n">
        <v>5.34</v>
      </c>
      <c r="D15" s="0" t="n">
        <v>0.06</v>
      </c>
      <c r="E15" s="4" t="n">
        <v>1</v>
      </c>
      <c r="F15" s="5" t="n">
        <f aca="false">$M$3</f>
        <v>5.34129166666667</v>
      </c>
      <c r="G15" s="5" t="n">
        <f aca="false">$M$3+0.577*$M$4</f>
        <v>5.36985316666667</v>
      </c>
      <c r="H15" s="5" t="n">
        <f aca="false">$M$3-0.577*$M$4</f>
        <v>5.31273016666667</v>
      </c>
      <c r="I15" s="5" t="n">
        <f aca="false">$M$4</f>
        <v>0.0495</v>
      </c>
      <c r="J15" s="5" t="n">
        <f aca="false">2.114*$M$4</f>
        <v>0.104643</v>
      </c>
    </row>
    <row r="16" customFormat="false" ht="15" hidden="false" customHeight="false" outlineLevel="0" collapsed="false">
      <c r="A16" s="0" t="n">
        <v>15</v>
      </c>
      <c r="B16" s="0" t="n">
        <v>5</v>
      </c>
      <c r="C16" s="0" t="n">
        <v>5.371</v>
      </c>
      <c r="D16" s="0" t="n">
        <v>0.051</v>
      </c>
      <c r="E16" s="4" t="n">
        <v>1</v>
      </c>
      <c r="F16" s="5" t="n">
        <f aca="false">$M$3</f>
        <v>5.34129166666667</v>
      </c>
      <c r="G16" s="5" t="n">
        <f aca="false">$M$3+0.577*$M$4</f>
        <v>5.36985316666667</v>
      </c>
      <c r="H16" s="5" t="n">
        <f aca="false">$M$3-0.577*$M$4</f>
        <v>5.31273016666667</v>
      </c>
      <c r="I16" s="5" t="n">
        <f aca="false">$M$4</f>
        <v>0.0495</v>
      </c>
      <c r="J16" s="5" t="n">
        <f aca="false">2.114*$M$4</f>
        <v>0.104643</v>
      </c>
    </row>
    <row r="17" customFormat="false" ht="15" hidden="false" customHeight="false" outlineLevel="0" collapsed="false">
      <c r="A17" s="0" t="n">
        <v>16</v>
      </c>
      <c r="B17" s="0" t="n">
        <v>5</v>
      </c>
      <c r="C17" s="0" t="n">
        <v>5.349</v>
      </c>
      <c r="D17" s="0" t="n">
        <v>0.073</v>
      </c>
      <c r="E17" s="4" t="n">
        <v>1</v>
      </c>
      <c r="F17" s="5" t="n">
        <f aca="false">$M$3</f>
        <v>5.34129166666667</v>
      </c>
      <c r="G17" s="5" t="n">
        <f aca="false">$M$3+0.577*$M$4</f>
        <v>5.36985316666667</v>
      </c>
      <c r="H17" s="5" t="n">
        <f aca="false">$M$3-0.577*$M$4</f>
        <v>5.31273016666667</v>
      </c>
      <c r="I17" s="5" t="n">
        <f aca="false">$M$4</f>
        <v>0.0495</v>
      </c>
      <c r="J17" s="5" t="n">
        <f aca="false">2.114*$M$4</f>
        <v>0.104643</v>
      </c>
    </row>
    <row r="18" customFormat="false" ht="15" hidden="false" customHeight="false" outlineLevel="0" collapsed="false">
      <c r="A18" s="0" t="n">
        <v>17</v>
      </c>
      <c r="B18" s="0" t="n">
        <v>5</v>
      </c>
      <c r="C18" s="0" t="n">
        <v>5.335</v>
      </c>
      <c r="D18" s="0" t="n">
        <v>0.041</v>
      </c>
      <c r="E18" s="4" t="n">
        <v>1</v>
      </c>
      <c r="F18" s="5" t="n">
        <f aca="false">$M$3</f>
        <v>5.34129166666667</v>
      </c>
      <c r="G18" s="5" t="n">
        <f aca="false">$M$3+0.577*$M$4</f>
        <v>5.36985316666667</v>
      </c>
      <c r="H18" s="5" t="n">
        <f aca="false">$M$3-0.577*$M$4</f>
        <v>5.31273016666667</v>
      </c>
      <c r="I18" s="5" t="n">
        <f aca="false">$M$4</f>
        <v>0.0495</v>
      </c>
      <c r="J18" s="5" t="n">
        <f aca="false">2.114*$M$4</f>
        <v>0.104643</v>
      </c>
    </row>
    <row r="19" customFormat="false" ht="15" hidden="false" customHeight="false" outlineLevel="0" collapsed="false">
      <c r="A19" s="0" t="n">
        <v>18</v>
      </c>
      <c r="B19" s="0" t="n">
        <v>5</v>
      </c>
      <c r="C19" s="0" t="n">
        <v>5.317</v>
      </c>
      <c r="D19" s="0" t="n">
        <v>0.036</v>
      </c>
      <c r="E19" s="4" t="n">
        <v>1</v>
      </c>
      <c r="F19" s="5" t="n">
        <f aca="false">$M$3</f>
        <v>5.34129166666667</v>
      </c>
      <c r="G19" s="5" t="n">
        <f aca="false">$M$3+0.577*$M$4</f>
        <v>5.36985316666667</v>
      </c>
      <c r="H19" s="5" t="n">
        <f aca="false">$M$3-0.577*$M$4</f>
        <v>5.31273016666667</v>
      </c>
      <c r="I19" s="5" t="n">
        <f aca="false">$M$4</f>
        <v>0.0495</v>
      </c>
      <c r="J19" s="5" t="n">
        <f aca="false">2.114*$M$4</f>
        <v>0.104643</v>
      </c>
    </row>
    <row r="20" customFormat="false" ht="15" hidden="false" customHeight="false" outlineLevel="0" collapsed="false">
      <c r="A20" s="0" t="n">
        <v>19</v>
      </c>
      <c r="B20" s="0" t="n">
        <v>5</v>
      </c>
      <c r="C20" s="0" t="n">
        <v>5.34</v>
      </c>
      <c r="D20" s="0" t="n">
        <v>0.082</v>
      </c>
      <c r="E20" s="4" t="n">
        <v>1</v>
      </c>
      <c r="F20" s="5" t="n">
        <f aca="false">$M$3</f>
        <v>5.34129166666667</v>
      </c>
      <c r="G20" s="5" t="n">
        <f aca="false">$M$3+0.577*$M$4</f>
        <v>5.36985316666667</v>
      </c>
      <c r="H20" s="5" t="n">
        <f aca="false">$M$3-0.577*$M$4</f>
        <v>5.31273016666667</v>
      </c>
      <c r="I20" s="5" t="n">
        <f aca="false">$M$4</f>
        <v>0.0495</v>
      </c>
      <c r="J20" s="5" t="n">
        <f aca="false">2.114*$M$4</f>
        <v>0.104643</v>
      </c>
    </row>
    <row r="21" customFormat="false" ht="15" hidden="false" customHeight="false" outlineLevel="0" collapsed="false">
      <c r="A21" s="0" t="n">
        <v>20</v>
      </c>
      <c r="B21" s="0" t="n">
        <v>5</v>
      </c>
      <c r="C21" s="0" t="n">
        <v>5.351</v>
      </c>
      <c r="D21" s="0" t="n">
        <v>0.043</v>
      </c>
      <c r="E21" s="4" t="n">
        <v>1</v>
      </c>
      <c r="F21" s="5" t="n">
        <f aca="false">$M$3</f>
        <v>5.34129166666667</v>
      </c>
      <c r="G21" s="5" t="n">
        <f aca="false">$M$3+0.577*$M$4</f>
        <v>5.36985316666667</v>
      </c>
      <c r="H21" s="5" t="n">
        <f aca="false">$M$3-0.577*$M$4</f>
        <v>5.31273016666667</v>
      </c>
      <c r="I21" s="5" t="n">
        <f aca="false">$M$4</f>
        <v>0.0495</v>
      </c>
      <c r="J21" s="5" t="n">
        <f aca="false">2.114*$M$4</f>
        <v>0.104643</v>
      </c>
    </row>
    <row r="22" customFormat="false" ht="15" hidden="false" customHeight="false" outlineLevel="0" collapsed="false">
      <c r="A22" s="0" t="n">
        <v>21</v>
      </c>
      <c r="B22" s="0" t="n">
        <v>5</v>
      </c>
      <c r="C22" s="0" t="n">
        <v>5.337</v>
      </c>
      <c r="D22" s="0" t="n">
        <v>0.024</v>
      </c>
      <c r="E22" s="4" t="n">
        <v>1</v>
      </c>
      <c r="F22" s="5" t="n">
        <f aca="false">$M$3</f>
        <v>5.34129166666667</v>
      </c>
      <c r="G22" s="5" t="n">
        <f aca="false">$M$3+0.577*$M$4</f>
        <v>5.36985316666667</v>
      </c>
      <c r="H22" s="5" t="n">
        <f aca="false">$M$3-0.577*$M$4</f>
        <v>5.31273016666667</v>
      </c>
      <c r="I22" s="5" t="n">
        <f aca="false">$M$4</f>
        <v>0.0495</v>
      </c>
      <c r="J22" s="5" t="n">
        <f aca="false">2.114*$M$4</f>
        <v>0.104643</v>
      </c>
    </row>
    <row r="23" customFormat="false" ht="15" hidden="false" customHeight="false" outlineLevel="0" collapsed="false">
      <c r="A23" s="0" t="n">
        <v>22</v>
      </c>
      <c r="B23" s="0" t="n">
        <v>5</v>
      </c>
      <c r="C23" s="0" t="n">
        <v>5.328</v>
      </c>
      <c r="D23" s="0" t="n">
        <v>0.014</v>
      </c>
      <c r="E23" s="4" t="n">
        <v>1</v>
      </c>
      <c r="F23" s="5" t="n">
        <f aca="false">$M$3</f>
        <v>5.34129166666667</v>
      </c>
      <c r="G23" s="5" t="n">
        <f aca="false">$M$3+0.577*$M$4</f>
        <v>5.36985316666667</v>
      </c>
      <c r="H23" s="5" t="n">
        <f aca="false">$M$3-0.577*$M$4</f>
        <v>5.31273016666667</v>
      </c>
      <c r="I23" s="5" t="n">
        <f aca="false">$M$4</f>
        <v>0.0495</v>
      </c>
      <c r="J23" s="5" t="n">
        <f aca="false">2.114*$M$4</f>
        <v>0.104643</v>
      </c>
    </row>
    <row r="24" customFormat="false" ht="15" hidden="false" customHeight="false" outlineLevel="0" collapsed="false">
      <c r="A24" s="0" t="n">
        <v>23</v>
      </c>
      <c r="B24" s="0" t="n">
        <v>5</v>
      </c>
      <c r="C24" s="0" t="n">
        <v>5.335</v>
      </c>
      <c r="D24" s="0" t="n">
        <v>0.036</v>
      </c>
      <c r="E24" s="4" t="n">
        <v>1</v>
      </c>
      <c r="F24" s="5" t="n">
        <f aca="false">$M$3</f>
        <v>5.34129166666667</v>
      </c>
      <c r="G24" s="5" t="n">
        <f aca="false">$M$3+0.577*$M$4</f>
        <v>5.36985316666667</v>
      </c>
      <c r="H24" s="5" t="n">
        <f aca="false">$M$3-0.577*$M$4</f>
        <v>5.31273016666667</v>
      </c>
      <c r="I24" s="5" t="n">
        <f aca="false">$M$4</f>
        <v>0.0495</v>
      </c>
      <c r="J24" s="5" t="n">
        <f aca="false">2.114*$M$4</f>
        <v>0.104643</v>
      </c>
    </row>
    <row r="25" customFormat="false" ht="15" hidden="false" customHeight="false" outlineLevel="0" collapsed="false">
      <c r="A25" s="0" t="n">
        <v>24</v>
      </c>
      <c r="B25" s="0" t="n">
        <v>5</v>
      </c>
      <c r="C25" s="0" t="n">
        <v>5.342</v>
      </c>
      <c r="D25" s="0" t="n">
        <v>0.027</v>
      </c>
      <c r="E25" s="4" t="n">
        <v>1</v>
      </c>
      <c r="F25" s="5" t="n">
        <f aca="false">$M$3</f>
        <v>5.34129166666667</v>
      </c>
      <c r="G25" s="5" t="n">
        <f aca="false">$M$3+0.577*$M$4</f>
        <v>5.36985316666667</v>
      </c>
      <c r="H25" s="5" t="n">
        <f aca="false">$M$3-0.577*$M$4</f>
        <v>5.31273016666667</v>
      </c>
      <c r="I25" s="5" t="n">
        <f aca="false">$M$4</f>
        <v>0.0495</v>
      </c>
      <c r="J25" s="5" t="n">
        <f aca="false">2.114*$M$4</f>
        <v>0.104643</v>
      </c>
    </row>
  </sheetData>
  <mergeCells count="1">
    <mergeCell ref="L8:O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5" style="0" width="34"/>
  </cols>
  <sheetData>
    <row r="1" customFormat="false" ht="28.35" hidden="false" customHeight="false" outlineLevel="0" collapsed="false">
      <c r="A1" s="1" t="s">
        <v>57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customFormat="false" ht="15" hidden="false" customHeight="false" outlineLevel="0" collapsed="false">
      <c r="A2" s="0" t="n">
        <v>1</v>
      </c>
      <c r="B2" s="0" t="n">
        <v>2381</v>
      </c>
      <c r="C2" s="0" t="n">
        <v>2108</v>
      </c>
      <c r="D2" s="0" t="n">
        <v>2387</v>
      </c>
      <c r="E2" s="0" t="n">
        <v>2384</v>
      </c>
      <c r="F2" s="0" t="n">
        <v>2254</v>
      </c>
      <c r="G2" s="2" t="n">
        <f aca="false">AVERAGE(B2:F2)</f>
        <v>2302.8</v>
      </c>
      <c r="H2" s="2" t="n">
        <f aca="false">MAX(B2:F2)-MIN(B2:F2)</f>
        <v>279</v>
      </c>
      <c r="I2" s="2" t="n">
        <f aca="false">$P$3</f>
        <v>2314.13</v>
      </c>
      <c r="J2" s="2" t="n">
        <f aca="false">$P$3+$P$5*$P$4</f>
        <v>2561.8938</v>
      </c>
      <c r="K2" s="2" t="n">
        <f aca="false">$P$3-$P$5*$P$4</f>
        <v>2066.3662</v>
      </c>
      <c r="L2" s="2" t="n">
        <f aca="false">$P$4</f>
        <v>429.4</v>
      </c>
      <c r="M2" s="2" t="n">
        <f aca="false">$P$6*$P$4</f>
        <v>907.7516</v>
      </c>
      <c r="O2" s="3" t="s">
        <v>15</v>
      </c>
      <c r="P2" s="4" t="n">
        <v>20</v>
      </c>
    </row>
    <row r="3" customFormat="false" ht="15" hidden="false" customHeight="false" outlineLevel="0" collapsed="false">
      <c r="A3" s="0" t="n">
        <v>2</v>
      </c>
      <c r="B3" s="0" t="n">
        <v>2493</v>
      </c>
      <c r="C3" s="0" t="n">
        <v>1421</v>
      </c>
      <c r="D3" s="0" t="n">
        <v>2050</v>
      </c>
      <c r="E3" s="0" t="n">
        <v>2340</v>
      </c>
      <c r="F3" s="0" t="n">
        <v>1923</v>
      </c>
      <c r="G3" s="2" t="n">
        <f aca="false">AVERAGE(B3:F3)</f>
        <v>2045.4</v>
      </c>
      <c r="H3" s="2" t="n">
        <f aca="false">MAX(B3:F3)-MIN(B3:F3)</f>
        <v>1072</v>
      </c>
      <c r="I3" s="2" t="n">
        <f aca="false">$P$3</f>
        <v>2314.13</v>
      </c>
      <c r="J3" s="2" t="n">
        <f aca="false">$P$3+$P$5*$P$4</f>
        <v>2561.8938</v>
      </c>
      <c r="K3" s="2" t="n">
        <f aca="false">$P$3-$P$5*$P$4</f>
        <v>2066.3662</v>
      </c>
      <c r="L3" s="2" t="n">
        <f aca="false">$P$4</f>
        <v>429.4</v>
      </c>
      <c r="M3" s="2" t="n">
        <f aca="false">$P$6*$P$4</f>
        <v>907.7516</v>
      </c>
      <c r="O3" s="3" t="s">
        <v>17</v>
      </c>
      <c r="P3" s="5" t="n">
        <f aca="true">AVERAGE(OFFSET(G2,0,0,P2,1))</f>
        <v>2314.13</v>
      </c>
    </row>
    <row r="4" customFormat="false" ht="15" hidden="false" customHeight="false" outlineLevel="0" collapsed="false">
      <c r="A4" s="0" t="n">
        <v>3</v>
      </c>
      <c r="B4" s="0" t="n">
        <v>2159</v>
      </c>
      <c r="C4" s="0" t="n">
        <v>2356</v>
      </c>
      <c r="D4" s="0" t="n">
        <v>2242</v>
      </c>
      <c r="E4" s="0" t="n">
        <v>2550</v>
      </c>
      <c r="F4" s="0" t="n">
        <v>2174</v>
      </c>
      <c r="G4" s="2" t="n">
        <f aca="false">AVERAGE(B4:F4)</f>
        <v>2296.2</v>
      </c>
      <c r="H4" s="2" t="n">
        <f aca="false">MAX(B4:F4)-MIN(B4:F4)</f>
        <v>391</v>
      </c>
      <c r="I4" s="2" t="n">
        <f aca="false">$P$3</f>
        <v>2314.13</v>
      </c>
      <c r="J4" s="2" t="n">
        <f aca="false">$P$3+$P$5*$P$4</f>
        <v>2561.8938</v>
      </c>
      <c r="K4" s="2" t="n">
        <f aca="false">$P$3-$P$5*$P$4</f>
        <v>2066.3662</v>
      </c>
      <c r="L4" s="2" t="n">
        <f aca="false">$P$4</f>
        <v>429.4</v>
      </c>
      <c r="M4" s="2" t="n">
        <f aca="false">$P$6*$P$4</f>
        <v>907.7516</v>
      </c>
      <c r="O4" s="3" t="s">
        <v>12</v>
      </c>
      <c r="P4" s="5" t="n">
        <f aca="true">AVERAGE(OFFSET(H2,0,0,P2,1))</f>
        <v>429.4</v>
      </c>
    </row>
    <row r="5" customFormat="false" ht="15" hidden="false" customHeight="false" outlineLevel="0" collapsed="false">
      <c r="A5" s="0" t="n">
        <v>4</v>
      </c>
      <c r="B5" s="0" t="n">
        <v>2002</v>
      </c>
      <c r="C5" s="0" t="n">
        <v>2226</v>
      </c>
      <c r="D5" s="0" t="n">
        <v>2302</v>
      </c>
      <c r="E5" s="0" t="n">
        <v>2165</v>
      </c>
      <c r="F5" s="0" t="n">
        <v>2185</v>
      </c>
      <c r="G5" s="2" t="n">
        <f aca="false">AVERAGE(B5:F5)</f>
        <v>2176</v>
      </c>
      <c r="H5" s="2" t="n">
        <f aca="false">MAX(B5:F5)-MIN(B5:F5)</f>
        <v>300</v>
      </c>
      <c r="I5" s="2" t="n">
        <f aca="false">$P$3</f>
        <v>2314.13</v>
      </c>
      <c r="J5" s="2" t="n">
        <f aca="false">$P$3+$P$5*$P$4</f>
        <v>2561.8938</v>
      </c>
      <c r="K5" s="2" t="n">
        <f aca="false">$P$3-$P$5*$P$4</f>
        <v>2066.3662</v>
      </c>
      <c r="L5" s="2" t="n">
        <f aca="false">$P$4</f>
        <v>429.4</v>
      </c>
      <c r="M5" s="2" t="n">
        <f aca="false">$P$6*$P$4</f>
        <v>907.7516</v>
      </c>
      <c r="O5" s="3" t="s">
        <v>20</v>
      </c>
      <c r="P5" s="0" t="n">
        <v>0.577</v>
      </c>
    </row>
    <row r="6" customFormat="false" ht="15" hidden="false" customHeight="false" outlineLevel="0" collapsed="false">
      <c r="A6" s="0" t="n">
        <v>5</v>
      </c>
      <c r="B6" s="0" t="n">
        <v>2364</v>
      </c>
      <c r="C6" s="0" t="n">
        <v>2262</v>
      </c>
      <c r="D6" s="0" t="n">
        <v>2547</v>
      </c>
      <c r="E6" s="0" t="n">
        <v>2271</v>
      </c>
      <c r="F6" s="0" t="n">
        <v>2172</v>
      </c>
      <c r="G6" s="2" t="n">
        <f aca="false">AVERAGE(B6:F6)</f>
        <v>2323.2</v>
      </c>
      <c r="H6" s="2" t="n">
        <f aca="false">MAX(B6:F6)-MIN(B6:F6)</f>
        <v>375</v>
      </c>
      <c r="I6" s="2" t="n">
        <f aca="false">$P$3</f>
        <v>2314.13</v>
      </c>
      <c r="J6" s="2" t="n">
        <f aca="false">$P$3+$P$5*$P$4</f>
        <v>2561.8938</v>
      </c>
      <c r="K6" s="2" t="n">
        <f aca="false">$P$3-$P$5*$P$4</f>
        <v>2066.3662</v>
      </c>
      <c r="L6" s="2" t="n">
        <f aca="false">$P$4</f>
        <v>429.4</v>
      </c>
      <c r="M6" s="2" t="n">
        <f aca="false">$P$6*$P$4</f>
        <v>907.7516</v>
      </c>
      <c r="O6" s="3" t="s">
        <v>22</v>
      </c>
      <c r="P6" s="0" t="n">
        <v>2.114</v>
      </c>
    </row>
    <row r="7" customFormat="false" ht="15" hidden="false" customHeight="false" outlineLevel="0" collapsed="false">
      <c r="A7" s="0" t="n">
        <v>6</v>
      </c>
      <c r="B7" s="0" t="n">
        <v>2304</v>
      </c>
      <c r="C7" s="0" t="n">
        <v>2384</v>
      </c>
      <c r="D7" s="0" t="n">
        <v>2491</v>
      </c>
      <c r="E7" s="0" t="n">
        <v>2154</v>
      </c>
      <c r="F7" s="0" t="n">
        <v>2350</v>
      </c>
      <c r="G7" s="2" t="n">
        <f aca="false">AVERAGE(B7:F7)</f>
        <v>2336.6</v>
      </c>
      <c r="H7" s="2" t="n">
        <f aca="false">MAX(B7:F7)-MIN(B7:F7)</f>
        <v>337</v>
      </c>
      <c r="I7" s="2" t="n">
        <f aca="false">$P$3</f>
        <v>2314.13</v>
      </c>
      <c r="J7" s="2" t="n">
        <f aca="false">$P$3+$P$5*$P$4</f>
        <v>2561.8938</v>
      </c>
      <c r="K7" s="2" t="n">
        <f aca="false">$P$3-$P$5*$P$4</f>
        <v>2066.3662</v>
      </c>
      <c r="L7" s="2" t="n">
        <f aca="false">$P$4</f>
        <v>429.4</v>
      </c>
      <c r="M7" s="2" t="n">
        <f aca="false">$P$6*$P$4</f>
        <v>907.7516</v>
      </c>
      <c r="O7" s="3" t="s">
        <v>24</v>
      </c>
      <c r="P7" s="0" t="n">
        <v>0</v>
      </c>
    </row>
    <row r="8" customFormat="false" ht="15" hidden="false" customHeight="false" outlineLevel="0" collapsed="false">
      <c r="A8" s="0" t="n">
        <v>7</v>
      </c>
      <c r="B8" s="0" t="n">
        <v>2396</v>
      </c>
      <c r="C8" s="0" t="n">
        <v>2279</v>
      </c>
      <c r="D8" s="0" t="n">
        <v>2151</v>
      </c>
      <c r="E8" s="0" t="n">
        <v>2437</v>
      </c>
      <c r="F8" s="0" t="n">
        <v>2105</v>
      </c>
      <c r="G8" s="2" t="n">
        <f aca="false">AVERAGE(B8:F8)</f>
        <v>2273.6</v>
      </c>
      <c r="H8" s="2" t="n">
        <f aca="false">MAX(B8:F8)-MIN(B8:F8)</f>
        <v>332</v>
      </c>
      <c r="I8" s="2" t="n">
        <f aca="false">$P$3</f>
        <v>2314.13</v>
      </c>
      <c r="J8" s="2" t="n">
        <f aca="false">$P$3+$P$5*$P$4</f>
        <v>2561.8938</v>
      </c>
      <c r="K8" s="2" t="n">
        <f aca="false">$P$3-$P$5*$P$4</f>
        <v>2066.3662</v>
      </c>
      <c r="L8" s="2" t="n">
        <f aca="false">$P$4</f>
        <v>429.4</v>
      </c>
      <c r="M8" s="2" t="n">
        <f aca="false">$P$6*$P$4</f>
        <v>907.7516</v>
      </c>
    </row>
    <row r="9" customFormat="false" ht="15" hidden="false" customHeight="false" outlineLevel="0" collapsed="false">
      <c r="A9" s="0" t="n">
        <v>8</v>
      </c>
      <c r="B9" s="0" t="n">
        <v>2653</v>
      </c>
      <c r="C9" s="0" t="n">
        <v>2602</v>
      </c>
      <c r="D9" s="0" t="n">
        <v>2304</v>
      </c>
      <c r="E9" s="0" t="n">
        <v>2524</v>
      </c>
      <c r="F9" s="0" t="n">
        <v>2651</v>
      </c>
      <c r="G9" s="2" t="n">
        <f aca="false">AVERAGE(B9:F9)</f>
        <v>2546.8</v>
      </c>
      <c r="H9" s="2" t="n">
        <f aca="false">MAX(B9:F9)-MIN(B9:F9)</f>
        <v>349</v>
      </c>
      <c r="I9" s="2" t="n">
        <f aca="false">$P$3</f>
        <v>2314.13</v>
      </c>
      <c r="J9" s="2" t="n">
        <f aca="false">$P$3+$P$5*$P$4</f>
        <v>2561.8938</v>
      </c>
      <c r="K9" s="2" t="n">
        <f aca="false">$P$3-$P$5*$P$4</f>
        <v>2066.3662</v>
      </c>
      <c r="L9" s="2" t="n">
        <f aca="false">$P$4</f>
        <v>429.4</v>
      </c>
      <c r="M9" s="2" t="n">
        <f aca="false">$P$6*$P$4</f>
        <v>907.7516</v>
      </c>
      <c r="O9" s="3" t="s">
        <v>27</v>
      </c>
      <c r="P9" s="6" t="n">
        <f aca="false">SUMPRODUCT((G2:G28&gt;J2:J28)+(G2:G28&lt;K2:K28))</f>
        <v>9</v>
      </c>
    </row>
    <row r="10" customFormat="false" ht="15" hidden="false" customHeight="false" outlineLevel="0" collapsed="false">
      <c r="A10" s="0" t="n">
        <v>9</v>
      </c>
      <c r="B10" s="0" t="n">
        <v>2457</v>
      </c>
      <c r="C10" s="0" t="n">
        <v>2018</v>
      </c>
      <c r="D10" s="0" t="n">
        <v>2495</v>
      </c>
      <c r="E10" s="0" t="n">
        <v>2133</v>
      </c>
      <c r="F10" s="0" t="n">
        <v>2518</v>
      </c>
      <c r="G10" s="2" t="n">
        <f aca="false">AVERAGE(B10:F10)</f>
        <v>2324.2</v>
      </c>
      <c r="H10" s="2" t="n">
        <f aca="false">MAX(B10:F10)-MIN(B10:F10)</f>
        <v>500</v>
      </c>
      <c r="I10" s="2" t="n">
        <f aca="false">$P$3</f>
        <v>2314.13</v>
      </c>
      <c r="J10" s="2" t="n">
        <f aca="false">$P$3+$P$5*$P$4</f>
        <v>2561.8938</v>
      </c>
      <c r="K10" s="2" t="n">
        <f aca="false">$P$3-$P$5*$P$4</f>
        <v>2066.3662</v>
      </c>
      <c r="L10" s="2" t="n">
        <f aca="false">$P$4</f>
        <v>429.4</v>
      </c>
      <c r="M10" s="2" t="n">
        <f aca="false">$P$6*$P$4</f>
        <v>907.7516</v>
      </c>
      <c r="O10" s="3" t="s">
        <v>29</v>
      </c>
      <c r="P10" s="6" t="n">
        <f aca="false">SUMPRODUCT(--(H2:H28&gt;M2:M28))</f>
        <v>1</v>
      </c>
    </row>
    <row r="11" customFormat="false" ht="15" hidden="false" customHeight="false" outlineLevel="0" collapsed="false">
      <c r="A11" s="0" t="n">
        <v>10</v>
      </c>
      <c r="B11" s="0" t="n">
        <v>2082</v>
      </c>
      <c r="C11" s="0" t="n">
        <v>2238</v>
      </c>
      <c r="D11" s="0" t="n">
        <v>2171</v>
      </c>
      <c r="E11" s="0" t="n">
        <v>2424</v>
      </c>
      <c r="F11" s="0" t="n">
        <v>2509</v>
      </c>
      <c r="G11" s="2" t="n">
        <f aca="false">AVERAGE(B11:F11)</f>
        <v>2284.8</v>
      </c>
      <c r="H11" s="2" t="n">
        <f aca="false">MAX(B11:F11)-MIN(B11:F11)</f>
        <v>427</v>
      </c>
      <c r="I11" s="2" t="n">
        <f aca="false">$P$3</f>
        <v>2314.13</v>
      </c>
      <c r="J11" s="2" t="n">
        <f aca="false">$P$3+$P$5*$P$4</f>
        <v>2561.8938</v>
      </c>
      <c r="K11" s="2" t="n">
        <f aca="false">$P$3-$P$5*$P$4</f>
        <v>2066.3662</v>
      </c>
      <c r="L11" s="2" t="n">
        <f aca="false">$P$4</f>
        <v>429.4</v>
      </c>
      <c r="M11" s="2" t="n">
        <f aca="false">$P$6*$P$4</f>
        <v>907.7516</v>
      </c>
    </row>
    <row r="12" customFormat="false" ht="15" hidden="false" customHeight="true" outlineLevel="0" collapsed="false">
      <c r="A12" s="0" t="n">
        <v>11</v>
      </c>
      <c r="B12" s="0" t="n">
        <v>2028</v>
      </c>
      <c r="C12" s="0" t="n">
        <v>2120</v>
      </c>
      <c r="D12" s="0" t="n">
        <v>2350</v>
      </c>
      <c r="E12" s="0" t="n">
        <v>2350</v>
      </c>
      <c r="F12" s="0" t="n">
        <v>2458</v>
      </c>
      <c r="G12" s="2" t="n">
        <f aca="false">AVERAGE(B12:F12)</f>
        <v>2261.2</v>
      </c>
      <c r="H12" s="2" t="n">
        <f aca="false">MAX(B12:F12)-MIN(B12:F12)</f>
        <v>430</v>
      </c>
      <c r="I12" s="2" t="n">
        <f aca="false">$P$3</f>
        <v>2314.13</v>
      </c>
      <c r="J12" s="2" t="n">
        <f aca="false">$P$3+$P$5*$P$4</f>
        <v>2561.8938</v>
      </c>
      <c r="K12" s="2" t="n">
        <f aca="false">$P$3-$P$5*$P$4</f>
        <v>2066.3662</v>
      </c>
      <c r="L12" s="2" t="n">
        <f aca="false">$P$4</f>
        <v>429.4</v>
      </c>
      <c r="M12" s="2" t="n">
        <f aca="false">$P$6*$P$4</f>
        <v>907.7516</v>
      </c>
      <c r="O12" s="7" t="s">
        <v>65</v>
      </c>
      <c r="P12" s="7"/>
      <c r="Q12" s="7"/>
      <c r="R12" s="7"/>
    </row>
    <row r="13" customFormat="false" ht="15" hidden="false" customHeight="false" outlineLevel="0" collapsed="false">
      <c r="A13" s="0" t="n">
        <v>12</v>
      </c>
      <c r="B13" s="0" t="n">
        <v>2204</v>
      </c>
      <c r="C13" s="0" t="n">
        <v>1843</v>
      </c>
      <c r="D13" s="0" t="n">
        <v>2128</v>
      </c>
      <c r="E13" s="0" t="n">
        <v>2185</v>
      </c>
      <c r="F13" s="0" t="n">
        <v>2193</v>
      </c>
      <c r="G13" s="2" t="n">
        <f aca="false">AVERAGE(B13:F13)</f>
        <v>2110.6</v>
      </c>
      <c r="H13" s="2" t="n">
        <f aca="false">MAX(B13:F13)-MIN(B13:F13)</f>
        <v>361</v>
      </c>
      <c r="I13" s="2" t="n">
        <f aca="false">$P$3</f>
        <v>2314.13</v>
      </c>
      <c r="J13" s="2" t="n">
        <f aca="false">$P$3+$P$5*$P$4</f>
        <v>2561.8938</v>
      </c>
      <c r="K13" s="2" t="n">
        <f aca="false">$P$3-$P$5*$P$4</f>
        <v>2066.3662</v>
      </c>
      <c r="L13" s="2" t="n">
        <f aca="false">$P$4</f>
        <v>429.4</v>
      </c>
      <c r="M13" s="2" t="n">
        <f aca="false">$P$6*$P$4</f>
        <v>907.7516</v>
      </c>
      <c r="O13" s="7"/>
      <c r="P13" s="7"/>
      <c r="Q13" s="7"/>
      <c r="R13" s="7"/>
    </row>
    <row r="14" customFormat="false" ht="15" hidden="false" customHeight="false" outlineLevel="0" collapsed="false">
      <c r="A14" s="0" t="n">
        <v>13</v>
      </c>
      <c r="B14" s="0" t="n">
        <v>2327</v>
      </c>
      <c r="C14" s="0" t="n">
        <v>2151</v>
      </c>
      <c r="D14" s="0" t="n">
        <v>2240</v>
      </c>
      <c r="E14" s="0" t="n">
        <v>2239</v>
      </c>
      <c r="F14" s="0" t="n">
        <v>2051</v>
      </c>
      <c r="G14" s="2" t="n">
        <f aca="false">AVERAGE(B14:F14)</f>
        <v>2201.6</v>
      </c>
      <c r="H14" s="2" t="n">
        <f aca="false">MAX(B14:F14)-MIN(B14:F14)</f>
        <v>276</v>
      </c>
      <c r="I14" s="2" t="n">
        <f aca="false">$P$3</f>
        <v>2314.13</v>
      </c>
      <c r="J14" s="2" t="n">
        <f aca="false">$P$3+$P$5*$P$4</f>
        <v>2561.8938</v>
      </c>
      <c r="K14" s="2" t="n">
        <f aca="false">$P$3-$P$5*$P$4</f>
        <v>2066.3662</v>
      </c>
      <c r="L14" s="2" t="n">
        <f aca="false">$P$4</f>
        <v>429.4</v>
      </c>
      <c r="M14" s="2" t="n">
        <f aca="false">$P$6*$P$4</f>
        <v>907.7516</v>
      </c>
      <c r="O14" s="7"/>
      <c r="P14" s="7"/>
      <c r="Q14" s="7"/>
      <c r="R14" s="7"/>
    </row>
    <row r="15" customFormat="false" ht="15" hidden="false" customHeight="false" outlineLevel="0" collapsed="false">
      <c r="A15" s="0" t="n">
        <v>14</v>
      </c>
      <c r="B15" s="0" t="n">
        <v>2386</v>
      </c>
      <c r="C15" s="0" t="n">
        <v>2390</v>
      </c>
      <c r="D15" s="0" t="n">
        <v>2319</v>
      </c>
      <c r="E15" s="0" t="n">
        <v>2402</v>
      </c>
      <c r="F15" s="0" t="n">
        <v>2411</v>
      </c>
      <c r="G15" s="2" t="n">
        <f aca="false">AVERAGE(B15:F15)</f>
        <v>2381.6</v>
      </c>
      <c r="H15" s="2" t="n">
        <f aca="false">MAX(B15:F15)-MIN(B15:F15)</f>
        <v>92</v>
      </c>
      <c r="I15" s="2" t="n">
        <f aca="false">$P$3</f>
        <v>2314.13</v>
      </c>
      <c r="J15" s="2" t="n">
        <f aca="false">$P$3+$P$5*$P$4</f>
        <v>2561.8938</v>
      </c>
      <c r="K15" s="2" t="n">
        <f aca="false">$P$3-$P$5*$P$4</f>
        <v>2066.3662</v>
      </c>
      <c r="L15" s="2" t="n">
        <f aca="false">$P$4</f>
        <v>429.4</v>
      </c>
      <c r="M15" s="2" t="n">
        <f aca="false">$P$6*$P$4</f>
        <v>907.7516</v>
      </c>
      <c r="O15" s="7"/>
      <c r="P15" s="7"/>
      <c r="Q15" s="7"/>
      <c r="R15" s="7"/>
    </row>
    <row r="16" customFormat="false" ht="15" hidden="false" customHeight="false" outlineLevel="0" collapsed="false">
      <c r="A16" s="0" t="n">
        <v>15</v>
      </c>
      <c r="B16" s="0" t="n">
        <v>2101</v>
      </c>
      <c r="C16" s="0" t="n">
        <v>2146</v>
      </c>
      <c r="D16" s="0" t="n">
        <v>2681</v>
      </c>
      <c r="E16" s="0" t="n">
        <v>2138</v>
      </c>
      <c r="F16" s="0" t="n">
        <v>2396</v>
      </c>
      <c r="G16" s="2" t="n">
        <f aca="false">AVERAGE(B16:F16)</f>
        <v>2292.4</v>
      </c>
      <c r="H16" s="2" t="n">
        <f aca="false">MAX(B16:F16)-MIN(B16:F16)</f>
        <v>580</v>
      </c>
      <c r="I16" s="2" t="n">
        <f aca="false">$P$3</f>
        <v>2314.13</v>
      </c>
      <c r="J16" s="2" t="n">
        <f aca="false">$P$3+$P$5*$P$4</f>
        <v>2561.8938</v>
      </c>
      <c r="K16" s="2" t="n">
        <f aca="false">$P$3-$P$5*$P$4</f>
        <v>2066.3662</v>
      </c>
      <c r="L16" s="2" t="n">
        <f aca="false">$P$4</f>
        <v>429.4</v>
      </c>
      <c r="M16" s="2" t="n">
        <f aca="false">$P$6*$P$4</f>
        <v>907.7516</v>
      </c>
      <c r="O16" s="7"/>
      <c r="P16" s="7"/>
      <c r="Q16" s="7"/>
      <c r="R16" s="7"/>
    </row>
    <row r="17" customFormat="false" ht="15" hidden="false" customHeight="false" outlineLevel="0" collapsed="false">
      <c r="A17" s="0" t="n">
        <v>16</v>
      </c>
      <c r="B17" s="0" t="n">
        <v>2452</v>
      </c>
      <c r="C17" s="0" t="n">
        <v>2010</v>
      </c>
      <c r="D17" s="0" t="n">
        <v>2546</v>
      </c>
      <c r="E17" s="0" t="n">
        <v>2202</v>
      </c>
      <c r="F17" s="0" t="n">
        <v>2173</v>
      </c>
      <c r="G17" s="2" t="n">
        <f aca="false">AVERAGE(B17:F17)</f>
        <v>2276.6</v>
      </c>
      <c r="H17" s="2" t="n">
        <f aca="false">MAX(B17:F17)-MIN(B17:F17)</f>
        <v>536</v>
      </c>
      <c r="I17" s="2" t="n">
        <f aca="false">$P$3</f>
        <v>2314.13</v>
      </c>
      <c r="J17" s="2" t="n">
        <f aca="false">$P$3+$P$5*$P$4</f>
        <v>2561.8938</v>
      </c>
      <c r="K17" s="2" t="n">
        <f aca="false">$P$3-$P$5*$P$4</f>
        <v>2066.3662</v>
      </c>
      <c r="L17" s="2" t="n">
        <f aca="false">$P$4</f>
        <v>429.4</v>
      </c>
      <c r="M17" s="2" t="n">
        <f aca="false">$P$6*$P$4</f>
        <v>907.7516</v>
      </c>
      <c r="O17" s="7"/>
      <c r="P17" s="7"/>
      <c r="Q17" s="7"/>
      <c r="R17" s="7"/>
    </row>
    <row r="18" customFormat="false" ht="15" hidden="false" customHeight="false" outlineLevel="0" collapsed="false">
      <c r="A18" s="0" t="n">
        <v>17</v>
      </c>
      <c r="B18" s="0" t="n">
        <v>2259</v>
      </c>
      <c r="C18" s="0" t="n">
        <v>2353</v>
      </c>
      <c r="D18" s="0" t="n">
        <v>2215</v>
      </c>
      <c r="E18" s="0" t="n">
        <v>2479</v>
      </c>
      <c r="F18" s="0" t="n">
        <v>2050</v>
      </c>
      <c r="G18" s="2" t="n">
        <f aca="false">AVERAGE(B18:F18)</f>
        <v>2271.2</v>
      </c>
      <c r="H18" s="2" t="n">
        <f aca="false">MAX(B18:F18)-MIN(B18:F18)</f>
        <v>429</v>
      </c>
      <c r="I18" s="2" t="n">
        <f aca="false">$P$3</f>
        <v>2314.13</v>
      </c>
      <c r="J18" s="2" t="n">
        <f aca="false">$P$3+$P$5*$P$4</f>
        <v>2561.8938</v>
      </c>
      <c r="K18" s="2" t="n">
        <f aca="false">$P$3-$P$5*$P$4</f>
        <v>2066.3662</v>
      </c>
      <c r="L18" s="2" t="n">
        <f aca="false">$P$4</f>
        <v>429.4</v>
      </c>
      <c r="M18" s="2" t="n">
        <f aca="false">$P$6*$P$4</f>
        <v>907.7516</v>
      </c>
      <c r="O18" s="7"/>
      <c r="P18" s="7"/>
      <c r="Q18" s="7"/>
      <c r="R18" s="7"/>
    </row>
    <row r="19" customFormat="false" ht="15" hidden="false" customHeight="false" outlineLevel="0" collapsed="false">
      <c r="A19" s="0" t="n">
        <v>18</v>
      </c>
      <c r="B19" s="0" t="n">
        <v>2448</v>
      </c>
      <c r="C19" s="0" t="n">
        <v>2383</v>
      </c>
      <c r="D19" s="0" t="n">
        <v>2196</v>
      </c>
      <c r="E19" s="0" t="n">
        <v>2518</v>
      </c>
      <c r="F19" s="0" t="n">
        <v>2427</v>
      </c>
      <c r="G19" s="2" t="n">
        <f aca="false">AVERAGE(B19:F19)</f>
        <v>2394.4</v>
      </c>
      <c r="H19" s="2" t="n">
        <f aca="false">MAX(B19:F19)-MIN(B19:F19)</f>
        <v>322</v>
      </c>
      <c r="I19" s="2" t="n">
        <f aca="false">$P$3</f>
        <v>2314.13</v>
      </c>
      <c r="J19" s="2" t="n">
        <f aca="false">$P$3+$P$5*$P$4</f>
        <v>2561.8938</v>
      </c>
      <c r="K19" s="2" t="n">
        <f aca="false">$P$3-$P$5*$P$4</f>
        <v>2066.3662</v>
      </c>
      <c r="L19" s="2" t="n">
        <f aca="false">$P$4</f>
        <v>429.4</v>
      </c>
      <c r="M19" s="2" t="n">
        <f aca="false">$P$6*$P$4</f>
        <v>907.7516</v>
      </c>
      <c r="O19" s="7"/>
      <c r="P19" s="7"/>
      <c r="Q19" s="7"/>
      <c r="R19" s="7"/>
    </row>
    <row r="20" customFormat="false" ht="15" hidden="false" customHeight="false" outlineLevel="0" collapsed="false">
      <c r="A20" s="0" t="n">
        <v>19</v>
      </c>
      <c r="B20" s="0" t="n">
        <v>2542</v>
      </c>
      <c r="C20" s="0" t="n">
        <v>2484</v>
      </c>
      <c r="D20" s="0" t="n">
        <v>2616</v>
      </c>
      <c r="E20" s="0" t="n">
        <v>2500</v>
      </c>
      <c r="F20" s="0" t="n">
        <v>2234</v>
      </c>
      <c r="G20" s="2" t="n">
        <f aca="false">AVERAGE(B20:F20)</f>
        <v>2475.2</v>
      </c>
      <c r="H20" s="2" t="n">
        <f aca="false">MAX(B20:F20)-MIN(B20:F20)</f>
        <v>382</v>
      </c>
      <c r="I20" s="2" t="n">
        <f aca="false">$P$3</f>
        <v>2314.13</v>
      </c>
      <c r="J20" s="2" t="n">
        <f aca="false">$P$3+$P$5*$P$4</f>
        <v>2561.8938</v>
      </c>
      <c r="K20" s="2" t="n">
        <f aca="false">$P$3-$P$5*$P$4</f>
        <v>2066.3662</v>
      </c>
      <c r="L20" s="2" t="n">
        <f aca="false">$P$4</f>
        <v>429.4</v>
      </c>
      <c r="M20" s="2" t="n">
        <f aca="false">$P$6*$P$4</f>
        <v>907.7516</v>
      </c>
      <c r="O20" s="7"/>
      <c r="P20" s="7"/>
      <c r="Q20" s="7"/>
      <c r="R20" s="7"/>
    </row>
    <row r="21" customFormat="false" ht="15" hidden="false" customHeight="false" outlineLevel="0" collapsed="false">
      <c r="A21" s="0" t="n">
        <v>20</v>
      </c>
      <c r="B21" s="0" t="n">
        <v>2310</v>
      </c>
      <c r="C21" s="0" t="n">
        <v>2848</v>
      </c>
      <c r="D21" s="0" t="n">
        <v>2822</v>
      </c>
      <c r="E21" s="0" t="n">
        <v>2433</v>
      </c>
      <c r="F21" s="0" t="n">
        <v>3128</v>
      </c>
      <c r="G21" s="2" t="n">
        <f aca="false">AVERAGE(B21:F21)</f>
        <v>2708.2</v>
      </c>
      <c r="H21" s="2" t="n">
        <f aca="false">MAX(B21:F21)-MIN(B21:F21)</f>
        <v>818</v>
      </c>
      <c r="I21" s="2" t="n">
        <f aca="false">$P$3</f>
        <v>2314.13</v>
      </c>
      <c r="J21" s="2" t="n">
        <f aca="false">$P$3+$P$5*$P$4</f>
        <v>2561.8938</v>
      </c>
      <c r="K21" s="2" t="n">
        <f aca="false">$P$3-$P$5*$P$4</f>
        <v>2066.3662</v>
      </c>
      <c r="L21" s="2" t="n">
        <f aca="false">$P$4</f>
        <v>429.4</v>
      </c>
      <c r="M21" s="2" t="n">
        <f aca="false">$P$6*$P$4</f>
        <v>907.7516</v>
      </c>
    </row>
    <row r="22" customFormat="false" ht="15" hidden="false" customHeight="false" outlineLevel="0" collapsed="false">
      <c r="A22" s="0" t="n">
        <v>21</v>
      </c>
      <c r="B22" s="0" t="n">
        <v>2813</v>
      </c>
      <c r="C22" s="0" t="n">
        <v>2932</v>
      </c>
      <c r="D22" s="0" t="n">
        <v>2808</v>
      </c>
      <c r="E22" s="0" t="n">
        <v>2691</v>
      </c>
      <c r="F22" s="0" t="n">
        <v>2743</v>
      </c>
      <c r="G22" s="2" t="n">
        <f aca="false">AVERAGE(B22:F22)</f>
        <v>2797.4</v>
      </c>
      <c r="H22" s="2" t="n">
        <f aca="false">MAX(B22:F22)-MIN(B22:F22)</f>
        <v>241</v>
      </c>
      <c r="I22" s="2" t="n">
        <f aca="false">$P$3</f>
        <v>2314.13</v>
      </c>
      <c r="J22" s="2" t="n">
        <f aca="false">$P$3+$P$5*$P$4</f>
        <v>2561.8938</v>
      </c>
      <c r="K22" s="2" t="n">
        <f aca="false">$P$3-$P$5*$P$4</f>
        <v>2066.3662</v>
      </c>
      <c r="L22" s="2" t="n">
        <f aca="false">$P$4</f>
        <v>429.4</v>
      </c>
      <c r="M22" s="2" t="n">
        <f aca="false">$P$6*$P$4</f>
        <v>907.7516</v>
      </c>
    </row>
    <row r="23" customFormat="false" ht="15" hidden="false" customHeight="false" outlineLevel="0" collapsed="false">
      <c r="A23" s="0" t="n">
        <v>22</v>
      </c>
      <c r="B23" s="0" t="n">
        <v>2744</v>
      </c>
      <c r="C23" s="0" t="n">
        <v>3027</v>
      </c>
      <c r="D23" s="0" t="n">
        <v>2684</v>
      </c>
      <c r="E23" s="0" t="n">
        <v>2702</v>
      </c>
      <c r="F23" s="0" t="n">
        <v>2548</v>
      </c>
      <c r="G23" s="2" t="n">
        <f aca="false">AVERAGE(B23:F23)</f>
        <v>2741</v>
      </c>
      <c r="H23" s="2" t="n">
        <f aca="false">MAX(B23:F23)-MIN(B23:F23)</f>
        <v>479</v>
      </c>
      <c r="I23" s="2" t="n">
        <f aca="false">$P$3</f>
        <v>2314.13</v>
      </c>
      <c r="J23" s="2" t="n">
        <f aca="false">$P$3+$P$5*$P$4</f>
        <v>2561.8938</v>
      </c>
      <c r="K23" s="2" t="n">
        <f aca="false">$P$3-$P$5*$P$4</f>
        <v>2066.3662</v>
      </c>
      <c r="L23" s="2" t="n">
        <f aca="false">$P$4</f>
        <v>429.4</v>
      </c>
      <c r="M23" s="2" t="n">
        <f aca="false">$P$6*$P$4</f>
        <v>907.7516</v>
      </c>
    </row>
    <row r="24" customFormat="false" ht="15" hidden="false" customHeight="false" outlineLevel="0" collapsed="false">
      <c r="A24" s="0" t="n">
        <v>23</v>
      </c>
      <c r="B24" s="0" t="n">
        <v>2575</v>
      </c>
      <c r="C24" s="0" t="n">
        <v>2542</v>
      </c>
      <c r="D24" s="0" t="n">
        <v>2691</v>
      </c>
      <c r="E24" s="0" t="n">
        <v>2422</v>
      </c>
      <c r="F24" s="0" t="n">
        <v>2619</v>
      </c>
      <c r="G24" s="2" t="n">
        <f aca="false">AVERAGE(B24:F24)</f>
        <v>2569.8</v>
      </c>
      <c r="H24" s="2" t="n">
        <f aca="false">MAX(B24:F24)-MIN(B24:F24)</f>
        <v>269</v>
      </c>
      <c r="I24" s="2" t="n">
        <f aca="false">$P$3</f>
        <v>2314.13</v>
      </c>
      <c r="J24" s="2" t="n">
        <f aca="false">$P$3+$P$5*$P$4</f>
        <v>2561.8938</v>
      </c>
      <c r="K24" s="2" t="n">
        <f aca="false">$P$3-$P$5*$P$4</f>
        <v>2066.3662</v>
      </c>
      <c r="L24" s="2" t="n">
        <f aca="false">$P$4</f>
        <v>429.4</v>
      </c>
      <c r="M24" s="2" t="n">
        <f aca="false">$P$6*$P$4</f>
        <v>907.7516</v>
      </c>
    </row>
    <row r="25" customFormat="false" ht="15" hidden="false" customHeight="false" outlineLevel="0" collapsed="false">
      <c r="A25" s="0" t="n">
        <v>24</v>
      </c>
      <c r="B25" s="0" t="n">
        <v>2843</v>
      </c>
      <c r="C25" s="0" t="n">
        <v>2555</v>
      </c>
      <c r="D25" s="0" t="n">
        <v>2662</v>
      </c>
      <c r="E25" s="0" t="n">
        <v>2743</v>
      </c>
      <c r="F25" s="0" t="n">
        <v>3163</v>
      </c>
      <c r="G25" s="2" t="n">
        <f aca="false">AVERAGE(B25:F25)</f>
        <v>2793.2</v>
      </c>
      <c r="H25" s="2" t="n">
        <f aca="false">MAX(B25:F25)-MIN(B25:F25)</f>
        <v>608</v>
      </c>
      <c r="I25" s="2" t="n">
        <f aca="false">$P$3</f>
        <v>2314.13</v>
      </c>
      <c r="J25" s="2" t="n">
        <f aca="false">$P$3+$P$5*$P$4</f>
        <v>2561.8938</v>
      </c>
      <c r="K25" s="2" t="n">
        <f aca="false">$P$3-$P$5*$P$4</f>
        <v>2066.3662</v>
      </c>
      <c r="L25" s="2" t="n">
        <f aca="false">$P$4</f>
        <v>429.4</v>
      </c>
      <c r="M25" s="2" t="n">
        <f aca="false">$P$6*$P$4</f>
        <v>907.7516</v>
      </c>
    </row>
    <row r="26" customFormat="false" ht="15" hidden="false" customHeight="false" outlineLevel="0" collapsed="false">
      <c r="A26" s="0" t="n">
        <v>25</v>
      </c>
      <c r="B26" s="0" t="n">
        <v>2869</v>
      </c>
      <c r="C26" s="0" t="n">
        <v>2802</v>
      </c>
      <c r="D26" s="0" t="n">
        <v>2492</v>
      </c>
      <c r="E26" s="0" t="n">
        <v>2752</v>
      </c>
      <c r="F26" s="0" t="n">
        <v>2850</v>
      </c>
      <c r="G26" s="2" t="n">
        <f aca="false">AVERAGE(B26:F26)</f>
        <v>2753</v>
      </c>
      <c r="H26" s="2" t="n">
        <f aca="false">MAX(B26:F26)-MIN(B26:F26)</f>
        <v>377</v>
      </c>
      <c r="I26" s="2" t="n">
        <f aca="false">$P$3</f>
        <v>2314.13</v>
      </c>
      <c r="J26" s="2" t="n">
        <f aca="false">$P$3+$P$5*$P$4</f>
        <v>2561.8938</v>
      </c>
      <c r="K26" s="2" t="n">
        <f aca="false">$P$3-$P$5*$P$4</f>
        <v>2066.3662</v>
      </c>
      <c r="L26" s="2" t="n">
        <f aca="false">$P$4</f>
        <v>429.4</v>
      </c>
      <c r="M26" s="2" t="n">
        <f aca="false">$P$6*$P$4</f>
        <v>907.7516</v>
      </c>
    </row>
    <row r="27" customFormat="false" ht="15" hidden="false" customHeight="false" outlineLevel="0" collapsed="false">
      <c r="A27" s="0" t="n">
        <v>26</v>
      </c>
      <c r="B27" s="0" t="n">
        <v>2721</v>
      </c>
      <c r="C27" s="0" t="n">
        <v>2917</v>
      </c>
      <c r="D27" s="0" t="n">
        <v>3034</v>
      </c>
      <c r="E27" s="0" t="n">
        <v>2504</v>
      </c>
      <c r="F27" s="0" t="n">
        <v>2963</v>
      </c>
      <c r="G27" s="2" t="n">
        <f aca="false">AVERAGE(B27:F27)</f>
        <v>2827.8</v>
      </c>
      <c r="H27" s="2" t="n">
        <f aca="false">MAX(B27:F27)-MIN(B27:F27)</f>
        <v>530</v>
      </c>
      <c r="I27" s="2" t="n">
        <f aca="false">$P$3</f>
        <v>2314.13</v>
      </c>
      <c r="J27" s="2" t="n">
        <f aca="false">$P$3+$P$5*$P$4</f>
        <v>2561.8938</v>
      </c>
      <c r="K27" s="2" t="n">
        <f aca="false">$P$3-$P$5*$P$4</f>
        <v>2066.3662</v>
      </c>
      <c r="L27" s="2" t="n">
        <f aca="false">$P$4</f>
        <v>429.4</v>
      </c>
      <c r="M27" s="2" t="n">
        <f aca="false">$P$6*$P$4</f>
        <v>907.7516</v>
      </c>
    </row>
    <row r="28" customFormat="false" ht="15" hidden="false" customHeight="false" outlineLevel="0" collapsed="false">
      <c r="A28" s="0" t="n">
        <v>27</v>
      </c>
      <c r="B28" s="0" t="n">
        <v>2772</v>
      </c>
      <c r="C28" s="0" t="n">
        <v>2689</v>
      </c>
      <c r="D28" s="0" t="n">
        <v>2328</v>
      </c>
      <c r="E28" s="0" t="n">
        <v>2436</v>
      </c>
      <c r="F28" s="0" t="n">
        <v>2626</v>
      </c>
      <c r="G28" s="2" t="n">
        <f aca="false">AVERAGE(B28:F28)</f>
        <v>2570.2</v>
      </c>
      <c r="H28" s="2" t="n">
        <f aca="false">MAX(B28:F28)-MIN(B28:F28)</f>
        <v>444</v>
      </c>
      <c r="I28" s="2" t="n">
        <f aca="false">$P$3</f>
        <v>2314.13</v>
      </c>
      <c r="J28" s="2" t="n">
        <f aca="false">$P$3+$P$5*$P$4</f>
        <v>2561.8938</v>
      </c>
      <c r="K28" s="2" t="n">
        <f aca="false">$P$3-$P$5*$P$4</f>
        <v>2066.3662</v>
      </c>
      <c r="L28" s="2" t="n">
        <f aca="false">$P$4</f>
        <v>429.4</v>
      </c>
      <c r="M28" s="2" t="n">
        <f aca="false">$P$6*$P$4</f>
        <v>907.7516</v>
      </c>
    </row>
  </sheetData>
  <mergeCells count="1">
    <mergeCell ref="O12:R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0" style="0" width="38"/>
  </cols>
  <sheetData>
    <row r="1" customFormat="false" ht="28.35" hidden="false" customHeight="false" outlineLevel="0" collapsed="false">
      <c r="A1" s="1" t="s">
        <v>46</v>
      </c>
      <c r="B1" s="1" t="s">
        <v>66</v>
      </c>
      <c r="C1" s="1" t="s">
        <v>48</v>
      </c>
      <c r="D1" s="1" t="s">
        <v>9</v>
      </c>
      <c r="E1" s="1" t="s">
        <v>10</v>
      </c>
      <c r="F1" s="1" t="s">
        <v>11</v>
      </c>
      <c r="G1" s="1" t="s">
        <v>49</v>
      </c>
      <c r="H1" s="1" t="s">
        <v>50</v>
      </c>
    </row>
    <row r="2" customFormat="false" ht="15" hidden="false" customHeight="false" outlineLevel="0" collapsed="false">
      <c r="A2" s="0" t="n">
        <v>1</v>
      </c>
      <c r="B2" s="0" t="n">
        <v>67</v>
      </c>
      <c r="D2" s="8" t="n">
        <f aca="false">$K$3</f>
        <v>69.07</v>
      </c>
      <c r="E2" s="8" t="n">
        <f aca="false">$K$3+2.66*$K$4</f>
        <v>74.3093939393939</v>
      </c>
      <c r="F2" s="8" t="n">
        <f aca="false">$K$3-2.66*$K$4</f>
        <v>63.8306060606061</v>
      </c>
      <c r="G2" s="8" t="n">
        <f aca="false">$K$4</f>
        <v>1.96969696969697</v>
      </c>
      <c r="H2" s="8" t="n">
        <f aca="false">3.267*$K$4</f>
        <v>6.435</v>
      </c>
      <c r="J2" s="3" t="s">
        <v>51</v>
      </c>
      <c r="K2" s="4" t="n">
        <v>100</v>
      </c>
    </row>
    <row r="3" customFormat="false" ht="15" hidden="false" customHeight="false" outlineLevel="0" collapsed="false">
      <c r="A3" s="0" t="n">
        <v>2</v>
      </c>
      <c r="B3" s="0" t="n">
        <v>69</v>
      </c>
      <c r="C3" s="8" t="n">
        <f aca="false">ABS(B3-B2)</f>
        <v>2</v>
      </c>
      <c r="D3" s="8" t="n">
        <f aca="false">$K$3</f>
        <v>69.07</v>
      </c>
      <c r="E3" s="8" t="n">
        <f aca="false">$K$3+2.66*$K$4</f>
        <v>74.3093939393939</v>
      </c>
      <c r="F3" s="8" t="n">
        <f aca="false">$K$3-2.66*$K$4</f>
        <v>63.8306060606061</v>
      </c>
      <c r="G3" s="8" t="n">
        <f aca="false">$K$4</f>
        <v>1.96969696969697</v>
      </c>
      <c r="H3" s="8" t="n">
        <f aca="false">3.267*$K$4</f>
        <v>6.435</v>
      </c>
      <c r="J3" s="3" t="s">
        <v>7</v>
      </c>
      <c r="K3" s="2" t="n">
        <f aca="true">AVERAGE(OFFSET(B2,0,0,K2,1))</f>
        <v>69.07</v>
      </c>
    </row>
    <row r="4" customFormat="false" ht="15" hidden="false" customHeight="false" outlineLevel="0" collapsed="false">
      <c r="A4" s="0" t="n">
        <v>3</v>
      </c>
      <c r="B4" s="0" t="n">
        <v>68</v>
      </c>
      <c r="C4" s="8" t="n">
        <f aca="false">ABS(B4-B3)</f>
        <v>1</v>
      </c>
      <c r="D4" s="8" t="n">
        <f aca="false">$K$3</f>
        <v>69.07</v>
      </c>
      <c r="E4" s="8" t="n">
        <f aca="false">$K$3+2.66*$K$4</f>
        <v>74.3093939393939</v>
      </c>
      <c r="F4" s="8" t="n">
        <f aca="false">$K$3-2.66*$K$4</f>
        <v>63.8306060606061</v>
      </c>
      <c r="G4" s="8" t="n">
        <f aca="false">$K$4</f>
        <v>1.96969696969697</v>
      </c>
      <c r="H4" s="8" t="n">
        <f aca="false">3.267*$K$4</f>
        <v>6.435</v>
      </c>
      <c r="J4" s="3" t="s">
        <v>49</v>
      </c>
      <c r="K4" s="2" t="n">
        <f aca="true">AVERAGE(OFFSET(C3,0,0,K2-1,1))</f>
        <v>1.96969696969697</v>
      </c>
    </row>
    <row r="5" customFormat="false" ht="15" hidden="false" customHeight="false" outlineLevel="0" collapsed="false">
      <c r="A5" s="0" t="n">
        <v>4</v>
      </c>
      <c r="B5" s="0" t="n">
        <v>71</v>
      </c>
      <c r="C5" s="8" t="n">
        <f aca="false">ABS(B5-B4)</f>
        <v>3</v>
      </c>
      <c r="D5" s="8" t="n">
        <f aca="false">$K$3</f>
        <v>69.07</v>
      </c>
      <c r="E5" s="8" t="n">
        <f aca="false">$K$3+2.66*$K$4</f>
        <v>74.3093939393939</v>
      </c>
      <c r="F5" s="8" t="n">
        <f aca="false">$K$3-2.66*$K$4</f>
        <v>63.8306060606061</v>
      </c>
      <c r="G5" s="8" t="n">
        <f aca="false">$K$4</f>
        <v>1.96969696969697</v>
      </c>
      <c r="H5" s="8" t="n">
        <f aca="false">3.267*$K$4</f>
        <v>6.435</v>
      </c>
      <c r="J5" s="3" t="s">
        <v>52</v>
      </c>
      <c r="K5" s="2" t="n">
        <f aca="false">K4/1.128</f>
        <v>1.74618525682356</v>
      </c>
    </row>
    <row r="6" customFormat="false" ht="15" hidden="false" customHeight="false" outlineLevel="0" collapsed="false">
      <c r="A6" s="0" t="n">
        <v>5</v>
      </c>
      <c r="B6" s="0" t="n">
        <v>69</v>
      </c>
      <c r="C6" s="8" t="n">
        <f aca="false">ABS(B6-B5)</f>
        <v>2</v>
      </c>
      <c r="D6" s="8" t="n">
        <f aca="false">$K$3</f>
        <v>69.07</v>
      </c>
      <c r="E6" s="8" t="n">
        <f aca="false">$K$3+2.66*$K$4</f>
        <v>74.3093939393939</v>
      </c>
      <c r="F6" s="8" t="n">
        <f aca="false">$K$3-2.66*$K$4</f>
        <v>63.8306060606061</v>
      </c>
      <c r="G6" s="8" t="n">
        <f aca="false">$K$4</f>
        <v>1.96969696969697</v>
      </c>
      <c r="H6" s="8" t="n">
        <f aca="false">3.267*$K$4</f>
        <v>6.435</v>
      </c>
      <c r="J6" s="3" t="s">
        <v>53</v>
      </c>
      <c r="K6" s="2" t="n">
        <f aca="true">_xlfn.STDEV.S(OFFSET(B2,0,0,K2,1))</f>
        <v>1.82161544467619</v>
      </c>
    </row>
    <row r="7" customFormat="false" ht="15" hidden="false" customHeight="false" outlineLevel="0" collapsed="false">
      <c r="A7" s="0" t="n">
        <v>6</v>
      </c>
      <c r="B7" s="0" t="n">
        <v>69</v>
      </c>
      <c r="C7" s="8" t="n">
        <f aca="false">ABS(B7-B6)</f>
        <v>0</v>
      </c>
      <c r="D7" s="8" t="n">
        <f aca="false">$K$3</f>
        <v>69.07</v>
      </c>
      <c r="E7" s="8" t="n">
        <f aca="false">$K$3+2.66*$K$4</f>
        <v>74.3093939393939</v>
      </c>
      <c r="F7" s="8" t="n">
        <f aca="false">$K$3-2.66*$K$4</f>
        <v>63.8306060606061</v>
      </c>
      <c r="G7" s="8" t="n">
        <f aca="false">$K$4</f>
        <v>1.96969696969697</v>
      </c>
      <c r="H7" s="8" t="n">
        <f aca="false">3.267*$K$4</f>
        <v>6.435</v>
      </c>
      <c r="J7" s="3" t="s">
        <v>54</v>
      </c>
      <c r="K7" s="6" t="n">
        <f aca="false">SUMPRODUCT((B2:B101&gt;E2:E101)+(B2:B101&lt;F2:F101))</f>
        <v>0</v>
      </c>
    </row>
    <row r="8" customFormat="false" ht="15" hidden="false" customHeight="false" outlineLevel="0" collapsed="false">
      <c r="A8" s="0" t="n">
        <v>7</v>
      </c>
      <c r="B8" s="0" t="n">
        <v>70</v>
      </c>
      <c r="C8" s="8" t="n">
        <f aca="false">ABS(B8-B7)</f>
        <v>1</v>
      </c>
      <c r="D8" s="8" t="n">
        <f aca="false">$K$3</f>
        <v>69.07</v>
      </c>
      <c r="E8" s="8" t="n">
        <f aca="false">$K$3+2.66*$K$4</f>
        <v>74.3093939393939</v>
      </c>
      <c r="F8" s="8" t="n">
        <f aca="false">$K$3-2.66*$K$4</f>
        <v>63.8306060606061</v>
      </c>
      <c r="G8" s="8" t="n">
        <f aca="false">$K$4</f>
        <v>1.96969696969697</v>
      </c>
      <c r="H8" s="8" t="n">
        <f aca="false">3.267*$K$4</f>
        <v>6.435</v>
      </c>
      <c r="J8" s="3" t="s">
        <v>55</v>
      </c>
      <c r="K8" s="6" t="n">
        <f aca="false">SUMPRODUCT(--(C3:C101&gt;H3:H101))</f>
        <v>0</v>
      </c>
    </row>
    <row r="9" customFormat="false" ht="15" hidden="false" customHeight="false" outlineLevel="0" collapsed="false">
      <c r="A9" s="0" t="n">
        <v>8</v>
      </c>
      <c r="B9" s="0" t="n">
        <v>68</v>
      </c>
      <c r="C9" s="8" t="n">
        <f aca="false">ABS(B9-B8)</f>
        <v>2</v>
      </c>
      <c r="D9" s="8" t="n">
        <f aca="false">$K$3</f>
        <v>69.07</v>
      </c>
      <c r="E9" s="8" t="n">
        <f aca="false">$K$3+2.66*$K$4</f>
        <v>74.3093939393939</v>
      </c>
      <c r="F9" s="8" t="n">
        <f aca="false">$K$3-2.66*$K$4</f>
        <v>63.8306060606061</v>
      </c>
      <c r="G9" s="8" t="n">
        <f aca="false">$K$4</f>
        <v>1.96969696969697</v>
      </c>
      <c r="H9" s="8" t="n">
        <f aca="false">3.267*$K$4</f>
        <v>6.435</v>
      </c>
      <c r="J9" s="3" t="s">
        <v>67</v>
      </c>
      <c r="K9" s="6" t="n">
        <f aca="false">COUNTIF(B2:B101,"&lt;66.5")+COUNTIF(B2:B101,"&gt;71.5")</f>
        <v>16</v>
      </c>
    </row>
    <row r="10" customFormat="false" ht="15" hidden="false" customHeight="true" outlineLevel="0" collapsed="false">
      <c r="A10" s="0" t="n">
        <v>9</v>
      </c>
      <c r="B10" s="0" t="n">
        <v>68</v>
      </c>
      <c r="C10" s="8" t="n">
        <f aca="false">ABS(B10-B9)</f>
        <v>0</v>
      </c>
      <c r="D10" s="8" t="n">
        <f aca="false">$K$3</f>
        <v>69.07</v>
      </c>
      <c r="E10" s="8" t="n">
        <f aca="false">$K$3+2.66*$K$4</f>
        <v>74.3093939393939</v>
      </c>
      <c r="F10" s="8" t="n">
        <f aca="false">$K$3-2.66*$K$4</f>
        <v>63.8306060606061</v>
      </c>
      <c r="G10" s="8" t="n">
        <f aca="false">$K$4</f>
        <v>1.96969696969697</v>
      </c>
      <c r="H10" s="8" t="n">
        <f aca="false">3.267*$K$4</f>
        <v>6.435</v>
      </c>
      <c r="J10" s="7" t="s">
        <v>68</v>
      </c>
      <c r="K10" s="7"/>
      <c r="L10" s="7"/>
      <c r="M10" s="7"/>
    </row>
    <row r="11" customFormat="false" ht="15" hidden="false" customHeight="false" outlineLevel="0" collapsed="false">
      <c r="A11" s="0" t="n">
        <v>10</v>
      </c>
      <c r="B11" s="0" t="n">
        <v>70</v>
      </c>
      <c r="C11" s="8" t="n">
        <f aca="false">ABS(B11-B10)</f>
        <v>2</v>
      </c>
      <c r="D11" s="8" t="n">
        <f aca="false">$K$3</f>
        <v>69.07</v>
      </c>
      <c r="E11" s="8" t="n">
        <f aca="false">$K$3+2.66*$K$4</f>
        <v>74.3093939393939</v>
      </c>
      <c r="F11" s="8" t="n">
        <f aca="false">$K$3-2.66*$K$4</f>
        <v>63.8306060606061</v>
      </c>
      <c r="G11" s="8" t="n">
        <f aca="false">$K$4</f>
        <v>1.96969696969697</v>
      </c>
      <c r="H11" s="8" t="n">
        <f aca="false">3.267*$K$4</f>
        <v>6.435</v>
      </c>
      <c r="J11" s="7"/>
      <c r="K11" s="7"/>
      <c r="L11" s="7"/>
      <c r="M11" s="7"/>
    </row>
    <row r="12" customFormat="false" ht="15" hidden="false" customHeight="false" outlineLevel="0" collapsed="false">
      <c r="A12" s="0" t="n">
        <v>11</v>
      </c>
      <c r="B12" s="0" t="n">
        <v>69</v>
      </c>
      <c r="C12" s="8" t="n">
        <f aca="false">ABS(B12-B11)</f>
        <v>1</v>
      </c>
      <c r="D12" s="8" t="n">
        <f aca="false">$K$3</f>
        <v>69.07</v>
      </c>
      <c r="E12" s="8" t="n">
        <f aca="false">$K$3+2.66*$K$4</f>
        <v>74.3093939393939</v>
      </c>
      <c r="F12" s="8" t="n">
        <f aca="false">$K$3-2.66*$K$4</f>
        <v>63.8306060606061</v>
      </c>
      <c r="G12" s="8" t="n">
        <f aca="false">$K$4</f>
        <v>1.96969696969697</v>
      </c>
      <c r="H12" s="8" t="n">
        <f aca="false">3.267*$K$4</f>
        <v>6.435</v>
      </c>
      <c r="J12" s="7"/>
      <c r="K12" s="7"/>
      <c r="L12" s="7"/>
      <c r="M12" s="7"/>
    </row>
    <row r="13" customFormat="false" ht="15" hidden="false" customHeight="false" outlineLevel="0" collapsed="false">
      <c r="A13" s="0" t="n">
        <v>12</v>
      </c>
      <c r="B13" s="0" t="n">
        <v>72</v>
      </c>
      <c r="C13" s="8" t="n">
        <f aca="false">ABS(B13-B12)</f>
        <v>3</v>
      </c>
      <c r="D13" s="8" t="n">
        <f aca="false">$K$3</f>
        <v>69.07</v>
      </c>
      <c r="E13" s="8" t="n">
        <f aca="false">$K$3+2.66*$K$4</f>
        <v>74.3093939393939</v>
      </c>
      <c r="F13" s="8" t="n">
        <f aca="false">$K$3-2.66*$K$4</f>
        <v>63.8306060606061</v>
      </c>
      <c r="G13" s="8" t="n">
        <f aca="false">$K$4</f>
        <v>1.96969696969697</v>
      </c>
      <c r="H13" s="8" t="n">
        <f aca="false">3.267*$K$4</f>
        <v>6.435</v>
      </c>
      <c r="J13" s="7"/>
      <c r="K13" s="7"/>
      <c r="L13" s="7"/>
      <c r="M13" s="7"/>
    </row>
    <row r="14" customFormat="false" ht="15" hidden="false" customHeight="false" outlineLevel="0" collapsed="false">
      <c r="A14" s="0" t="n">
        <v>13</v>
      </c>
      <c r="B14" s="0" t="n">
        <v>66</v>
      </c>
      <c r="C14" s="8" t="n">
        <f aca="false">ABS(B14-B13)</f>
        <v>6</v>
      </c>
      <c r="D14" s="8" t="n">
        <f aca="false">$K$3</f>
        <v>69.07</v>
      </c>
      <c r="E14" s="8" t="n">
        <f aca="false">$K$3+2.66*$K$4</f>
        <v>74.3093939393939</v>
      </c>
      <c r="F14" s="8" t="n">
        <f aca="false">$K$3-2.66*$K$4</f>
        <v>63.8306060606061</v>
      </c>
      <c r="G14" s="8" t="n">
        <f aca="false">$K$4</f>
        <v>1.96969696969697</v>
      </c>
      <c r="H14" s="8" t="n">
        <f aca="false">3.267*$K$4</f>
        <v>6.435</v>
      </c>
      <c r="J14" s="7"/>
      <c r="K14" s="7"/>
      <c r="L14" s="7"/>
      <c r="M14" s="7"/>
    </row>
    <row r="15" customFormat="false" ht="15" hidden="false" customHeight="false" outlineLevel="0" collapsed="false">
      <c r="A15" s="0" t="n">
        <v>14</v>
      </c>
      <c r="B15" s="0" t="n">
        <v>69</v>
      </c>
      <c r="C15" s="8" t="n">
        <f aca="false">ABS(B15-B14)</f>
        <v>3</v>
      </c>
      <c r="D15" s="8" t="n">
        <f aca="false">$K$3</f>
        <v>69.07</v>
      </c>
      <c r="E15" s="8" t="n">
        <f aca="false">$K$3+2.66*$K$4</f>
        <v>74.3093939393939</v>
      </c>
      <c r="F15" s="8" t="n">
        <f aca="false">$K$3-2.66*$K$4</f>
        <v>63.8306060606061</v>
      </c>
      <c r="G15" s="8" t="n">
        <f aca="false">$K$4</f>
        <v>1.96969696969697</v>
      </c>
      <c r="H15" s="8" t="n">
        <f aca="false">3.267*$K$4</f>
        <v>6.435</v>
      </c>
      <c r="J15" s="7"/>
      <c r="K15" s="7"/>
      <c r="L15" s="7"/>
      <c r="M15" s="7"/>
    </row>
    <row r="16" customFormat="false" ht="15" hidden="false" customHeight="false" outlineLevel="0" collapsed="false">
      <c r="A16" s="0" t="n">
        <v>15</v>
      </c>
      <c r="B16" s="0" t="n">
        <v>68</v>
      </c>
      <c r="C16" s="8" t="n">
        <f aca="false">ABS(B16-B15)</f>
        <v>1</v>
      </c>
      <c r="D16" s="8" t="n">
        <f aca="false">$K$3</f>
        <v>69.07</v>
      </c>
      <c r="E16" s="8" t="n">
        <f aca="false">$K$3+2.66*$K$4</f>
        <v>74.3093939393939</v>
      </c>
      <c r="F16" s="8" t="n">
        <f aca="false">$K$3-2.66*$K$4</f>
        <v>63.8306060606061</v>
      </c>
      <c r="G16" s="8" t="n">
        <f aca="false">$K$4</f>
        <v>1.96969696969697</v>
      </c>
      <c r="H16" s="8" t="n">
        <f aca="false">3.267*$K$4</f>
        <v>6.435</v>
      </c>
      <c r="J16" s="7"/>
      <c r="K16" s="7"/>
      <c r="L16" s="7"/>
      <c r="M16" s="7"/>
    </row>
    <row r="17" customFormat="false" ht="15" hidden="false" customHeight="false" outlineLevel="0" collapsed="false">
      <c r="A17" s="0" t="n">
        <v>16</v>
      </c>
      <c r="B17" s="0" t="n">
        <v>68</v>
      </c>
      <c r="C17" s="8" t="n">
        <f aca="false">ABS(B17-B16)</f>
        <v>0</v>
      </c>
      <c r="D17" s="8" t="n">
        <f aca="false">$K$3</f>
        <v>69.07</v>
      </c>
      <c r="E17" s="8" t="n">
        <f aca="false">$K$3+2.66*$K$4</f>
        <v>74.3093939393939</v>
      </c>
      <c r="F17" s="8" t="n">
        <f aca="false">$K$3-2.66*$K$4</f>
        <v>63.8306060606061</v>
      </c>
      <c r="G17" s="8" t="n">
        <f aca="false">$K$4</f>
        <v>1.96969696969697</v>
      </c>
      <c r="H17" s="8" t="n">
        <f aca="false">3.267*$K$4</f>
        <v>6.435</v>
      </c>
      <c r="J17" s="7"/>
      <c r="K17" s="7"/>
      <c r="L17" s="7"/>
      <c r="M17" s="7"/>
    </row>
    <row r="18" customFormat="false" ht="15" hidden="false" customHeight="false" outlineLevel="0" collapsed="false">
      <c r="A18" s="0" t="n">
        <v>17</v>
      </c>
      <c r="B18" s="0" t="n">
        <v>70</v>
      </c>
      <c r="C18" s="8" t="n">
        <f aca="false">ABS(B18-B17)</f>
        <v>2</v>
      </c>
      <c r="D18" s="8" t="n">
        <f aca="false">$K$3</f>
        <v>69.07</v>
      </c>
      <c r="E18" s="8" t="n">
        <f aca="false">$K$3+2.66*$K$4</f>
        <v>74.3093939393939</v>
      </c>
      <c r="F18" s="8" t="n">
        <f aca="false">$K$3-2.66*$K$4</f>
        <v>63.8306060606061</v>
      </c>
      <c r="G18" s="8" t="n">
        <f aca="false">$K$4</f>
        <v>1.96969696969697</v>
      </c>
      <c r="H18" s="8" t="n">
        <f aca="false">3.267*$K$4</f>
        <v>6.435</v>
      </c>
    </row>
    <row r="19" customFormat="false" ht="15" hidden="false" customHeight="false" outlineLevel="0" collapsed="false">
      <c r="A19" s="0" t="n">
        <v>18</v>
      </c>
      <c r="B19" s="0" t="n">
        <v>67</v>
      </c>
      <c r="C19" s="8" t="n">
        <f aca="false">ABS(B19-B18)</f>
        <v>3</v>
      </c>
      <c r="D19" s="8" t="n">
        <f aca="false">$K$3</f>
        <v>69.07</v>
      </c>
      <c r="E19" s="8" t="n">
        <f aca="false">$K$3+2.66*$K$4</f>
        <v>74.3093939393939</v>
      </c>
      <c r="F19" s="8" t="n">
        <f aca="false">$K$3-2.66*$K$4</f>
        <v>63.8306060606061</v>
      </c>
      <c r="G19" s="8" t="n">
        <f aca="false">$K$4</f>
        <v>1.96969696969697</v>
      </c>
      <c r="H19" s="8" t="n">
        <f aca="false">3.267*$K$4</f>
        <v>6.435</v>
      </c>
    </row>
    <row r="20" customFormat="false" ht="15" hidden="false" customHeight="false" outlineLevel="0" collapsed="false">
      <c r="A20" s="0" t="n">
        <v>19</v>
      </c>
      <c r="B20" s="0" t="n">
        <v>65</v>
      </c>
      <c r="C20" s="8" t="n">
        <f aca="false">ABS(B20-B19)</f>
        <v>2</v>
      </c>
      <c r="D20" s="8" t="n">
        <f aca="false">$K$3</f>
        <v>69.07</v>
      </c>
      <c r="E20" s="8" t="n">
        <f aca="false">$K$3+2.66*$K$4</f>
        <v>74.3093939393939</v>
      </c>
      <c r="F20" s="8" t="n">
        <f aca="false">$K$3-2.66*$K$4</f>
        <v>63.8306060606061</v>
      </c>
      <c r="G20" s="8" t="n">
        <f aca="false">$K$4</f>
        <v>1.96969696969697</v>
      </c>
      <c r="H20" s="8" t="n">
        <f aca="false">3.267*$K$4</f>
        <v>6.435</v>
      </c>
    </row>
    <row r="21" customFormat="false" ht="15" hidden="false" customHeight="false" outlineLevel="0" collapsed="false">
      <c r="A21" s="0" t="n">
        <v>20</v>
      </c>
      <c r="B21" s="0" t="n">
        <v>69</v>
      </c>
      <c r="C21" s="8" t="n">
        <f aca="false">ABS(B21-B20)</f>
        <v>4</v>
      </c>
      <c r="D21" s="8" t="n">
        <f aca="false">$K$3</f>
        <v>69.07</v>
      </c>
      <c r="E21" s="8" t="n">
        <f aca="false">$K$3+2.66*$K$4</f>
        <v>74.3093939393939</v>
      </c>
      <c r="F21" s="8" t="n">
        <f aca="false">$K$3-2.66*$K$4</f>
        <v>63.8306060606061</v>
      </c>
      <c r="G21" s="8" t="n">
        <f aca="false">$K$4</f>
        <v>1.96969696969697</v>
      </c>
      <c r="H21" s="8" t="n">
        <f aca="false">3.267*$K$4</f>
        <v>6.435</v>
      </c>
    </row>
    <row r="22" customFormat="false" ht="15" hidden="false" customHeight="false" outlineLevel="0" collapsed="false">
      <c r="A22" s="0" t="n">
        <v>21</v>
      </c>
      <c r="B22" s="0" t="n">
        <v>67</v>
      </c>
      <c r="C22" s="8" t="n">
        <f aca="false">ABS(B22-B21)</f>
        <v>2</v>
      </c>
      <c r="D22" s="8" t="n">
        <f aca="false">$K$3</f>
        <v>69.07</v>
      </c>
      <c r="E22" s="8" t="n">
        <f aca="false">$K$3+2.66*$K$4</f>
        <v>74.3093939393939</v>
      </c>
      <c r="F22" s="8" t="n">
        <f aca="false">$K$3-2.66*$K$4</f>
        <v>63.8306060606061</v>
      </c>
      <c r="G22" s="8" t="n">
        <f aca="false">$K$4</f>
        <v>1.96969696969697</v>
      </c>
      <c r="H22" s="8" t="n">
        <f aca="false">3.267*$K$4</f>
        <v>6.435</v>
      </c>
    </row>
    <row r="23" customFormat="false" ht="15" hidden="false" customHeight="false" outlineLevel="0" collapsed="false">
      <c r="A23" s="0" t="n">
        <v>22</v>
      </c>
      <c r="B23" s="0" t="n">
        <v>70</v>
      </c>
      <c r="C23" s="8" t="n">
        <f aca="false">ABS(B23-B22)</f>
        <v>3</v>
      </c>
      <c r="D23" s="8" t="n">
        <f aca="false">$K$3</f>
        <v>69.07</v>
      </c>
      <c r="E23" s="8" t="n">
        <f aca="false">$K$3+2.66*$K$4</f>
        <v>74.3093939393939</v>
      </c>
      <c r="F23" s="8" t="n">
        <f aca="false">$K$3-2.66*$K$4</f>
        <v>63.8306060606061</v>
      </c>
      <c r="G23" s="8" t="n">
        <f aca="false">$K$4</f>
        <v>1.96969696969697</v>
      </c>
      <c r="H23" s="8" t="n">
        <f aca="false">3.267*$K$4</f>
        <v>6.435</v>
      </c>
    </row>
    <row r="24" customFormat="false" ht="15" hidden="false" customHeight="false" outlineLevel="0" collapsed="false">
      <c r="A24" s="0" t="n">
        <v>23</v>
      </c>
      <c r="B24" s="0" t="n">
        <v>71</v>
      </c>
      <c r="C24" s="8" t="n">
        <f aca="false">ABS(B24-B23)</f>
        <v>1</v>
      </c>
      <c r="D24" s="8" t="n">
        <f aca="false">$K$3</f>
        <v>69.07</v>
      </c>
      <c r="E24" s="8" t="n">
        <f aca="false">$K$3+2.66*$K$4</f>
        <v>74.3093939393939</v>
      </c>
      <c r="F24" s="8" t="n">
        <f aca="false">$K$3-2.66*$K$4</f>
        <v>63.8306060606061</v>
      </c>
      <c r="G24" s="8" t="n">
        <f aca="false">$K$4</f>
        <v>1.96969696969697</v>
      </c>
      <c r="H24" s="8" t="n">
        <f aca="false">3.267*$K$4</f>
        <v>6.435</v>
      </c>
    </row>
    <row r="25" customFormat="false" ht="15" hidden="false" customHeight="false" outlineLevel="0" collapsed="false">
      <c r="A25" s="0" t="n">
        <v>24</v>
      </c>
      <c r="B25" s="0" t="n">
        <v>68</v>
      </c>
      <c r="C25" s="8" t="n">
        <f aca="false">ABS(B25-B24)</f>
        <v>3</v>
      </c>
      <c r="D25" s="8" t="n">
        <f aca="false">$K$3</f>
        <v>69.07</v>
      </c>
      <c r="E25" s="8" t="n">
        <f aca="false">$K$3+2.66*$K$4</f>
        <v>74.3093939393939</v>
      </c>
      <c r="F25" s="8" t="n">
        <f aca="false">$K$3-2.66*$K$4</f>
        <v>63.8306060606061</v>
      </c>
      <c r="G25" s="8" t="n">
        <f aca="false">$K$4</f>
        <v>1.96969696969697</v>
      </c>
      <c r="H25" s="8" t="n">
        <f aca="false">3.267*$K$4</f>
        <v>6.435</v>
      </c>
    </row>
    <row r="26" customFormat="false" ht="15" hidden="false" customHeight="false" outlineLevel="0" collapsed="false">
      <c r="A26" s="0" t="n">
        <v>25</v>
      </c>
      <c r="B26" s="0" t="n">
        <v>69</v>
      </c>
      <c r="C26" s="8" t="n">
        <f aca="false">ABS(B26-B25)</f>
        <v>1</v>
      </c>
      <c r="D26" s="8" t="n">
        <f aca="false">$K$3</f>
        <v>69.07</v>
      </c>
      <c r="E26" s="8" t="n">
        <f aca="false">$K$3+2.66*$K$4</f>
        <v>74.3093939393939</v>
      </c>
      <c r="F26" s="8" t="n">
        <f aca="false">$K$3-2.66*$K$4</f>
        <v>63.8306060606061</v>
      </c>
      <c r="G26" s="8" t="n">
        <f aca="false">$K$4</f>
        <v>1.96969696969697</v>
      </c>
      <c r="H26" s="8" t="n">
        <f aca="false">3.267*$K$4</f>
        <v>6.435</v>
      </c>
    </row>
    <row r="27" customFormat="false" ht="15" hidden="false" customHeight="false" outlineLevel="0" collapsed="false">
      <c r="A27" s="0" t="n">
        <v>26</v>
      </c>
      <c r="B27" s="0" t="n">
        <v>68</v>
      </c>
      <c r="C27" s="8" t="n">
        <f aca="false">ABS(B27-B26)</f>
        <v>1</v>
      </c>
      <c r="D27" s="8" t="n">
        <f aca="false">$K$3</f>
        <v>69.07</v>
      </c>
      <c r="E27" s="8" t="n">
        <f aca="false">$K$3+2.66*$K$4</f>
        <v>74.3093939393939</v>
      </c>
      <c r="F27" s="8" t="n">
        <f aca="false">$K$3-2.66*$K$4</f>
        <v>63.8306060606061</v>
      </c>
      <c r="G27" s="8" t="n">
        <f aca="false">$K$4</f>
        <v>1.96969696969697</v>
      </c>
      <c r="H27" s="8" t="n">
        <f aca="false">3.267*$K$4</f>
        <v>6.435</v>
      </c>
    </row>
    <row r="28" customFormat="false" ht="15" hidden="false" customHeight="false" outlineLevel="0" collapsed="false">
      <c r="A28" s="0" t="n">
        <v>27</v>
      </c>
      <c r="B28" s="0" t="n">
        <v>69</v>
      </c>
      <c r="C28" s="8" t="n">
        <f aca="false">ABS(B28-B27)</f>
        <v>1</v>
      </c>
      <c r="D28" s="8" t="n">
        <f aca="false">$K$3</f>
        <v>69.07</v>
      </c>
      <c r="E28" s="8" t="n">
        <f aca="false">$K$3+2.66*$K$4</f>
        <v>74.3093939393939</v>
      </c>
      <c r="F28" s="8" t="n">
        <f aca="false">$K$3-2.66*$K$4</f>
        <v>63.8306060606061</v>
      </c>
      <c r="G28" s="8" t="n">
        <f aca="false">$K$4</f>
        <v>1.96969696969697</v>
      </c>
      <c r="H28" s="8" t="n">
        <f aca="false">3.267*$K$4</f>
        <v>6.435</v>
      </c>
    </row>
    <row r="29" customFormat="false" ht="15" hidden="false" customHeight="false" outlineLevel="0" collapsed="false">
      <c r="A29" s="0" t="n">
        <v>28</v>
      </c>
      <c r="B29" s="0" t="n">
        <v>68</v>
      </c>
      <c r="C29" s="8" t="n">
        <f aca="false">ABS(B29-B28)</f>
        <v>1</v>
      </c>
      <c r="D29" s="8" t="n">
        <f aca="false">$K$3</f>
        <v>69.07</v>
      </c>
      <c r="E29" s="8" t="n">
        <f aca="false">$K$3+2.66*$K$4</f>
        <v>74.3093939393939</v>
      </c>
      <c r="F29" s="8" t="n">
        <f aca="false">$K$3-2.66*$K$4</f>
        <v>63.8306060606061</v>
      </c>
      <c r="G29" s="8" t="n">
        <f aca="false">$K$4</f>
        <v>1.96969696969697</v>
      </c>
      <c r="H29" s="8" t="n">
        <f aca="false">3.267*$K$4</f>
        <v>6.435</v>
      </c>
    </row>
    <row r="30" customFormat="false" ht="15" hidden="false" customHeight="false" outlineLevel="0" collapsed="false">
      <c r="A30" s="0" t="n">
        <v>29</v>
      </c>
      <c r="B30" s="0" t="n">
        <v>68</v>
      </c>
      <c r="C30" s="8" t="n">
        <f aca="false">ABS(B30-B29)</f>
        <v>0</v>
      </c>
      <c r="D30" s="8" t="n">
        <f aca="false">$K$3</f>
        <v>69.07</v>
      </c>
      <c r="E30" s="8" t="n">
        <f aca="false">$K$3+2.66*$K$4</f>
        <v>74.3093939393939</v>
      </c>
      <c r="F30" s="8" t="n">
        <f aca="false">$K$3-2.66*$K$4</f>
        <v>63.8306060606061</v>
      </c>
      <c r="G30" s="8" t="n">
        <f aca="false">$K$4</f>
        <v>1.96969696969697</v>
      </c>
      <c r="H30" s="8" t="n">
        <f aca="false">3.267*$K$4</f>
        <v>6.435</v>
      </c>
    </row>
    <row r="31" customFormat="false" ht="15" hidden="false" customHeight="false" outlineLevel="0" collapsed="false">
      <c r="A31" s="0" t="n">
        <v>30</v>
      </c>
      <c r="B31" s="0" t="n">
        <v>70</v>
      </c>
      <c r="C31" s="8" t="n">
        <f aca="false">ABS(B31-B30)</f>
        <v>2</v>
      </c>
      <c r="D31" s="8" t="n">
        <f aca="false">$K$3</f>
        <v>69.07</v>
      </c>
      <c r="E31" s="8" t="n">
        <f aca="false">$K$3+2.66*$K$4</f>
        <v>74.3093939393939</v>
      </c>
      <c r="F31" s="8" t="n">
        <f aca="false">$K$3-2.66*$K$4</f>
        <v>63.8306060606061</v>
      </c>
      <c r="G31" s="8" t="n">
        <f aca="false">$K$4</f>
        <v>1.96969696969697</v>
      </c>
      <c r="H31" s="8" t="n">
        <f aca="false">3.267*$K$4</f>
        <v>6.435</v>
      </c>
    </row>
    <row r="32" customFormat="false" ht="15" hidden="false" customHeight="false" outlineLevel="0" collapsed="false">
      <c r="A32" s="0" t="n">
        <v>31</v>
      </c>
      <c r="B32" s="0" t="n">
        <v>71</v>
      </c>
      <c r="C32" s="8" t="n">
        <f aca="false">ABS(B32-B31)</f>
        <v>1</v>
      </c>
      <c r="D32" s="8" t="n">
        <f aca="false">$K$3</f>
        <v>69.07</v>
      </c>
      <c r="E32" s="8" t="n">
        <f aca="false">$K$3+2.66*$K$4</f>
        <v>74.3093939393939</v>
      </c>
      <c r="F32" s="8" t="n">
        <f aca="false">$K$3-2.66*$K$4</f>
        <v>63.8306060606061</v>
      </c>
      <c r="G32" s="8" t="n">
        <f aca="false">$K$4</f>
        <v>1.96969696969697</v>
      </c>
      <c r="H32" s="8" t="n">
        <f aca="false">3.267*$K$4</f>
        <v>6.435</v>
      </c>
    </row>
    <row r="33" customFormat="false" ht="15" hidden="false" customHeight="false" outlineLevel="0" collapsed="false">
      <c r="A33" s="0" t="n">
        <v>32</v>
      </c>
      <c r="B33" s="0" t="n">
        <v>70</v>
      </c>
      <c r="C33" s="8" t="n">
        <f aca="false">ABS(B33-B32)</f>
        <v>1</v>
      </c>
      <c r="D33" s="8" t="n">
        <f aca="false">$K$3</f>
        <v>69.07</v>
      </c>
      <c r="E33" s="8" t="n">
        <f aca="false">$K$3+2.66*$K$4</f>
        <v>74.3093939393939</v>
      </c>
      <c r="F33" s="8" t="n">
        <f aca="false">$K$3-2.66*$K$4</f>
        <v>63.8306060606061</v>
      </c>
      <c r="G33" s="8" t="n">
        <f aca="false">$K$4</f>
        <v>1.96969696969697</v>
      </c>
      <c r="H33" s="8" t="n">
        <f aca="false">3.267*$K$4</f>
        <v>6.435</v>
      </c>
    </row>
    <row r="34" customFormat="false" ht="15" hidden="false" customHeight="false" outlineLevel="0" collapsed="false">
      <c r="A34" s="0" t="n">
        <v>33</v>
      </c>
      <c r="B34" s="0" t="n">
        <v>72</v>
      </c>
      <c r="C34" s="8" t="n">
        <f aca="false">ABS(B34-B33)</f>
        <v>2</v>
      </c>
      <c r="D34" s="8" t="n">
        <f aca="false">$K$3</f>
        <v>69.07</v>
      </c>
      <c r="E34" s="8" t="n">
        <f aca="false">$K$3+2.66*$K$4</f>
        <v>74.3093939393939</v>
      </c>
      <c r="F34" s="8" t="n">
        <f aca="false">$K$3-2.66*$K$4</f>
        <v>63.8306060606061</v>
      </c>
      <c r="G34" s="8" t="n">
        <f aca="false">$K$4</f>
        <v>1.96969696969697</v>
      </c>
      <c r="H34" s="8" t="n">
        <f aca="false">3.267*$K$4</f>
        <v>6.435</v>
      </c>
    </row>
    <row r="35" customFormat="false" ht="15" hidden="false" customHeight="false" outlineLevel="0" collapsed="false">
      <c r="A35" s="0" t="n">
        <v>34</v>
      </c>
      <c r="B35" s="0" t="n">
        <v>69</v>
      </c>
      <c r="C35" s="8" t="n">
        <f aca="false">ABS(B35-B34)</f>
        <v>3</v>
      </c>
      <c r="D35" s="8" t="n">
        <f aca="false">$K$3</f>
        <v>69.07</v>
      </c>
      <c r="E35" s="8" t="n">
        <f aca="false">$K$3+2.66*$K$4</f>
        <v>74.3093939393939</v>
      </c>
      <c r="F35" s="8" t="n">
        <f aca="false">$K$3-2.66*$K$4</f>
        <v>63.8306060606061</v>
      </c>
      <c r="G35" s="8" t="n">
        <f aca="false">$K$4</f>
        <v>1.96969696969697</v>
      </c>
      <c r="H35" s="8" t="n">
        <f aca="false">3.267*$K$4</f>
        <v>6.435</v>
      </c>
    </row>
    <row r="36" customFormat="false" ht="15" hidden="false" customHeight="false" outlineLevel="0" collapsed="false">
      <c r="A36" s="0" t="n">
        <v>35</v>
      </c>
      <c r="B36" s="0" t="n">
        <v>68</v>
      </c>
      <c r="C36" s="8" t="n">
        <f aca="false">ABS(B36-B35)</f>
        <v>1</v>
      </c>
      <c r="D36" s="8" t="n">
        <f aca="false">$K$3</f>
        <v>69.07</v>
      </c>
      <c r="E36" s="8" t="n">
        <f aca="false">$K$3+2.66*$K$4</f>
        <v>74.3093939393939</v>
      </c>
      <c r="F36" s="8" t="n">
        <f aca="false">$K$3-2.66*$K$4</f>
        <v>63.8306060606061</v>
      </c>
      <c r="G36" s="8" t="n">
        <f aca="false">$K$4</f>
        <v>1.96969696969697</v>
      </c>
      <c r="H36" s="8" t="n">
        <f aca="false">3.267*$K$4</f>
        <v>6.435</v>
      </c>
    </row>
    <row r="37" customFormat="false" ht="15" hidden="false" customHeight="false" outlineLevel="0" collapsed="false">
      <c r="A37" s="0" t="n">
        <v>36</v>
      </c>
      <c r="B37" s="0" t="n">
        <v>66</v>
      </c>
      <c r="C37" s="8" t="n">
        <f aca="false">ABS(B37-B36)</f>
        <v>2</v>
      </c>
      <c r="D37" s="8" t="n">
        <f aca="false">$K$3</f>
        <v>69.07</v>
      </c>
      <c r="E37" s="8" t="n">
        <f aca="false">$K$3+2.66*$K$4</f>
        <v>74.3093939393939</v>
      </c>
      <c r="F37" s="8" t="n">
        <f aca="false">$K$3-2.66*$K$4</f>
        <v>63.8306060606061</v>
      </c>
      <c r="G37" s="8" t="n">
        <f aca="false">$K$4</f>
        <v>1.96969696969697</v>
      </c>
      <c r="H37" s="8" t="n">
        <f aca="false">3.267*$K$4</f>
        <v>6.435</v>
      </c>
    </row>
    <row r="38" customFormat="false" ht="15" hidden="false" customHeight="false" outlineLevel="0" collapsed="false">
      <c r="A38" s="0" t="n">
        <v>37</v>
      </c>
      <c r="B38" s="0" t="n">
        <v>67</v>
      </c>
      <c r="C38" s="8" t="n">
        <f aca="false">ABS(B38-B37)</f>
        <v>1</v>
      </c>
      <c r="D38" s="8" t="n">
        <f aca="false">$K$3</f>
        <v>69.07</v>
      </c>
      <c r="E38" s="8" t="n">
        <f aca="false">$K$3+2.66*$K$4</f>
        <v>74.3093939393939</v>
      </c>
      <c r="F38" s="8" t="n">
        <f aca="false">$K$3-2.66*$K$4</f>
        <v>63.8306060606061</v>
      </c>
      <c r="G38" s="8" t="n">
        <f aca="false">$K$4</f>
        <v>1.96969696969697</v>
      </c>
      <c r="H38" s="8" t="n">
        <f aca="false">3.267*$K$4</f>
        <v>6.435</v>
      </c>
    </row>
    <row r="39" customFormat="false" ht="15" hidden="false" customHeight="false" outlineLevel="0" collapsed="false">
      <c r="A39" s="0" t="n">
        <v>38</v>
      </c>
      <c r="B39" s="0" t="n">
        <v>68</v>
      </c>
      <c r="C39" s="8" t="n">
        <f aca="false">ABS(B39-B38)</f>
        <v>1</v>
      </c>
      <c r="D39" s="8" t="n">
        <f aca="false">$K$3</f>
        <v>69.07</v>
      </c>
      <c r="E39" s="8" t="n">
        <f aca="false">$K$3+2.66*$K$4</f>
        <v>74.3093939393939</v>
      </c>
      <c r="F39" s="8" t="n">
        <f aca="false">$K$3-2.66*$K$4</f>
        <v>63.8306060606061</v>
      </c>
      <c r="G39" s="8" t="n">
        <f aca="false">$K$4</f>
        <v>1.96969696969697</v>
      </c>
      <c r="H39" s="8" t="n">
        <f aca="false">3.267*$K$4</f>
        <v>6.435</v>
      </c>
    </row>
    <row r="40" customFormat="false" ht="15" hidden="false" customHeight="false" outlineLevel="0" collapsed="false">
      <c r="A40" s="0" t="n">
        <v>39</v>
      </c>
      <c r="B40" s="0" t="n">
        <v>70</v>
      </c>
      <c r="C40" s="8" t="n">
        <f aca="false">ABS(B40-B39)</f>
        <v>2</v>
      </c>
      <c r="D40" s="8" t="n">
        <f aca="false">$K$3</f>
        <v>69.07</v>
      </c>
      <c r="E40" s="8" t="n">
        <f aca="false">$K$3+2.66*$K$4</f>
        <v>74.3093939393939</v>
      </c>
      <c r="F40" s="8" t="n">
        <f aca="false">$K$3-2.66*$K$4</f>
        <v>63.8306060606061</v>
      </c>
      <c r="G40" s="8" t="n">
        <f aca="false">$K$4</f>
        <v>1.96969696969697</v>
      </c>
      <c r="H40" s="8" t="n">
        <f aca="false">3.267*$K$4</f>
        <v>6.435</v>
      </c>
    </row>
    <row r="41" customFormat="false" ht="15" hidden="false" customHeight="false" outlineLevel="0" collapsed="false">
      <c r="A41" s="0" t="n">
        <v>40</v>
      </c>
      <c r="B41" s="0" t="n">
        <v>70</v>
      </c>
      <c r="C41" s="8" t="n">
        <f aca="false">ABS(B41-B40)</f>
        <v>0</v>
      </c>
      <c r="D41" s="8" t="n">
        <f aca="false">$K$3</f>
        <v>69.07</v>
      </c>
      <c r="E41" s="8" t="n">
        <f aca="false">$K$3+2.66*$K$4</f>
        <v>74.3093939393939</v>
      </c>
      <c r="F41" s="8" t="n">
        <f aca="false">$K$3-2.66*$K$4</f>
        <v>63.8306060606061</v>
      </c>
      <c r="G41" s="8" t="n">
        <f aca="false">$K$4</f>
        <v>1.96969696969697</v>
      </c>
      <c r="H41" s="8" t="n">
        <f aca="false">3.267*$K$4</f>
        <v>6.435</v>
      </c>
    </row>
    <row r="42" customFormat="false" ht="15" hidden="false" customHeight="false" outlineLevel="0" collapsed="false">
      <c r="A42" s="0" t="n">
        <v>41</v>
      </c>
      <c r="B42" s="0" t="n">
        <v>72</v>
      </c>
      <c r="C42" s="8" t="n">
        <f aca="false">ABS(B42-B41)</f>
        <v>2</v>
      </c>
      <c r="D42" s="8" t="n">
        <f aca="false">$K$3</f>
        <v>69.07</v>
      </c>
      <c r="E42" s="8" t="n">
        <f aca="false">$K$3+2.66*$K$4</f>
        <v>74.3093939393939</v>
      </c>
      <c r="F42" s="8" t="n">
        <f aca="false">$K$3-2.66*$K$4</f>
        <v>63.8306060606061</v>
      </c>
      <c r="G42" s="8" t="n">
        <f aca="false">$K$4</f>
        <v>1.96969696969697</v>
      </c>
      <c r="H42" s="8" t="n">
        <f aca="false">3.267*$K$4</f>
        <v>6.435</v>
      </c>
    </row>
    <row r="43" customFormat="false" ht="15" hidden="false" customHeight="false" outlineLevel="0" collapsed="false">
      <c r="A43" s="0" t="n">
        <v>42</v>
      </c>
      <c r="B43" s="0" t="n">
        <v>69</v>
      </c>
      <c r="C43" s="8" t="n">
        <f aca="false">ABS(B43-B42)</f>
        <v>3</v>
      </c>
      <c r="D43" s="8" t="n">
        <f aca="false">$K$3</f>
        <v>69.07</v>
      </c>
      <c r="E43" s="8" t="n">
        <f aca="false">$K$3+2.66*$K$4</f>
        <v>74.3093939393939</v>
      </c>
      <c r="F43" s="8" t="n">
        <f aca="false">$K$3-2.66*$K$4</f>
        <v>63.8306060606061</v>
      </c>
      <c r="G43" s="8" t="n">
        <f aca="false">$K$4</f>
        <v>1.96969696969697</v>
      </c>
      <c r="H43" s="8" t="n">
        <f aca="false">3.267*$K$4</f>
        <v>6.435</v>
      </c>
    </row>
    <row r="44" customFormat="false" ht="15" hidden="false" customHeight="false" outlineLevel="0" collapsed="false">
      <c r="A44" s="0" t="n">
        <v>43</v>
      </c>
      <c r="B44" s="0" t="n">
        <v>71</v>
      </c>
      <c r="C44" s="8" t="n">
        <f aca="false">ABS(B44-B43)</f>
        <v>2</v>
      </c>
      <c r="D44" s="8" t="n">
        <f aca="false">$K$3</f>
        <v>69.07</v>
      </c>
      <c r="E44" s="8" t="n">
        <f aca="false">$K$3+2.66*$K$4</f>
        <v>74.3093939393939</v>
      </c>
      <c r="F44" s="8" t="n">
        <f aca="false">$K$3-2.66*$K$4</f>
        <v>63.8306060606061</v>
      </c>
      <c r="G44" s="8" t="n">
        <f aca="false">$K$4</f>
        <v>1.96969696969697</v>
      </c>
      <c r="H44" s="8" t="n">
        <f aca="false">3.267*$K$4</f>
        <v>6.435</v>
      </c>
    </row>
    <row r="45" customFormat="false" ht="15" hidden="false" customHeight="false" outlineLevel="0" collapsed="false">
      <c r="A45" s="0" t="n">
        <v>44</v>
      </c>
      <c r="B45" s="0" t="n">
        <v>68</v>
      </c>
      <c r="C45" s="8" t="n">
        <f aca="false">ABS(B45-B44)</f>
        <v>3</v>
      </c>
      <c r="D45" s="8" t="n">
        <f aca="false">$K$3</f>
        <v>69.07</v>
      </c>
      <c r="E45" s="8" t="n">
        <f aca="false">$K$3+2.66*$K$4</f>
        <v>74.3093939393939</v>
      </c>
      <c r="F45" s="8" t="n">
        <f aca="false">$K$3-2.66*$K$4</f>
        <v>63.8306060606061</v>
      </c>
      <c r="G45" s="8" t="n">
        <f aca="false">$K$4</f>
        <v>1.96969696969697</v>
      </c>
      <c r="H45" s="8" t="n">
        <f aca="false">3.267*$K$4</f>
        <v>6.435</v>
      </c>
    </row>
    <row r="46" customFormat="false" ht="15" hidden="false" customHeight="false" outlineLevel="0" collapsed="false">
      <c r="A46" s="0" t="n">
        <v>45</v>
      </c>
      <c r="B46" s="0" t="n">
        <v>69</v>
      </c>
      <c r="C46" s="8" t="n">
        <f aca="false">ABS(B46-B45)</f>
        <v>1</v>
      </c>
      <c r="D46" s="8" t="n">
        <f aca="false">$K$3</f>
        <v>69.07</v>
      </c>
      <c r="E46" s="8" t="n">
        <f aca="false">$K$3+2.66*$K$4</f>
        <v>74.3093939393939</v>
      </c>
      <c r="F46" s="8" t="n">
        <f aca="false">$K$3-2.66*$K$4</f>
        <v>63.8306060606061</v>
      </c>
      <c r="G46" s="8" t="n">
        <f aca="false">$K$4</f>
        <v>1.96969696969697</v>
      </c>
      <c r="H46" s="8" t="n">
        <f aca="false">3.267*$K$4</f>
        <v>6.435</v>
      </c>
    </row>
    <row r="47" customFormat="false" ht="15" hidden="false" customHeight="false" outlineLevel="0" collapsed="false">
      <c r="A47" s="0" t="n">
        <v>46</v>
      </c>
      <c r="B47" s="0" t="n">
        <v>69</v>
      </c>
      <c r="C47" s="8" t="n">
        <f aca="false">ABS(B47-B46)</f>
        <v>0</v>
      </c>
      <c r="D47" s="8" t="n">
        <f aca="false">$K$3</f>
        <v>69.07</v>
      </c>
      <c r="E47" s="8" t="n">
        <f aca="false">$K$3+2.66*$K$4</f>
        <v>74.3093939393939</v>
      </c>
      <c r="F47" s="8" t="n">
        <f aca="false">$K$3-2.66*$K$4</f>
        <v>63.8306060606061</v>
      </c>
      <c r="G47" s="8" t="n">
        <f aca="false">$K$4</f>
        <v>1.96969696969697</v>
      </c>
      <c r="H47" s="8" t="n">
        <f aca="false">3.267*$K$4</f>
        <v>6.435</v>
      </c>
    </row>
    <row r="48" customFormat="false" ht="15" hidden="false" customHeight="false" outlineLevel="0" collapsed="false">
      <c r="A48" s="0" t="n">
        <v>47</v>
      </c>
      <c r="B48" s="0" t="n">
        <v>71</v>
      </c>
      <c r="C48" s="8" t="n">
        <f aca="false">ABS(B48-B47)</f>
        <v>2</v>
      </c>
      <c r="D48" s="8" t="n">
        <f aca="false">$K$3</f>
        <v>69.07</v>
      </c>
      <c r="E48" s="8" t="n">
        <f aca="false">$K$3+2.66*$K$4</f>
        <v>74.3093939393939</v>
      </c>
      <c r="F48" s="8" t="n">
        <f aca="false">$K$3-2.66*$K$4</f>
        <v>63.8306060606061</v>
      </c>
      <c r="G48" s="8" t="n">
        <f aca="false">$K$4</f>
        <v>1.96969696969697</v>
      </c>
      <c r="H48" s="8" t="n">
        <f aca="false">3.267*$K$4</f>
        <v>6.435</v>
      </c>
    </row>
    <row r="49" customFormat="false" ht="15" hidden="false" customHeight="false" outlineLevel="0" collapsed="false">
      <c r="A49" s="0" t="n">
        <v>48</v>
      </c>
      <c r="B49" s="0" t="n">
        <v>70</v>
      </c>
      <c r="C49" s="8" t="n">
        <f aca="false">ABS(B49-B48)</f>
        <v>1</v>
      </c>
      <c r="D49" s="8" t="n">
        <f aca="false">$K$3</f>
        <v>69.07</v>
      </c>
      <c r="E49" s="8" t="n">
        <f aca="false">$K$3+2.66*$K$4</f>
        <v>74.3093939393939</v>
      </c>
      <c r="F49" s="8" t="n">
        <f aca="false">$K$3-2.66*$K$4</f>
        <v>63.8306060606061</v>
      </c>
      <c r="G49" s="8" t="n">
        <f aca="false">$K$4</f>
        <v>1.96969696969697</v>
      </c>
      <c r="H49" s="8" t="n">
        <f aca="false">3.267*$K$4</f>
        <v>6.435</v>
      </c>
    </row>
    <row r="50" customFormat="false" ht="15" hidden="false" customHeight="false" outlineLevel="0" collapsed="false">
      <c r="A50" s="0" t="n">
        <v>49</v>
      </c>
      <c r="B50" s="0" t="n">
        <v>69</v>
      </c>
      <c r="C50" s="8" t="n">
        <f aca="false">ABS(B50-B49)</f>
        <v>1</v>
      </c>
      <c r="D50" s="8" t="n">
        <f aca="false">$K$3</f>
        <v>69.07</v>
      </c>
      <c r="E50" s="8" t="n">
        <f aca="false">$K$3+2.66*$K$4</f>
        <v>74.3093939393939</v>
      </c>
      <c r="F50" s="8" t="n">
        <f aca="false">$K$3-2.66*$K$4</f>
        <v>63.8306060606061</v>
      </c>
      <c r="G50" s="8" t="n">
        <f aca="false">$K$4</f>
        <v>1.96969696969697</v>
      </c>
      <c r="H50" s="8" t="n">
        <f aca="false">3.267*$K$4</f>
        <v>6.435</v>
      </c>
    </row>
    <row r="51" customFormat="false" ht="15" hidden="false" customHeight="false" outlineLevel="0" collapsed="false">
      <c r="A51" s="0" t="n">
        <v>50</v>
      </c>
      <c r="B51" s="0" t="n">
        <v>71</v>
      </c>
      <c r="C51" s="8" t="n">
        <f aca="false">ABS(B51-B50)</f>
        <v>2</v>
      </c>
      <c r="D51" s="8" t="n">
        <f aca="false">$K$3</f>
        <v>69.07</v>
      </c>
      <c r="E51" s="8" t="n">
        <f aca="false">$K$3+2.66*$K$4</f>
        <v>74.3093939393939</v>
      </c>
      <c r="F51" s="8" t="n">
        <f aca="false">$K$3-2.66*$K$4</f>
        <v>63.8306060606061</v>
      </c>
      <c r="G51" s="8" t="n">
        <f aca="false">$K$4</f>
        <v>1.96969696969697</v>
      </c>
      <c r="H51" s="8" t="n">
        <f aca="false">3.267*$K$4</f>
        <v>6.435</v>
      </c>
    </row>
    <row r="52" customFormat="false" ht="15" hidden="false" customHeight="false" outlineLevel="0" collapsed="false">
      <c r="A52" s="0" t="n">
        <v>51</v>
      </c>
      <c r="B52" s="0" t="n">
        <v>71</v>
      </c>
      <c r="C52" s="8" t="n">
        <f aca="false">ABS(B52-B51)</f>
        <v>0</v>
      </c>
      <c r="D52" s="8" t="n">
        <f aca="false">$K$3</f>
        <v>69.07</v>
      </c>
      <c r="E52" s="8" t="n">
        <f aca="false">$K$3+2.66*$K$4</f>
        <v>74.3093939393939</v>
      </c>
      <c r="F52" s="8" t="n">
        <f aca="false">$K$3-2.66*$K$4</f>
        <v>63.8306060606061</v>
      </c>
      <c r="G52" s="8" t="n">
        <f aca="false">$K$4</f>
        <v>1.96969696969697</v>
      </c>
      <c r="H52" s="8" t="n">
        <f aca="false">3.267*$K$4</f>
        <v>6.435</v>
      </c>
    </row>
    <row r="53" customFormat="false" ht="15" hidden="false" customHeight="false" outlineLevel="0" collapsed="false">
      <c r="A53" s="0" t="n">
        <v>52</v>
      </c>
      <c r="B53" s="0" t="n">
        <v>66</v>
      </c>
      <c r="C53" s="8" t="n">
        <f aca="false">ABS(B53-B52)</f>
        <v>5</v>
      </c>
      <c r="D53" s="8" t="n">
        <f aca="false">$K$3</f>
        <v>69.07</v>
      </c>
      <c r="E53" s="8" t="n">
        <f aca="false">$K$3+2.66*$K$4</f>
        <v>74.3093939393939</v>
      </c>
      <c r="F53" s="8" t="n">
        <f aca="false">$K$3-2.66*$K$4</f>
        <v>63.8306060606061</v>
      </c>
      <c r="G53" s="8" t="n">
        <f aca="false">$K$4</f>
        <v>1.96969696969697</v>
      </c>
      <c r="H53" s="8" t="n">
        <f aca="false">3.267*$K$4</f>
        <v>6.435</v>
      </c>
    </row>
    <row r="54" customFormat="false" ht="15" hidden="false" customHeight="false" outlineLevel="0" collapsed="false">
      <c r="A54" s="0" t="n">
        <v>53</v>
      </c>
      <c r="B54" s="0" t="n">
        <v>72</v>
      </c>
      <c r="C54" s="8" t="n">
        <f aca="false">ABS(B54-B53)</f>
        <v>6</v>
      </c>
      <c r="D54" s="8" t="n">
        <f aca="false">$K$3</f>
        <v>69.07</v>
      </c>
      <c r="E54" s="8" t="n">
        <f aca="false">$K$3+2.66*$K$4</f>
        <v>74.3093939393939</v>
      </c>
      <c r="F54" s="8" t="n">
        <f aca="false">$K$3-2.66*$K$4</f>
        <v>63.8306060606061</v>
      </c>
      <c r="G54" s="8" t="n">
        <f aca="false">$K$4</f>
        <v>1.96969696969697</v>
      </c>
      <c r="H54" s="8" t="n">
        <f aca="false">3.267*$K$4</f>
        <v>6.435</v>
      </c>
    </row>
    <row r="55" customFormat="false" ht="15" hidden="false" customHeight="false" outlineLevel="0" collapsed="false">
      <c r="A55" s="0" t="n">
        <v>54</v>
      </c>
      <c r="B55" s="0" t="n">
        <v>68</v>
      </c>
      <c r="C55" s="8" t="n">
        <f aca="false">ABS(B55-B54)</f>
        <v>4</v>
      </c>
      <c r="D55" s="8" t="n">
        <f aca="false">$K$3</f>
        <v>69.07</v>
      </c>
      <c r="E55" s="8" t="n">
        <f aca="false">$K$3+2.66*$K$4</f>
        <v>74.3093939393939</v>
      </c>
      <c r="F55" s="8" t="n">
        <f aca="false">$K$3-2.66*$K$4</f>
        <v>63.8306060606061</v>
      </c>
      <c r="G55" s="8" t="n">
        <f aca="false">$K$4</f>
        <v>1.96969696969697</v>
      </c>
      <c r="H55" s="8" t="n">
        <f aca="false">3.267*$K$4</f>
        <v>6.435</v>
      </c>
    </row>
    <row r="56" customFormat="false" ht="15" hidden="false" customHeight="false" outlineLevel="0" collapsed="false">
      <c r="A56" s="0" t="n">
        <v>55</v>
      </c>
      <c r="B56" s="0" t="n">
        <v>70</v>
      </c>
      <c r="C56" s="8" t="n">
        <f aca="false">ABS(B56-B55)</f>
        <v>2</v>
      </c>
      <c r="D56" s="8" t="n">
        <f aca="false">$K$3</f>
        <v>69.07</v>
      </c>
      <c r="E56" s="8" t="n">
        <f aca="false">$K$3+2.66*$K$4</f>
        <v>74.3093939393939</v>
      </c>
      <c r="F56" s="8" t="n">
        <f aca="false">$K$3-2.66*$K$4</f>
        <v>63.8306060606061</v>
      </c>
      <c r="G56" s="8" t="n">
        <f aca="false">$K$4</f>
        <v>1.96969696969697</v>
      </c>
      <c r="H56" s="8" t="n">
        <f aca="false">3.267*$K$4</f>
        <v>6.435</v>
      </c>
    </row>
    <row r="57" customFormat="false" ht="15" hidden="false" customHeight="false" outlineLevel="0" collapsed="false">
      <c r="A57" s="0" t="n">
        <v>56</v>
      </c>
      <c r="B57" s="0" t="n">
        <v>74</v>
      </c>
      <c r="C57" s="8" t="n">
        <f aca="false">ABS(B57-B56)</f>
        <v>4</v>
      </c>
      <c r="D57" s="8" t="n">
        <f aca="false">$K$3</f>
        <v>69.07</v>
      </c>
      <c r="E57" s="8" t="n">
        <f aca="false">$K$3+2.66*$K$4</f>
        <v>74.3093939393939</v>
      </c>
      <c r="F57" s="8" t="n">
        <f aca="false">$K$3-2.66*$K$4</f>
        <v>63.8306060606061</v>
      </c>
      <c r="G57" s="8" t="n">
        <f aca="false">$K$4</f>
        <v>1.96969696969697</v>
      </c>
      <c r="H57" s="8" t="n">
        <f aca="false">3.267*$K$4</f>
        <v>6.435</v>
      </c>
    </row>
    <row r="58" customFormat="false" ht="15" hidden="false" customHeight="false" outlineLevel="0" collapsed="false">
      <c r="A58" s="0" t="n">
        <v>57</v>
      </c>
      <c r="B58" s="0" t="n">
        <v>72</v>
      </c>
      <c r="C58" s="8" t="n">
        <f aca="false">ABS(B58-B57)</f>
        <v>2</v>
      </c>
      <c r="D58" s="8" t="n">
        <f aca="false">$K$3</f>
        <v>69.07</v>
      </c>
      <c r="E58" s="8" t="n">
        <f aca="false">$K$3+2.66*$K$4</f>
        <v>74.3093939393939</v>
      </c>
      <c r="F58" s="8" t="n">
        <f aca="false">$K$3-2.66*$K$4</f>
        <v>63.8306060606061</v>
      </c>
      <c r="G58" s="8" t="n">
        <f aca="false">$K$4</f>
        <v>1.96969696969697</v>
      </c>
      <c r="H58" s="8" t="n">
        <f aca="false">3.267*$K$4</f>
        <v>6.435</v>
      </c>
    </row>
    <row r="59" customFormat="false" ht="15" hidden="false" customHeight="false" outlineLevel="0" collapsed="false">
      <c r="A59" s="0" t="n">
        <v>58</v>
      </c>
      <c r="B59" s="0" t="n">
        <v>71</v>
      </c>
      <c r="C59" s="8" t="n">
        <f aca="false">ABS(B59-B58)</f>
        <v>1</v>
      </c>
      <c r="D59" s="8" t="n">
        <f aca="false">$K$3</f>
        <v>69.07</v>
      </c>
      <c r="E59" s="8" t="n">
        <f aca="false">$K$3+2.66*$K$4</f>
        <v>74.3093939393939</v>
      </c>
      <c r="F59" s="8" t="n">
        <f aca="false">$K$3-2.66*$K$4</f>
        <v>63.8306060606061</v>
      </c>
      <c r="G59" s="8" t="n">
        <f aca="false">$K$4</f>
        <v>1.96969696969697</v>
      </c>
      <c r="H59" s="8" t="n">
        <f aca="false">3.267*$K$4</f>
        <v>6.435</v>
      </c>
    </row>
    <row r="60" customFormat="false" ht="15" hidden="false" customHeight="false" outlineLevel="0" collapsed="false">
      <c r="A60" s="0" t="n">
        <v>59</v>
      </c>
      <c r="B60" s="0" t="n">
        <v>71</v>
      </c>
      <c r="C60" s="8" t="n">
        <f aca="false">ABS(B60-B59)</f>
        <v>0</v>
      </c>
      <c r="D60" s="8" t="n">
        <f aca="false">$K$3</f>
        <v>69.07</v>
      </c>
      <c r="E60" s="8" t="n">
        <f aca="false">$K$3+2.66*$K$4</f>
        <v>74.3093939393939</v>
      </c>
      <c r="F60" s="8" t="n">
        <f aca="false">$K$3-2.66*$K$4</f>
        <v>63.8306060606061</v>
      </c>
      <c r="G60" s="8" t="n">
        <f aca="false">$K$4</f>
        <v>1.96969696969697</v>
      </c>
      <c r="H60" s="8" t="n">
        <f aca="false">3.267*$K$4</f>
        <v>6.435</v>
      </c>
    </row>
    <row r="61" customFormat="false" ht="15" hidden="false" customHeight="false" outlineLevel="0" collapsed="false">
      <c r="A61" s="0" t="n">
        <v>60</v>
      </c>
      <c r="B61" s="0" t="n">
        <v>68</v>
      </c>
      <c r="C61" s="8" t="n">
        <f aca="false">ABS(B61-B60)</f>
        <v>3</v>
      </c>
      <c r="D61" s="8" t="n">
        <f aca="false">$K$3</f>
        <v>69.07</v>
      </c>
      <c r="E61" s="8" t="n">
        <f aca="false">$K$3+2.66*$K$4</f>
        <v>74.3093939393939</v>
      </c>
      <c r="F61" s="8" t="n">
        <f aca="false">$K$3-2.66*$K$4</f>
        <v>63.8306060606061</v>
      </c>
      <c r="G61" s="8" t="n">
        <f aca="false">$K$4</f>
        <v>1.96969696969697</v>
      </c>
      <c r="H61" s="8" t="n">
        <f aca="false">3.267*$K$4</f>
        <v>6.435</v>
      </c>
    </row>
    <row r="62" customFormat="false" ht="15" hidden="false" customHeight="false" outlineLevel="0" collapsed="false">
      <c r="A62" s="0" t="n">
        <v>61</v>
      </c>
      <c r="B62" s="0" t="n">
        <v>67</v>
      </c>
      <c r="C62" s="8" t="n">
        <f aca="false">ABS(B62-B61)</f>
        <v>1</v>
      </c>
      <c r="D62" s="8" t="n">
        <f aca="false">$K$3</f>
        <v>69.07</v>
      </c>
      <c r="E62" s="8" t="n">
        <f aca="false">$K$3+2.66*$K$4</f>
        <v>74.3093939393939</v>
      </c>
      <c r="F62" s="8" t="n">
        <f aca="false">$K$3-2.66*$K$4</f>
        <v>63.8306060606061</v>
      </c>
      <c r="G62" s="8" t="n">
        <f aca="false">$K$4</f>
        <v>1.96969696969697</v>
      </c>
      <c r="H62" s="8" t="n">
        <f aca="false">3.267*$K$4</f>
        <v>6.435</v>
      </c>
    </row>
    <row r="63" customFormat="false" ht="15" hidden="false" customHeight="false" outlineLevel="0" collapsed="false">
      <c r="A63" s="0" t="n">
        <v>62</v>
      </c>
      <c r="B63" s="0" t="n">
        <v>69</v>
      </c>
      <c r="C63" s="8" t="n">
        <f aca="false">ABS(B63-B62)</f>
        <v>2</v>
      </c>
      <c r="D63" s="8" t="n">
        <f aca="false">$K$3</f>
        <v>69.07</v>
      </c>
      <c r="E63" s="8" t="n">
        <f aca="false">$K$3+2.66*$K$4</f>
        <v>74.3093939393939</v>
      </c>
      <c r="F63" s="8" t="n">
        <f aca="false">$K$3-2.66*$K$4</f>
        <v>63.8306060606061</v>
      </c>
      <c r="G63" s="8" t="n">
        <f aca="false">$K$4</f>
        <v>1.96969696969697</v>
      </c>
      <c r="H63" s="8" t="n">
        <f aca="false">3.267*$K$4</f>
        <v>6.435</v>
      </c>
    </row>
    <row r="64" customFormat="false" ht="15" hidden="false" customHeight="false" outlineLevel="0" collapsed="false">
      <c r="A64" s="0" t="n">
        <v>63</v>
      </c>
      <c r="B64" s="0" t="n">
        <v>68</v>
      </c>
      <c r="C64" s="8" t="n">
        <f aca="false">ABS(B64-B63)</f>
        <v>1</v>
      </c>
      <c r="D64" s="8" t="n">
        <f aca="false">$K$3</f>
        <v>69.07</v>
      </c>
      <c r="E64" s="8" t="n">
        <f aca="false">$K$3+2.66*$K$4</f>
        <v>74.3093939393939</v>
      </c>
      <c r="F64" s="8" t="n">
        <f aca="false">$K$3-2.66*$K$4</f>
        <v>63.8306060606061</v>
      </c>
      <c r="G64" s="8" t="n">
        <f aca="false">$K$4</f>
        <v>1.96969696969697</v>
      </c>
      <c r="H64" s="8" t="n">
        <f aca="false">3.267*$K$4</f>
        <v>6.435</v>
      </c>
    </row>
    <row r="65" customFormat="false" ht="15" hidden="false" customHeight="false" outlineLevel="0" collapsed="false">
      <c r="A65" s="0" t="n">
        <v>64</v>
      </c>
      <c r="B65" s="0" t="n">
        <v>66</v>
      </c>
      <c r="C65" s="8" t="n">
        <f aca="false">ABS(B65-B64)</f>
        <v>2</v>
      </c>
      <c r="D65" s="8" t="n">
        <f aca="false">$K$3</f>
        <v>69.07</v>
      </c>
      <c r="E65" s="8" t="n">
        <f aca="false">$K$3+2.66*$K$4</f>
        <v>74.3093939393939</v>
      </c>
      <c r="F65" s="8" t="n">
        <f aca="false">$K$3-2.66*$K$4</f>
        <v>63.8306060606061</v>
      </c>
      <c r="G65" s="8" t="n">
        <f aca="false">$K$4</f>
        <v>1.96969696969697</v>
      </c>
      <c r="H65" s="8" t="n">
        <f aca="false">3.267*$K$4</f>
        <v>6.435</v>
      </c>
    </row>
    <row r="66" customFormat="false" ht="15" hidden="false" customHeight="false" outlineLevel="0" collapsed="false">
      <c r="A66" s="0" t="n">
        <v>65</v>
      </c>
      <c r="B66" s="0" t="n">
        <v>67</v>
      </c>
      <c r="C66" s="8" t="n">
        <f aca="false">ABS(B66-B65)</f>
        <v>1</v>
      </c>
      <c r="D66" s="8" t="n">
        <f aca="false">$K$3</f>
        <v>69.07</v>
      </c>
      <c r="E66" s="8" t="n">
        <f aca="false">$K$3+2.66*$K$4</f>
        <v>74.3093939393939</v>
      </c>
      <c r="F66" s="8" t="n">
        <f aca="false">$K$3-2.66*$K$4</f>
        <v>63.8306060606061</v>
      </c>
      <c r="G66" s="8" t="n">
        <f aca="false">$K$4</f>
        <v>1.96969696969697</v>
      </c>
      <c r="H66" s="8" t="n">
        <f aca="false">3.267*$K$4</f>
        <v>6.435</v>
      </c>
    </row>
    <row r="67" customFormat="false" ht="15" hidden="false" customHeight="false" outlineLevel="0" collapsed="false">
      <c r="A67" s="0" t="n">
        <v>66</v>
      </c>
      <c r="B67" s="0" t="n">
        <v>68</v>
      </c>
      <c r="C67" s="8" t="n">
        <f aca="false">ABS(B67-B66)</f>
        <v>1</v>
      </c>
      <c r="D67" s="8" t="n">
        <f aca="false">$K$3</f>
        <v>69.07</v>
      </c>
      <c r="E67" s="8" t="n">
        <f aca="false">$K$3+2.66*$K$4</f>
        <v>74.3093939393939</v>
      </c>
      <c r="F67" s="8" t="n">
        <f aca="false">$K$3-2.66*$K$4</f>
        <v>63.8306060606061</v>
      </c>
      <c r="G67" s="8" t="n">
        <f aca="false">$K$4</f>
        <v>1.96969696969697</v>
      </c>
      <c r="H67" s="8" t="n">
        <f aca="false">3.267*$K$4</f>
        <v>6.435</v>
      </c>
    </row>
    <row r="68" customFormat="false" ht="15" hidden="false" customHeight="false" outlineLevel="0" collapsed="false">
      <c r="A68" s="0" t="n">
        <v>67</v>
      </c>
      <c r="B68" s="0" t="n">
        <v>71</v>
      </c>
      <c r="C68" s="8" t="n">
        <f aca="false">ABS(B68-B67)</f>
        <v>3</v>
      </c>
      <c r="D68" s="8" t="n">
        <f aca="false">$K$3</f>
        <v>69.07</v>
      </c>
      <c r="E68" s="8" t="n">
        <f aca="false">$K$3+2.66*$K$4</f>
        <v>74.3093939393939</v>
      </c>
      <c r="F68" s="8" t="n">
        <f aca="false">$K$3-2.66*$K$4</f>
        <v>63.8306060606061</v>
      </c>
      <c r="G68" s="8" t="n">
        <f aca="false">$K$4</f>
        <v>1.96969696969697</v>
      </c>
      <c r="H68" s="8" t="n">
        <f aca="false">3.267*$K$4</f>
        <v>6.435</v>
      </c>
    </row>
    <row r="69" customFormat="false" ht="15" hidden="false" customHeight="false" outlineLevel="0" collapsed="false">
      <c r="A69" s="0" t="n">
        <v>68</v>
      </c>
      <c r="B69" s="0" t="n">
        <v>68</v>
      </c>
      <c r="C69" s="8" t="n">
        <f aca="false">ABS(B69-B68)</f>
        <v>3</v>
      </c>
      <c r="D69" s="8" t="n">
        <f aca="false">$K$3</f>
        <v>69.07</v>
      </c>
      <c r="E69" s="8" t="n">
        <f aca="false">$K$3+2.66*$K$4</f>
        <v>74.3093939393939</v>
      </c>
      <c r="F69" s="8" t="n">
        <f aca="false">$K$3-2.66*$K$4</f>
        <v>63.8306060606061</v>
      </c>
      <c r="G69" s="8" t="n">
        <f aca="false">$K$4</f>
        <v>1.96969696969697</v>
      </c>
      <c r="H69" s="8" t="n">
        <f aca="false">3.267*$K$4</f>
        <v>6.435</v>
      </c>
    </row>
    <row r="70" customFormat="false" ht="15" hidden="false" customHeight="false" outlineLevel="0" collapsed="false">
      <c r="A70" s="0" t="n">
        <v>69</v>
      </c>
      <c r="B70" s="0" t="n">
        <v>70</v>
      </c>
      <c r="C70" s="8" t="n">
        <f aca="false">ABS(B70-B69)</f>
        <v>2</v>
      </c>
      <c r="D70" s="8" t="n">
        <f aca="false">$K$3</f>
        <v>69.07</v>
      </c>
      <c r="E70" s="8" t="n">
        <f aca="false">$K$3+2.66*$K$4</f>
        <v>74.3093939393939</v>
      </c>
      <c r="F70" s="8" t="n">
        <f aca="false">$K$3-2.66*$K$4</f>
        <v>63.8306060606061</v>
      </c>
      <c r="G70" s="8" t="n">
        <f aca="false">$K$4</f>
        <v>1.96969696969697</v>
      </c>
      <c r="H70" s="8" t="n">
        <f aca="false">3.267*$K$4</f>
        <v>6.435</v>
      </c>
    </row>
    <row r="71" customFormat="false" ht="15" hidden="false" customHeight="false" outlineLevel="0" collapsed="false">
      <c r="A71" s="0" t="n">
        <v>70</v>
      </c>
      <c r="B71" s="0" t="n">
        <v>71</v>
      </c>
      <c r="C71" s="8" t="n">
        <f aca="false">ABS(B71-B70)</f>
        <v>1</v>
      </c>
      <c r="D71" s="8" t="n">
        <f aca="false">$K$3</f>
        <v>69.07</v>
      </c>
      <c r="E71" s="8" t="n">
        <f aca="false">$K$3+2.66*$K$4</f>
        <v>74.3093939393939</v>
      </c>
      <c r="F71" s="8" t="n">
        <f aca="false">$K$3-2.66*$K$4</f>
        <v>63.8306060606061</v>
      </c>
      <c r="G71" s="8" t="n">
        <f aca="false">$K$4</f>
        <v>1.96969696969697</v>
      </c>
      <c r="H71" s="8" t="n">
        <f aca="false">3.267*$K$4</f>
        <v>6.435</v>
      </c>
    </row>
    <row r="72" customFormat="false" ht="15" hidden="false" customHeight="false" outlineLevel="0" collapsed="false">
      <c r="A72" s="0" t="n">
        <v>71</v>
      </c>
      <c r="B72" s="0" t="n">
        <v>66</v>
      </c>
      <c r="C72" s="8" t="n">
        <f aca="false">ABS(B72-B71)</f>
        <v>5</v>
      </c>
      <c r="D72" s="8" t="n">
        <f aca="false">$K$3</f>
        <v>69.07</v>
      </c>
      <c r="E72" s="8" t="n">
        <f aca="false">$K$3+2.66*$K$4</f>
        <v>74.3093939393939</v>
      </c>
      <c r="F72" s="8" t="n">
        <f aca="false">$K$3-2.66*$K$4</f>
        <v>63.8306060606061</v>
      </c>
      <c r="G72" s="8" t="n">
        <f aca="false">$K$4</f>
        <v>1.96969696969697</v>
      </c>
      <c r="H72" s="8" t="n">
        <f aca="false">3.267*$K$4</f>
        <v>6.435</v>
      </c>
    </row>
    <row r="73" customFormat="false" ht="15" hidden="false" customHeight="false" outlineLevel="0" collapsed="false">
      <c r="A73" s="0" t="n">
        <v>72</v>
      </c>
      <c r="B73" s="0" t="n">
        <v>71</v>
      </c>
      <c r="C73" s="8" t="n">
        <f aca="false">ABS(B73-B72)</f>
        <v>5</v>
      </c>
      <c r="D73" s="8" t="n">
        <f aca="false">$K$3</f>
        <v>69.07</v>
      </c>
      <c r="E73" s="8" t="n">
        <f aca="false">$K$3+2.66*$K$4</f>
        <v>74.3093939393939</v>
      </c>
      <c r="F73" s="8" t="n">
        <f aca="false">$K$3-2.66*$K$4</f>
        <v>63.8306060606061</v>
      </c>
      <c r="G73" s="8" t="n">
        <f aca="false">$K$4</f>
        <v>1.96969696969697</v>
      </c>
      <c r="H73" s="8" t="n">
        <f aca="false">3.267*$K$4</f>
        <v>6.435</v>
      </c>
    </row>
    <row r="74" customFormat="false" ht="15" hidden="false" customHeight="false" outlineLevel="0" collapsed="false">
      <c r="A74" s="0" t="n">
        <v>73</v>
      </c>
      <c r="B74" s="0" t="n">
        <v>68</v>
      </c>
      <c r="C74" s="8" t="n">
        <f aca="false">ABS(B74-B73)</f>
        <v>3</v>
      </c>
      <c r="D74" s="8" t="n">
        <f aca="false">$K$3</f>
        <v>69.07</v>
      </c>
      <c r="E74" s="8" t="n">
        <f aca="false">$K$3+2.66*$K$4</f>
        <v>74.3093939393939</v>
      </c>
      <c r="F74" s="8" t="n">
        <f aca="false">$K$3-2.66*$K$4</f>
        <v>63.8306060606061</v>
      </c>
      <c r="G74" s="8" t="n">
        <f aca="false">$K$4</f>
        <v>1.96969696969697</v>
      </c>
      <c r="H74" s="8" t="n">
        <f aca="false">3.267*$K$4</f>
        <v>6.435</v>
      </c>
    </row>
    <row r="75" customFormat="false" ht="15" hidden="false" customHeight="false" outlineLevel="0" collapsed="false">
      <c r="A75" s="0" t="n">
        <v>74</v>
      </c>
      <c r="B75" s="0" t="n">
        <v>71</v>
      </c>
      <c r="C75" s="8" t="n">
        <f aca="false">ABS(B75-B74)</f>
        <v>3</v>
      </c>
      <c r="D75" s="8" t="n">
        <f aca="false">$K$3</f>
        <v>69.07</v>
      </c>
      <c r="E75" s="8" t="n">
        <f aca="false">$K$3+2.66*$K$4</f>
        <v>74.3093939393939</v>
      </c>
      <c r="F75" s="8" t="n">
        <f aca="false">$K$3-2.66*$K$4</f>
        <v>63.8306060606061</v>
      </c>
      <c r="G75" s="8" t="n">
        <f aca="false">$K$4</f>
        <v>1.96969696969697</v>
      </c>
      <c r="H75" s="8" t="n">
        <f aca="false">3.267*$K$4</f>
        <v>6.435</v>
      </c>
    </row>
    <row r="76" customFormat="false" ht="15" hidden="false" customHeight="false" outlineLevel="0" collapsed="false">
      <c r="A76" s="0" t="n">
        <v>75</v>
      </c>
      <c r="B76" s="0" t="n">
        <v>70</v>
      </c>
      <c r="C76" s="8" t="n">
        <f aca="false">ABS(B76-B75)</f>
        <v>1</v>
      </c>
      <c r="D76" s="8" t="n">
        <f aca="false">$K$3</f>
        <v>69.07</v>
      </c>
      <c r="E76" s="8" t="n">
        <f aca="false">$K$3+2.66*$K$4</f>
        <v>74.3093939393939</v>
      </c>
      <c r="F76" s="8" t="n">
        <f aca="false">$K$3-2.66*$K$4</f>
        <v>63.8306060606061</v>
      </c>
      <c r="G76" s="8" t="n">
        <f aca="false">$K$4</f>
        <v>1.96969696969697</v>
      </c>
      <c r="H76" s="8" t="n">
        <f aca="false">3.267*$K$4</f>
        <v>6.435</v>
      </c>
    </row>
    <row r="77" customFormat="false" ht="15" hidden="false" customHeight="false" outlineLevel="0" collapsed="false">
      <c r="A77" s="0" t="n">
        <v>76</v>
      </c>
      <c r="B77" s="0" t="n">
        <v>67</v>
      </c>
      <c r="C77" s="8" t="n">
        <f aca="false">ABS(B77-B76)</f>
        <v>3</v>
      </c>
      <c r="D77" s="8" t="n">
        <f aca="false">$K$3</f>
        <v>69.07</v>
      </c>
      <c r="E77" s="8" t="n">
        <f aca="false">$K$3+2.66*$K$4</f>
        <v>74.3093939393939</v>
      </c>
      <c r="F77" s="8" t="n">
        <f aca="false">$K$3-2.66*$K$4</f>
        <v>63.8306060606061</v>
      </c>
      <c r="G77" s="8" t="n">
        <f aca="false">$K$4</f>
        <v>1.96969696969697</v>
      </c>
      <c r="H77" s="8" t="n">
        <f aca="false">3.267*$K$4</f>
        <v>6.435</v>
      </c>
    </row>
    <row r="78" customFormat="false" ht="15" hidden="false" customHeight="false" outlineLevel="0" collapsed="false">
      <c r="A78" s="0" t="n">
        <v>77</v>
      </c>
      <c r="B78" s="0" t="n">
        <v>69</v>
      </c>
      <c r="C78" s="8" t="n">
        <f aca="false">ABS(B78-B77)</f>
        <v>2</v>
      </c>
      <c r="D78" s="8" t="n">
        <f aca="false">$K$3</f>
        <v>69.07</v>
      </c>
      <c r="E78" s="8" t="n">
        <f aca="false">$K$3+2.66*$K$4</f>
        <v>74.3093939393939</v>
      </c>
      <c r="F78" s="8" t="n">
        <f aca="false">$K$3-2.66*$K$4</f>
        <v>63.8306060606061</v>
      </c>
      <c r="G78" s="8" t="n">
        <f aca="false">$K$4</f>
        <v>1.96969696969697</v>
      </c>
      <c r="H78" s="8" t="n">
        <f aca="false">3.267*$K$4</f>
        <v>6.435</v>
      </c>
    </row>
    <row r="79" customFormat="false" ht="15" hidden="false" customHeight="false" outlineLevel="0" collapsed="false">
      <c r="A79" s="0" t="n">
        <v>78</v>
      </c>
      <c r="B79" s="0" t="n">
        <v>67</v>
      </c>
      <c r="C79" s="8" t="n">
        <f aca="false">ABS(B79-B78)</f>
        <v>2</v>
      </c>
      <c r="D79" s="8" t="n">
        <f aca="false">$K$3</f>
        <v>69.07</v>
      </c>
      <c r="E79" s="8" t="n">
        <f aca="false">$K$3+2.66*$K$4</f>
        <v>74.3093939393939</v>
      </c>
      <c r="F79" s="8" t="n">
        <f aca="false">$K$3-2.66*$K$4</f>
        <v>63.8306060606061</v>
      </c>
      <c r="G79" s="8" t="n">
        <f aca="false">$K$4</f>
        <v>1.96969696969697</v>
      </c>
      <c r="H79" s="8" t="n">
        <f aca="false">3.267*$K$4</f>
        <v>6.435</v>
      </c>
    </row>
    <row r="80" customFormat="false" ht="15" hidden="false" customHeight="false" outlineLevel="0" collapsed="false">
      <c r="A80" s="0" t="n">
        <v>79</v>
      </c>
      <c r="B80" s="0" t="n">
        <v>67</v>
      </c>
      <c r="C80" s="8" t="n">
        <f aca="false">ABS(B80-B79)</f>
        <v>0</v>
      </c>
      <c r="D80" s="8" t="n">
        <f aca="false">$K$3</f>
        <v>69.07</v>
      </c>
      <c r="E80" s="8" t="n">
        <f aca="false">$K$3+2.66*$K$4</f>
        <v>74.3093939393939</v>
      </c>
      <c r="F80" s="8" t="n">
        <f aca="false">$K$3-2.66*$K$4</f>
        <v>63.8306060606061</v>
      </c>
      <c r="G80" s="8" t="n">
        <f aca="false">$K$4</f>
        <v>1.96969696969697</v>
      </c>
      <c r="H80" s="8" t="n">
        <f aca="false">3.267*$K$4</f>
        <v>6.435</v>
      </c>
    </row>
    <row r="81" customFormat="false" ht="15" hidden="false" customHeight="false" outlineLevel="0" collapsed="false">
      <c r="A81" s="0" t="n">
        <v>80</v>
      </c>
      <c r="B81" s="0" t="n">
        <v>72</v>
      </c>
      <c r="C81" s="8" t="n">
        <f aca="false">ABS(B81-B80)</f>
        <v>5</v>
      </c>
      <c r="D81" s="8" t="n">
        <f aca="false">$K$3</f>
        <v>69.07</v>
      </c>
      <c r="E81" s="8" t="n">
        <f aca="false">$K$3+2.66*$K$4</f>
        <v>74.3093939393939</v>
      </c>
      <c r="F81" s="8" t="n">
        <f aca="false">$K$3-2.66*$K$4</f>
        <v>63.8306060606061</v>
      </c>
      <c r="G81" s="8" t="n">
        <f aca="false">$K$4</f>
        <v>1.96969696969697</v>
      </c>
      <c r="H81" s="8" t="n">
        <f aca="false">3.267*$K$4</f>
        <v>6.435</v>
      </c>
    </row>
    <row r="82" customFormat="false" ht="15" hidden="false" customHeight="false" outlineLevel="0" collapsed="false">
      <c r="A82" s="0" t="n">
        <v>81</v>
      </c>
      <c r="B82" s="0" t="n">
        <v>69</v>
      </c>
      <c r="C82" s="8" t="n">
        <f aca="false">ABS(B82-B81)</f>
        <v>3</v>
      </c>
      <c r="D82" s="8" t="n">
        <f aca="false">$K$3</f>
        <v>69.07</v>
      </c>
      <c r="E82" s="8" t="n">
        <f aca="false">$K$3+2.66*$K$4</f>
        <v>74.3093939393939</v>
      </c>
      <c r="F82" s="8" t="n">
        <f aca="false">$K$3-2.66*$K$4</f>
        <v>63.8306060606061</v>
      </c>
      <c r="G82" s="8" t="n">
        <f aca="false">$K$4</f>
        <v>1.96969696969697</v>
      </c>
      <c r="H82" s="8" t="n">
        <f aca="false">3.267*$K$4</f>
        <v>6.435</v>
      </c>
    </row>
    <row r="83" customFormat="false" ht="15" hidden="false" customHeight="false" outlineLevel="0" collapsed="false">
      <c r="A83" s="0" t="n">
        <v>82</v>
      </c>
      <c r="B83" s="0" t="n">
        <v>70</v>
      </c>
      <c r="C83" s="8" t="n">
        <f aca="false">ABS(B83-B82)</f>
        <v>1</v>
      </c>
      <c r="D83" s="8" t="n">
        <f aca="false">$K$3</f>
        <v>69.07</v>
      </c>
      <c r="E83" s="8" t="n">
        <f aca="false">$K$3+2.66*$K$4</f>
        <v>74.3093939393939</v>
      </c>
      <c r="F83" s="8" t="n">
        <f aca="false">$K$3-2.66*$K$4</f>
        <v>63.8306060606061</v>
      </c>
      <c r="G83" s="8" t="n">
        <f aca="false">$K$4</f>
        <v>1.96969696969697</v>
      </c>
      <c r="H83" s="8" t="n">
        <f aca="false">3.267*$K$4</f>
        <v>6.435</v>
      </c>
    </row>
    <row r="84" customFormat="false" ht="15" hidden="false" customHeight="false" outlineLevel="0" collapsed="false">
      <c r="A84" s="0" t="n">
        <v>83</v>
      </c>
      <c r="B84" s="0" t="n">
        <v>72</v>
      </c>
      <c r="C84" s="8" t="n">
        <f aca="false">ABS(B84-B83)</f>
        <v>2</v>
      </c>
      <c r="D84" s="8" t="n">
        <f aca="false">$K$3</f>
        <v>69.07</v>
      </c>
      <c r="E84" s="8" t="n">
        <f aca="false">$K$3+2.66*$K$4</f>
        <v>74.3093939393939</v>
      </c>
      <c r="F84" s="8" t="n">
        <f aca="false">$K$3-2.66*$K$4</f>
        <v>63.8306060606061</v>
      </c>
      <c r="G84" s="8" t="n">
        <f aca="false">$K$4</f>
        <v>1.96969696969697</v>
      </c>
      <c r="H84" s="8" t="n">
        <f aca="false">3.267*$K$4</f>
        <v>6.435</v>
      </c>
    </row>
    <row r="85" customFormat="false" ht="15" hidden="false" customHeight="false" outlineLevel="0" collapsed="false">
      <c r="A85" s="0" t="n">
        <v>84</v>
      </c>
      <c r="B85" s="0" t="n">
        <v>69</v>
      </c>
      <c r="C85" s="8" t="n">
        <f aca="false">ABS(B85-B84)</f>
        <v>3</v>
      </c>
      <c r="D85" s="8" t="n">
        <f aca="false">$K$3</f>
        <v>69.07</v>
      </c>
      <c r="E85" s="8" t="n">
        <f aca="false">$K$3+2.66*$K$4</f>
        <v>74.3093939393939</v>
      </c>
      <c r="F85" s="8" t="n">
        <f aca="false">$K$3-2.66*$K$4</f>
        <v>63.8306060606061</v>
      </c>
      <c r="G85" s="8" t="n">
        <f aca="false">$K$4</f>
        <v>1.96969696969697</v>
      </c>
      <c r="H85" s="8" t="n">
        <f aca="false">3.267*$K$4</f>
        <v>6.435</v>
      </c>
    </row>
    <row r="86" customFormat="false" ht="15" hidden="false" customHeight="false" outlineLevel="0" collapsed="false">
      <c r="A86" s="0" t="n">
        <v>85</v>
      </c>
      <c r="B86" s="0" t="n">
        <v>64</v>
      </c>
      <c r="C86" s="8" t="n">
        <f aca="false">ABS(B86-B85)</f>
        <v>5</v>
      </c>
      <c r="D86" s="8" t="n">
        <f aca="false">$K$3</f>
        <v>69.07</v>
      </c>
      <c r="E86" s="8" t="n">
        <f aca="false">$K$3+2.66*$K$4</f>
        <v>74.3093939393939</v>
      </c>
      <c r="F86" s="8" t="n">
        <f aca="false">$K$3-2.66*$K$4</f>
        <v>63.8306060606061</v>
      </c>
      <c r="G86" s="8" t="n">
        <f aca="false">$K$4</f>
        <v>1.96969696969697</v>
      </c>
      <c r="H86" s="8" t="n">
        <f aca="false">3.267*$K$4</f>
        <v>6.435</v>
      </c>
    </row>
    <row r="87" customFormat="false" ht="15" hidden="false" customHeight="false" outlineLevel="0" collapsed="false">
      <c r="A87" s="0" t="n">
        <v>86</v>
      </c>
      <c r="B87" s="0" t="n">
        <v>67</v>
      </c>
      <c r="C87" s="8" t="n">
        <f aca="false">ABS(B87-B86)</f>
        <v>3</v>
      </c>
      <c r="D87" s="8" t="n">
        <f aca="false">$K$3</f>
        <v>69.07</v>
      </c>
      <c r="E87" s="8" t="n">
        <f aca="false">$K$3+2.66*$K$4</f>
        <v>74.3093939393939</v>
      </c>
      <c r="F87" s="8" t="n">
        <f aca="false">$K$3-2.66*$K$4</f>
        <v>63.8306060606061</v>
      </c>
      <c r="G87" s="8" t="n">
        <f aca="false">$K$4</f>
        <v>1.96969696969697</v>
      </c>
      <c r="H87" s="8" t="n">
        <f aca="false">3.267*$K$4</f>
        <v>6.435</v>
      </c>
    </row>
    <row r="88" customFormat="false" ht="15" hidden="false" customHeight="false" outlineLevel="0" collapsed="false">
      <c r="A88" s="0" t="n">
        <v>87</v>
      </c>
      <c r="B88" s="0" t="n">
        <v>69</v>
      </c>
      <c r="C88" s="8" t="n">
        <f aca="false">ABS(B88-B87)</f>
        <v>2</v>
      </c>
      <c r="D88" s="8" t="n">
        <f aca="false">$K$3</f>
        <v>69.07</v>
      </c>
      <c r="E88" s="8" t="n">
        <f aca="false">$K$3+2.66*$K$4</f>
        <v>74.3093939393939</v>
      </c>
      <c r="F88" s="8" t="n">
        <f aca="false">$K$3-2.66*$K$4</f>
        <v>63.8306060606061</v>
      </c>
      <c r="G88" s="8" t="n">
        <f aca="false">$K$4</f>
        <v>1.96969696969697</v>
      </c>
      <c r="H88" s="8" t="n">
        <f aca="false">3.267*$K$4</f>
        <v>6.435</v>
      </c>
    </row>
    <row r="89" customFormat="false" ht="15" hidden="false" customHeight="false" outlineLevel="0" collapsed="false">
      <c r="A89" s="0" t="n">
        <v>88</v>
      </c>
      <c r="B89" s="0" t="n">
        <v>68</v>
      </c>
      <c r="C89" s="8" t="n">
        <f aca="false">ABS(B89-B88)</f>
        <v>1</v>
      </c>
      <c r="D89" s="8" t="n">
        <f aca="false">$K$3</f>
        <v>69.07</v>
      </c>
      <c r="E89" s="8" t="n">
        <f aca="false">$K$3+2.66*$K$4</f>
        <v>74.3093939393939</v>
      </c>
      <c r="F89" s="8" t="n">
        <f aca="false">$K$3-2.66*$K$4</f>
        <v>63.8306060606061</v>
      </c>
      <c r="G89" s="8" t="n">
        <f aca="false">$K$4</f>
        <v>1.96969696969697</v>
      </c>
      <c r="H89" s="8" t="n">
        <f aca="false">3.267*$K$4</f>
        <v>6.435</v>
      </c>
    </row>
    <row r="90" customFormat="false" ht="15" hidden="false" customHeight="false" outlineLevel="0" collapsed="false">
      <c r="A90" s="0" t="n">
        <v>89</v>
      </c>
      <c r="B90" s="0" t="n">
        <v>70</v>
      </c>
      <c r="C90" s="8" t="n">
        <f aca="false">ABS(B90-B89)</f>
        <v>2</v>
      </c>
      <c r="D90" s="8" t="n">
        <f aca="false">$K$3</f>
        <v>69.07</v>
      </c>
      <c r="E90" s="8" t="n">
        <f aca="false">$K$3+2.66*$K$4</f>
        <v>74.3093939393939</v>
      </c>
      <c r="F90" s="8" t="n">
        <f aca="false">$K$3-2.66*$K$4</f>
        <v>63.8306060606061</v>
      </c>
      <c r="G90" s="8" t="n">
        <f aca="false">$K$4</f>
        <v>1.96969696969697</v>
      </c>
      <c r="H90" s="8" t="n">
        <f aca="false">3.267*$K$4</f>
        <v>6.435</v>
      </c>
    </row>
    <row r="91" customFormat="false" ht="15" hidden="false" customHeight="false" outlineLevel="0" collapsed="false">
      <c r="A91" s="0" t="n">
        <v>90</v>
      </c>
      <c r="B91" s="0" t="n">
        <v>70</v>
      </c>
      <c r="C91" s="8" t="n">
        <f aca="false">ABS(B91-B90)</f>
        <v>0</v>
      </c>
      <c r="D91" s="8" t="n">
        <f aca="false">$K$3</f>
        <v>69.07</v>
      </c>
      <c r="E91" s="8" t="n">
        <f aca="false">$K$3+2.66*$K$4</f>
        <v>74.3093939393939</v>
      </c>
      <c r="F91" s="8" t="n">
        <f aca="false">$K$3-2.66*$K$4</f>
        <v>63.8306060606061</v>
      </c>
      <c r="G91" s="8" t="n">
        <f aca="false">$K$4</f>
        <v>1.96969696969697</v>
      </c>
      <c r="H91" s="8" t="n">
        <f aca="false">3.267*$K$4</f>
        <v>6.435</v>
      </c>
    </row>
    <row r="92" customFormat="false" ht="15" hidden="false" customHeight="false" outlineLevel="0" collapsed="false">
      <c r="A92" s="0" t="n">
        <v>91</v>
      </c>
      <c r="B92" s="0" t="n">
        <v>72</v>
      </c>
      <c r="C92" s="8" t="n">
        <f aca="false">ABS(B92-B91)</f>
        <v>2</v>
      </c>
      <c r="D92" s="8" t="n">
        <f aca="false">$K$3</f>
        <v>69.07</v>
      </c>
      <c r="E92" s="8" t="n">
        <f aca="false">$K$3+2.66*$K$4</f>
        <v>74.3093939393939</v>
      </c>
      <c r="F92" s="8" t="n">
        <f aca="false">$K$3-2.66*$K$4</f>
        <v>63.8306060606061</v>
      </c>
      <c r="G92" s="8" t="n">
        <f aca="false">$K$4</f>
        <v>1.96969696969697</v>
      </c>
      <c r="H92" s="8" t="n">
        <f aca="false">3.267*$K$4</f>
        <v>6.435</v>
      </c>
    </row>
    <row r="93" customFormat="false" ht="15" hidden="false" customHeight="false" outlineLevel="0" collapsed="false">
      <c r="A93" s="0" t="n">
        <v>92</v>
      </c>
      <c r="B93" s="0" t="n">
        <v>67</v>
      </c>
      <c r="C93" s="8" t="n">
        <f aca="false">ABS(B93-B92)</f>
        <v>5</v>
      </c>
      <c r="D93" s="8" t="n">
        <f aca="false">$K$3</f>
        <v>69.07</v>
      </c>
      <c r="E93" s="8" t="n">
        <f aca="false">$K$3+2.66*$K$4</f>
        <v>74.3093939393939</v>
      </c>
      <c r="F93" s="8" t="n">
        <f aca="false">$K$3-2.66*$K$4</f>
        <v>63.8306060606061</v>
      </c>
      <c r="G93" s="8" t="n">
        <f aca="false">$K$4</f>
        <v>1.96969696969697</v>
      </c>
      <c r="H93" s="8" t="n">
        <f aca="false">3.267*$K$4</f>
        <v>6.435</v>
      </c>
    </row>
    <row r="94" customFormat="false" ht="15" hidden="false" customHeight="false" outlineLevel="0" collapsed="false">
      <c r="A94" s="0" t="n">
        <v>93</v>
      </c>
      <c r="B94" s="0" t="n">
        <v>68</v>
      </c>
      <c r="C94" s="8" t="n">
        <f aca="false">ABS(B94-B93)</f>
        <v>1</v>
      </c>
      <c r="D94" s="8" t="n">
        <f aca="false">$K$3</f>
        <v>69.07</v>
      </c>
      <c r="E94" s="8" t="n">
        <f aca="false">$K$3+2.66*$K$4</f>
        <v>74.3093939393939</v>
      </c>
      <c r="F94" s="8" t="n">
        <f aca="false">$K$3-2.66*$K$4</f>
        <v>63.8306060606061</v>
      </c>
      <c r="G94" s="8" t="n">
        <f aca="false">$K$4</f>
        <v>1.96969696969697</v>
      </c>
      <c r="H94" s="8" t="n">
        <f aca="false">3.267*$K$4</f>
        <v>6.435</v>
      </c>
    </row>
    <row r="95" customFormat="false" ht="15" hidden="false" customHeight="false" outlineLevel="0" collapsed="false">
      <c r="A95" s="0" t="n">
        <v>94</v>
      </c>
      <c r="B95" s="0" t="n">
        <v>68</v>
      </c>
      <c r="C95" s="8" t="n">
        <f aca="false">ABS(B95-B94)</f>
        <v>0</v>
      </c>
      <c r="D95" s="8" t="n">
        <f aca="false">$K$3</f>
        <v>69.07</v>
      </c>
      <c r="E95" s="8" t="n">
        <f aca="false">$K$3+2.66*$K$4</f>
        <v>74.3093939393939</v>
      </c>
      <c r="F95" s="8" t="n">
        <f aca="false">$K$3-2.66*$K$4</f>
        <v>63.8306060606061</v>
      </c>
      <c r="G95" s="8" t="n">
        <f aca="false">$K$4</f>
        <v>1.96969696969697</v>
      </c>
      <c r="H95" s="8" t="n">
        <f aca="false">3.267*$K$4</f>
        <v>6.435</v>
      </c>
    </row>
    <row r="96" customFormat="false" ht="15" hidden="false" customHeight="false" outlineLevel="0" collapsed="false">
      <c r="A96" s="0" t="n">
        <v>95</v>
      </c>
      <c r="B96" s="0" t="n">
        <v>67</v>
      </c>
      <c r="C96" s="8" t="n">
        <f aca="false">ABS(B96-B95)</f>
        <v>1</v>
      </c>
      <c r="D96" s="8" t="n">
        <f aca="false">$K$3</f>
        <v>69.07</v>
      </c>
      <c r="E96" s="8" t="n">
        <f aca="false">$K$3+2.66*$K$4</f>
        <v>74.3093939393939</v>
      </c>
      <c r="F96" s="8" t="n">
        <f aca="false">$K$3-2.66*$K$4</f>
        <v>63.8306060606061</v>
      </c>
      <c r="G96" s="8" t="n">
        <f aca="false">$K$4</f>
        <v>1.96969696969697</v>
      </c>
      <c r="H96" s="8" t="n">
        <f aca="false">3.267*$K$4</f>
        <v>6.435</v>
      </c>
    </row>
    <row r="97" customFormat="false" ht="15" hidden="false" customHeight="false" outlineLevel="0" collapsed="false">
      <c r="A97" s="0" t="n">
        <v>96</v>
      </c>
      <c r="B97" s="0" t="n">
        <v>71</v>
      </c>
      <c r="C97" s="8" t="n">
        <f aca="false">ABS(B97-B96)</f>
        <v>4</v>
      </c>
      <c r="D97" s="8" t="n">
        <f aca="false">$K$3</f>
        <v>69.07</v>
      </c>
      <c r="E97" s="8" t="n">
        <f aca="false">$K$3+2.66*$K$4</f>
        <v>74.3093939393939</v>
      </c>
      <c r="F97" s="8" t="n">
        <f aca="false">$K$3-2.66*$K$4</f>
        <v>63.8306060606061</v>
      </c>
      <c r="G97" s="8" t="n">
        <f aca="false">$K$4</f>
        <v>1.96969696969697</v>
      </c>
      <c r="H97" s="8" t="n">
        <f aca="false">3.267*$K$4</f>
        <v>6.435</v>
      </c>
    </row>
    <row r="98" customFormat="false" ht="15" hidden="false" customHeight="false" outlineLevel="0" collapsed="false">
      <c r="A98" s="0" t="n">
        <v>97</v>
      </c>
      <c r="B98" s="0" t="n">
        <v>71</v>
      </c>
      <c r="C98" s="8" t="n">
        <f aca="false">ABS(B98-B97)</f>
        <v>0</v>
      </c>
      <c r="D98" s="8" t="n">
        <f aca="false">$K$3</f>
        <v>69.07</v>
      </c>
      <c r="E98" s="8" t="n">
        <f aca="false">$K$3+2.66*$K$4</f>
        <v>74.3093939393939</v>
      </c>
      <c r="F98" s="8" t="n">
        <f aca="false">$K$3-2.66*$K$4</f>
        <v>63.8306060606061</v>
      </c>
      <c r="G98" s="8" t="n">
        <f aca="false">$K$4</f>
        <v>1.96969696969697</v>
      </c>
      <c r="H98" s="8" t="n">
        <f aca="false">3.267*$K$4</f>
        <v>6.435</v>
      </c>
    </row>
    <row r="99" customFormat="false" ht="15" hidden="false" customHeight="false" outlineLevel="0" collapsed="false">
      <c r="A99" s="0" t="n">
        <v>98</v>
      </c>
      <c r="B99" s="0" t="n">
        <v>69</v>
      </c>
      <c r="C99" s="8" t="n">
        <f aca="false">ABS(B99-B98)</f>
        <v>2</v>
      </c>
      <c r="D99" s="8" t="n">
        <f aca="false">$K$3</f>
        <v>69.07</v>
      </c>
      <c r="E99" s="8" t="n">
        <f aca="false">$K$3+2.66*$K$4</f>
        <v>74.3093939393939</v>
      </c>
      <c r="F99" s="8" t="n">
        <f aca="false">$K$3-2.66*$K$4</f>
        <v>63.8306060606061</v>
      </c>
      <c r="G99" s="8" t="n">
        <f aca="false">$K$4</f>
        <v>1.96969696969697</v>
      </c>
      <c r="H99" s="8" t="n">
        <f aca="false">3.267*$K$4</f>
        <v>6.435</v>
      </c>
    </row>
    <row r="100" customFormat="false" ht="15" hidden="false" customHeight="false" outlineLevel="0" collapsed="false">
      <c r="A100" s="0" t="n">
        <v>99</v>
      </c>
      <c r="B100" s="0" t="n">
        <v>70</v>
      </c>
      <c r="C100" s="8" t="n">
        <f aca="false">ABS(B100-B99)</f>
        <v>1</v>
      </c>
      <c r="D100" s="8" t="n">
        <f aca="false">$K$3</f>
        <v>69.07</v>
      </c>
      <c r="E100" s="8" t="n">
        <f aca="false">$K$3+2.66*$K$4</f>
        <v>74.3093939393939</v>
      </c>
      <c r="F100" s="8" t="n">
        <f aca="false">$K$3-2.66*$K$4</f>
        <v>63.8306060606061</v>
      </c>
      <c r="G100" s="8" t="n">
        <f aca="false">$K$4</f>
        <v>1.96969696969697</v>
      </c>
      <c r="H100" s="8" t="n">
        <f aca="false">3.267*$K$4</f>
        <v>6.435</v>
      </c>
    </row>
    <row r="101" customFormat="false" ht="15" hidden="false" customHeight="false" outlineLevel="0" collapsed="false">
      <c r="A101" s="0" t="n">
        <v>100</v>
      </c>
      <c r="B101" s="0" t="n">
        <v>70</v>
      </c>
      <c r="C101" s="8" t="n">
        <f aca="false">ABS(B101-B100)</f>
        <v>0</v>
      </c>
      <c r="D101" s="8" t="n">
        <f aca="false">$K$3</f>
        <v>69.07</v>
      </c>
      <c r="E101" s="8" t="n">
        <f aca="false">$K$3+2.66*$K$4</f>
        <v>74.3093939393939</v>
      </c>
      <c r="F101" s="8" t="n">
        <f aca="false">$K$3-2.66*$K$4</f>
        <v>63.8306060606061</v>
      </c>
      <c r="G101" s="8" t="n">
        <f aca="false">$K$4</f>
        <v>1.96969696969697</v>
      </c>
      <c r="H101" s="8" t="n">
        <f aca="false">3.267*$K$4</f>
        <v>6.435</v>
      </c>
    </row>
  </sheetData>
  <mergeCells count="1">
    <mergeCell ref="J10:M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0" style="0" width="38"/>
  </cols>
  <sheetData>
    <row r="1" customFormat="false" ht="28.35" hidden="false" customHeight="false" outlineLevel="0" collapsed="false">
      <c r="A1" s="1" t="s">
        <v>46</v>
      </c>
      <c r="B1" s="1" t="s">
        <v>69</v>
      </c>
      <c r="C1" s="1" t="s">
        <v>48</v>
      </c>
      <c r="D1" s="1" t="s">
        <v>9</v>
      </c>
      <c r="E1" s="1" t="s">
        <v>10</v>
      </c>
      <c r="F1" s="1" t="s">
        <v>11</v>
      </c>
      <c r="G1" s="1" t="s">
        <v>49</v>
      </c>
      <c r="H1" s="1" t="s">
        <v>50</v>
      </c>
    </row>
    <row r="2" customFormat="false" ht="15" hidden="false" customHeight="false" outlineLevel="0" collapsed="false">
      <c r="A2" s="0" t="n">
        <v>1</v>
      </c>
      <c r="B2" s="0" t="n">
        <v>67</v>
      </c>
      <c r="D2" s="8" t="n">
        <f aca="false">$K$3</f>
        <v>69.05</v>
      </c>
      <c r="E2" s="8" t="n">
        <f aca="false">$K$3+2.66*$K$4</f>
        <v>77.1374747474747</v>
      </c>
      <c r="F2" s="8" t="n">
        <f aca="false">$K$3-2.66*$K$4</f>
        <v>60.9625252525253</v>
      </c>
      <c r="G2" s="8" t="n">
        <f aca="false">$K$4</f>
        <v>3.04040404040404</v>
      </c>
      <c r="H2" s="8" t="n">
        <f aca="false">3.267*$K$4</f>
        <v>9.933</v>
      </c>
      <c r="J2" s="3" t="s">
        <v>51</v>
      </c>
      <c r="K2" s="4" t="n">
        <v>100</v>
      </c>
    </row>
    <row r="3" customFormat="false" ht="15" hidden="false" customHeight="false" outlineLevel="0" collapsed="false">
      <c r="A3" s="0" t="n">
        <v>2</v>
      </c>
      <c r="B3" s="0" t="n">
        <v>69</v>
      </c>
      <c r="C3" s="8" t="n">
        <f aca="false">ABS(B3-B2)</f>
        <v>2</v>
      </c>
      <c r="D3" s="8" t="n">
        <f aca="false">$K$3</f>
        <v>69.05</v>
      </c>
      <c r="E3" s="8" t="n">
        <f aca="false">$K$3+2.66*$K$4</f>
        <v>77.1374747474747</v>
      </c>
      <c r="F3" s="8" t="n">
        <f aca="false">$K$3-2.66*$K$4</f>
        <v>60.9625252525253</v>
      </c>
      <c r="G3" s="8" t="n">
        <f aca="false">$K$4</f>
        <v>3.04040404040404</v>
      </c>
      <c r="H3" s="8" t="n">
        <f aca="false">3.267*$K$4</f>
        <v>9.933</v>
      </c>
      <c r="J3" s="3" t="s">
        <v>7</v>
      </c>
      <c r="K3" s="2" t="n">
        <f aca="true">AVERAGE(OFFSET(B2,0,0,K2,1))</f>
        <v>69.05</v>
      </c>
    </row>
    <row r="4" customFormat="false" ht="15" hidden="false" customHeight="false" outlineLevel="0" collapsed="false">
      <c r="A4" s="0" t="n">
        <v>3</v>
      </c>
      <c r="B4" s="0" t="n">
        <v>68</v>
      </c>
      <c r="C4" s="8" t="n">
        <f aca="false">ABS(B4-B3)</f>
        <v>1</v>
      </c>
      <c r="D4" s="8" t="n">
        <f aca="false">$K$3</f>
        <v>69.05</v>
      </c>
      <c r="E4" s="8" t="n">
        <f aca="false">$K$3+2.66*$K$4</f>
        <v>77.1374747474747</v>
      </c>
      <c r="F4" s="8" t="n">
        <f aca="false">$K$3-2.66*$K$4</f>
        <v>60.9625252525253</v>
      </c>
      <c r="G4" s="8" t="n">
        <f aca="false">$K$4</f>
        <v>3.04040404040404</v>
      </c>
      <c r="H4" s="8" t="n">
        <f aca="false">3.267*$K$4</f>
        <v>9.933</v>
      </c>
      <c r="J4" s="3" t="s">
        <v>49</v>
      </c>
      <c r="K4" s="2" t="n">
        <f aca="true">AVERAGE(OFFSET(C3,0,0,K2-1,1))</f>
        <v>3.04040404040404</v>
      </c>
    </row>
    <row r="5" customFormat="false" ht="15" hidden="false" customHeight="false" outlineLevel="0" collapsed="false">
      <c r="A5" s="0" t="n">
        <v>4</v>
      </c>
      <c r="B5" s="0" t="n">
        <v>71</v>
      </c>
      <c r="C5" s="8" t="n">
        <f aca="false">ABS(B5-B4)</f>
        <v>3</v>
      </c>
      <c r="D5" s="8" t="n">
        <f aca="false">$K$3</f>
        <v>69.05</v>
      </c>
      <c r="E5" s="8" t="n">
        <f aca="false">$K$3+2.66*$K$4</f>
        <v>77.1374747474747</v>
      </c>
      <c r="F5" s="8" t="n">
        <f aca="false">$K$3-2.66*$K$4</f>
        <v>60.9625252525253</v>
      </c>
      <c r="G5" s="8" t="n">
        <f aca="false">$K$4</f>
        <v>3.04040404040404</v>
      </c>
      <c r="H5" s="8" t="n">
        <f aca="false">3.267*$K$4</f>
        <v>9.933</v>
      </c>
      <c r="J5" s="3" t="s">
        <v>52</v>
      </c>
      <c r="K5" s="2" t="n">
        <f aca="false">K4/1.128</f>
        <v>2.69539365284046</v>
      </c>
    </row>
    <row r="6" customFormat="false" ht="15" hidden="false" customHeight="false" outlineLevel="0" collapsed="false">
      <c r="A6" s="0" t="n">
        <v>5</v>
      </c>
      <c r="B6" s="0" t="n">
        <v>69</v>
      </c>
      <c r="C6" s="8" t="n">
        <f aca="false">ABS(B6-B5)</f>
        <v>2</v>
      </c>
      <c r="D6" s="8" t="n">
        <f aca="false">$K$3</f>
        <v>69.05</v>
      </c>
      <c r="E6" s="8" t="n">
        <f aca="false">$K$3+2.66*$K$4</f>
        <v>77.1374747474747</v>
      </c>
      <c r="F6" s="8" t="n">
        <f aca="false">$K$3-2.66*$K$4</f>
        <v>60.9625252525253</v>
      </c>
      <c r="G6" s="8" t="n">
        <f aca="false">$K$4</f>
        <v>3.04040404040404</v>
      </c>
      <c r="H6" s="8" t="n">
        <f aca="false">3.267*$K$4</f>
        <v>9.933</v>
      </c>
      <c r="J6" s="3" t="s">
        <v>53</v>
      </c>
      <c r="K6" s="2" t="n">
        <f aca="true">_xlfn.STDEV.S(OFFSET(B2,0,0,K2,1))</f>
        <v>2.43034270352263</v>
      </c>
    </row>
    <row r="7" customFormat="false" ht="15" hidden="false" customHeight="false" outlineLevel="0" collapsed="false">
      <c r="A7" s="0" t="n">
        <v>6</v>
      </c>
      <c r="B7" s="0" t="n">
        <v>69</v>
      </c>
      <c r="C7" s="8" t="n">
        <f aca="false">ABS(B7-B6)</f>
        <v>0</v>
      </c>
      <c r="D7" s="8" t="n">
        <f aca="false">$K$3</f>
        <v>69.05</v>
      </c>
      <c r="E7" s="8" t="n">
        <f aca="false">$K$3+2.66*$K$4</f>
        <v>77.1374747474747</v>
      </c>
      <c r="F7" s="8" t="n">
        <f aca="false">$K$3-2.66*$K$4</f>
        <v>60.9625252525253</v>
      </c>
      <c r="G7" s="8" t="n">
        <f aca="false">$K$4</f>
        <v>3.04040404040404</v>
      </c>
      <c r="H7" s="8" t="n">
        <f aca="false">3.267*$K$4</f>
        <v>9.933</v>
      </c>
      <c r="J7" s="3" t="s">
        <v>54</v>
      </c>
      <c r="K7" s="6" t="n">
        <f aca="false">SUMPRODUCT((B2:B101&gt;E2:E101)+(B2:B101&lt;F2:F101))</f>
        <v>0</v>
      </c>
    </row>
    <row r="8" customFormat="false" ht="15" hidden="false" customHeight="false" outlineLevel="0" collapsed="false">
      <c r="A8" s="0" t="n">
        <v>7</v>
      </c>
      <c r="B8" s="0" t="n">
        <v>70</v>
      </c>
      <c r="C8" s="8" t="n">
        <f aca="false">ABS(B8-B7)</f>
        <v>1</v>
      </c>
      <c r="D8" s="8" t="n">
        <f aca="false">$K$3</f>
        <v>69.05</v>
      </c>
      <c r="E8" s="8" t="n">
        <f aca="false">$K$3+2.66*$K$4</f>
        <v>77.1374747474747</v>
      </c>
      <c r="F8" s="8" t="n">
        <f aca="false">$K$3-2.66*$K$4</f>
        <v>60.9625252525253</v>
      </c>
      <c r="G8" s="8" t="n">
        <f aca="false">$K$4</f>
        <v>3.04040404040404</v>
      </c>
      <c r="H8" s="8" t="n">
        <f aca="false">3.267*$K$4</f>
        <v>9.933</v>
      </c>
      <c r="J8" s="3" t="s">
        <v>55</v>
      </c>
      <c r="K8" s="6" t="n">
        <f aca="false">SUMPRODUCT(--(C3:C101&gt;H3:H101))</f>
        <v>3</v>
      </c>
    </row>
    <row r="9" customFormat="false" ht="15" hidden="false" customHeight="false" outlineLevel="0" collapsed="false">
      <c r="A9" s="0" t="n">
        <v>8</v>
      </c>
      <c r="B9" s="0" t="n">
        <v>68</v>
      </c>
      <c r="C9" s="8" t="n">
        <f aca="false">ABS(B9-B8)</f>
        <v>2</v>
      </c>
      <c r="D9" s="8" t="n">
        <f aca="false">$K$3</f>
        <v>69.05</v>
      </c>
      <c r="E9" s="8" t="n">
        <f aca="false">$K$3+2.66*$K$4</f>
        <v>77.1374747474747</v>
      </c>
      <c r="F9" s="8" t="n">
        <f aca="false">$K$3-2.66*$K$4</f>
        <v>60.9625252525253</v>
      </c>
      <c r="G9" s="8" t="n">
        <f aca="false">$K$4</f>
        <v>3.04040404040404</v>
      </c>
      <c r="H9" s="8" t="n">
        <f aca="false">3.267*$K$4</f>
        <v>9.933</v>
      </c>
      <c r="J9" s="3" t="s">
        <v>67</v>
      </c>
      <c r="K9" s="6" t="n">
        <f aca="false">COUNTIF(B2:B101,"&lt;66.5")+COUNTIF(B2:B101,"&gt;71.5")</f>
        <v>32</v>
      </c>
    </row>
    <row r="10" customFormat="false" ht="15" hidden="false" customHeight="true" outlineLevel="0" collapsed="false">
      <c r="A10" s="0" t="n">
        <v>9</v>
      </c>
      <c r="B10" s="0" t="n">
        <v>68</v>
      </c>
      <c r="C10" s="8" t="n">
        <f aca="false">ABS(B10-B9)</f>
        <v>0</v>
      </c>
      <c r="D10" s="8" t="n">
        <f aca="false">$K$3</f>
        <v>69.05</v>
      </c>
      <c r="E10" s="8" t="n">
        <f aca="false">$K$3+2.66*$K$4</f>
        <v>77.1374747474747</v>
      </c>
      <c r="F10" s="8" t="n">
        <f aca="false">$K$3-2.66*$K$4</f>
        <v>60.9625252525253</v>
      </c>
      <c r="G10" s="8" t="n">
        <f aca="false">$K$4</f>
        <v>3.04040404040404</v>
      </c>
      <c r="H10" s="8" t="n">
        <f aca="false">3.267*$K$4</f>
        <v>9.933</v>
      </c>
      <c r="J10" s="7" t="s">
        <v>70</v>
      </c>
      <c r="K10" s="7"/>
      <c r="L10" s="7"/>
      <c r="M10" s="7"/>
    </row>
    <row r="11" customFormat="false" ht="15" hidden="false" customHeight="false" outlineLevel="0" collapsed="false">
      <c r="A11" s="0" t="n">
        <v>10</v>
      </c>
      <c r="B11" s="0" t="n">
        <v>70</v>
      </c>
      <c r="C11" s="8" t="n">
        <f aca="false">ABS(B11-B10)</f>
        <v>2</v>
      </c>
      <c r="D11" s="8" t="n">
        <f aca="false">$K$3</f>
        <v>69.05</v>
      </c>
      <c r="E11" s="8" t="n">
        <f aca="false">$K$3+2.66*$K$4</f>
        <v>77.1374747474747</v>
      </c>
      <c r="F11" s="8" t="n">
        <f aca="false">$K$3-2.66*$K$4</f>
        <v>60.9625252525253</v>
      </c>
      <c r="G11" s="8" t="n">
        <f aca="false">$K$4</f>
        <v>3.04040404040404</v>
      </c>
      <c r="H11" s="8" t="n">
        <f aca="false">3.267*$K$4</f>
        <v>9.933</v>
      </c>
      <c r="J11" s="7"/>
      <c r="K11" s="7"/>
      <c r="L11" s="7"/>
      <c r="M11" s="7"/>
    </row>
    <row r="12" customFormat="false" ht="15" hidden="false" customHeight="false" outlineLevel="0" collapsed="false">
      <c r="A12" s="0" t="n">
        <v>11</v>
      </c>
      <c r="B12" s="0" t="n">
        <v>69</v>
      </c>
      <c r="C12" s="8" t="n">
        <f aca="false">ABS(B12-B11)</f>
        <v>1</v>
      </c>
      <c r="D12" s="8" t="n">
        <f aca="false">$K$3</f>
        <v>69.05</v>
      </c>
      <c r="E12" s="8" t="n">
        <f aca="false">$K$3+2.66*$K$4</f>
        <v>77.1374747474747</v>
      </c>
      <c r="F12" s="8" t="n">
        <f aca="false">$K$3-2.66*$K$4</f>
        <v>60.9625252525253</v>
      </c>
      <c r="G12" s="8" t="n">
        <f aca="false">$K$4</f>
        <v>3.04040404040404</v>
      </c>
      <c r="H12" s="8" t="n">
        <f aca="false">3.267*$K$4</f>
        <v>9.933</v>
      </c>
      <c r="J12" s="7"/>
      <c r="K12" s="7"/>
      <c r="L12" s="7"/>
      <c r="M12" s="7"/>
    </row>
    <row r="13" customFormat="false" ht="15" hidden="false" customHeight="false" outlineLevel="0" collapsed="false">
      <c r="A13" s="0" t="n">
        <v>12</v>
      </c>
      <c r="B13" s="0" t="n">
        <v>72</v>
      </c>
      <c r="C13" s="8" t="n">
        <f aca="false">ABS(B13-B12)</f>
        <v>3</v>
      </c>
      <c r="D13" s="8" t="n">
        <f aca="false">$K$3</f>
        <v>69.05</v>
      </c>
      <c r="E13" s="8" t="n">
        <f aca="false">$K$3+2.66*$K$4</f>
        <v>77.1374747474747</v>
      </c>
      <c r="F13" s="8" t="n">
        <f aca="false">$K$3-2.66*$K$4</f>
        <v>60.9625252525253</v>
      </c>
      <c r="G13" s="8" t="n">
        <f aca="false">$K$4</f>
        <v>3.04040404040404</v>
      </c>
      <c r="H13" s="8" t="n">
        <f aca="false">3.267*$K$4</f>
        <v>9.933</v>
      </c>
      <c r="J13" s="7"/>
      <c r="K13" s="7"/>
      <c r="L13" s="7"/>
      <c r="M13" s="7"/>
    </row>
    <row r="14" customFormat="false" ht="15" hidden="false" customHeight="false" outlineLevel="0" collapsed="false">
      <c r="A14" s="0" t="n">
        <v>13</v>
      </c>
      <c r="B14" s="0" t="n">
        <v>63</v>
      </c>
      <c r="C14" s="8" t="n">
        <f aca="false">ABS(B14-B13)</f>
        <v>9</v>
      </c>
      <c r="D14" s="8" t="n">
        <f aca="false">$K$3</f>
        <v>69.05</v>
      </c>
      <c r="E14" s="8" t="n">
        <f aca="false">$K$3+2.66*$K$4</f>
        <v>77.1374747474747</v>
      </c>
      <c r="F14" s="8" t="n">
        <f aca="false">$K$3-2.66*$K$4</f>
        <v>60.9625252525253</v>
      </c>
      <c r="G14" s="8" t="n">
        <f aca="false">$K$4</f>
        <v>3.04040404040404</v>
      </c>
      <c r="H14" s="8" t="n">
        <f aca="false">3.267*$K$4</f>
        <v>9.933</v>
      </c>
      <c r="J14" s="7"/>
      <c r="K14" s="7"/>
      <c r="L14" s="7"/>
      <c r="M14" s="7"/>
    </row>
    <row r="15" customFormat="false" ht="15" hidden="false" customHeight="false" outlineLevel="0" collapsed="false">
      <c r="A15" s="0" t="n">
        <v>14</v>
      </c>
      <c r="B15" s="0" t="n">
        <v>72</v>
      </c>
      <c r="C15" s="8" t="n">
        <f aca="false">ABS(B15-B14)</f>
        <v>9</v>
      </c>
      <c r="D15" s="8" t="n">
        <f aca="false">$K$3</f>
        <v>69.05</v>
      </c>
      <c r="E15" s="8" t="n">
        <f aca="false">$K$3+2.66*$K$4</f>
        <v>77.1374747474747</v>
      </c>
      <c r="F15" s="8" t="n">
        <f aca="false">$K$3-2.66*$K$4</f>
        <v>60.9625252525253</v>
      </c>
      <c r="G15" s="8" t="n">
        <f aca="false">$K$4</f>
        <v>3.04040404040404</v>
      </c>
      <c r="H15" s="8" t="n">
        <f aca="false">3.267*$K$4</f>
        <v>9.933</v>
      </c>
      <c r="J15" s="7"/>
      <c r="K15" s="7"/>
      <c r="L15" s="7"/>
      <c r="M15" s="7"/>
    </row>
    <row r="16" customFormat="false" ht="15" hidden="false" customHeight="false" outlineLevel="0" collapsed="false">
      <c r="A16" s="0" t="n">
        <v>15</v>
      </c>
      <c r="B16" s="0" t="n">
        <v>68</v>
      </c>
      <c r="C16" s="8" t="n">
        <f aca="false">ABS(B16-B15)</f>
        <v>4</v>
      </c>
      <c r="D16" s="8" t="n">
        <f aca="false">$K$3</f>
        <v>69.05</v>
      </c>
      <c r="E16" s="8" t="n">
        <f aca="false">$K$3+2.66*$K$4</f>
        <v>77.1374747474747</v>
      </c>
      <c r="F16" s="8" t="n">
        <f aca="false">$K$3-2.66*$K$4</f>
        <v>60.9625252525253</v>
      </c>
      <c r="G16" s="8" t="n">
        <f aca="false">$K$4</f>
        <v>3.04040404040404</v>
      </c>
      <c r="H16" s="8" t="n">
        <f aca="false">3.267*$K$4</f>
        <v>9.933</v>
      </c>
      <c r="J16" s="7"/>
      <c r="K16" s="7"/>
      <c r="L16" s="7"/>
      <c r="M16" s="7"/>
    </row>
    <row r="17" customFormat="false" ht="15" hidden="false" customHeight="false" outlineLevel="0" collapsed="false">
      <c r="A17" s="0" t="n">
        <v>16</v>
      </c>
      <c r="B17" s="0" t="n">
        <v>68</v>
      </c>
      <c r="C17" s="8" t="n">
        <f aca="false">ABS(B17-B16)</f>
        <v>0</v>
      </c>
      <c r="D17" s="8" t="n">
        <f aca="false">$K$3</f>
        <v>69.05</v>
      </c>
      <c r="E17" s="8" t="n">
        <f aca="false">$K$3+2.66*$K$4</f>
        <v>77.1374747474747</v>
      </c>
      <c r="F17" s="8" t="n">
        <f aca="false">$K$3-2.66*$K$4</f>
        <v>60.9625252525253</v>
      </c>
      <c r="G17" s="8" t="n">
        <f aca="false">$K$4</f>
        <v>3.04040404040404</v>
      </c>
      <c r="H17" s="8" t="n">
        <f aca="false">3.267*$K$4</f>
        <v>9.933</v>
      </c>
      <c r="J17" s="7"/>
      <c r="K17" s="7"/>
      <c r="L17" s="7"/>
      <c r="M17" s="7"/>
    </row>
    <row r="18" customFormat="false" ht="15" hidden="false" customHeight="false" outlineLevel="0" collapsed="false">
      <c r="A18" s="0" t="n">
        <v>17</v>
      </c>
      <c r="B18" s="0" t="n">
        <v>70</v>
      </c>
      <c r="C18" s="8" t="n">
        <f aca="false">ABS(B18-B17)</f>
        <v>2</v>
      </c>
      <c r="D18" s="8" t="n">
        <f aca="false">$K$3</f>
        <v>69.05</v>
      </c>
      <c r="E18" s="8" t="n">
        <f aca="false">$K$3+2.66*$K$4</f>
        <v>77.1374747474747</v>
      </c>
      <c r="F18" s="8" t="n">
        <f aca="false">$K$3-2.66*$K$4</f>
        <v>60.9625252525253</v>
      </c>
      <c r="G18" s="8" t="n">
        <f aca="false">$K$4</f>
        <v>3.04040404040404</v>
      </c>
      <c r="H18" s="8" t="n">
        <f aca="false">3.267*$K$4</f>
        <v>9.933</v>
      </c>
    </row>
    <row r="19" customFormat="false" ht="15" hidden="false" customHeight="false" outlineLevel="0" collapsed="false">
      <c r="A19" s="0" t="n">
        <v>18</v>
      </c>
      <c r="B19" s="0" t="n">
        <v>67</v>
      </c>
      <c r="C19" s="8" t="n">
        <f aca="false">ABS(B19-B18)</f>
        <v>3</v>
      </c>
      <c r="D19" s="8" t="n">
        <f aca="false">$K$3</f>
        <v>69.05</v>
      </c>
      <c r="E19" s="8" t="n">
        <f aca="false">$K$3+2.66*$K$4</f>
        <v>77.1374747474747</v>
      </c>
      <c r="F19" s="8" t="n">
        <f aca="false">$K$3-2.66*$K$4</f>
        <v>60.9625252525253</v>
      </c>
      <c r="G19" s="8" t="n">
        <f aca="false">$K$4</f>
        <v>3.04040404040404</v>
      </c>
      <c r="H19" s="8" t="n">
        <f aca="false">3.267*$K$4</f>
        <v>9.933</v>
      </c>
    </row>
    <row r="20" customFormat="false" ht="15" hidden="false" customHeight="false" outlineLevel="0" collapsed="false">
      <c r="A20" s="0" t="n">
        <v>19</v>
      </c>
      <c r="B20" s="0" t="n">
        <v>65</v>
      </c>
      <c r="C20" s="8" t="n">
        <f aca="false">ABS(B20-B19)</f>
        <v>2</v>
      </c>
      <c r="D20" s="8" t="n">
        <f aca="false">$K$3</f>
        <v>69.05</v>
      </c>
      <c r="E20" s="8" t="n">
        <f aca="false">$K$3+2.66*$K$4</f>
        <v>77.1374747474747</v>
      </c>
      <c r="F20" s="8" t="n">
        <f aca="false">$K$3-2.66*$K$4</f>
        <v>60.9625252525253</v>
      </c>
      <c r="G20" s="8" t="n">
        <f aca="false">$K$4</f>
        <v>3.04040404040404</v>
      </c>
      <c r="H20" s="8" t="n">
        <f aca="false">3.267*$K$4</f>
        <v>9.933</v>
      </c>
    </row>
    <row r="21" customFormat="false" ht="15" hidden="false" customHeight="false" outlineLevel="0" collapsed="false">
      <c r="A21" s="0" t="n">
        <v>20</v>
      </c>
      <c r="B21" s="0" t="n">
        <v>73</v>
      </c>
      <c r="C21" s="8" t="n">
        <f aca="false">ABS(B21-B20)</f>
        <v>8</v>
      </c>
      <c r="D21" s="8" t="n">
        <f aca="false">$K$3</f>
        <v>69.05</v>
      </c>
      <c r="E21" s="8" t="n">
        <f aca="false">$K$3+2.66*$K$4</f>
        <v>77.1374747474747</v>
      </c>
      <c r="F21" s="8" t="n">
        <f aca="false">$K$3-2.66*$K$4</f>
        <v>60.9625252525253</v>
      </c>
      <c r="G21" s="8" t="n">
        <f aca="false">$K$4</f>
        <v>3.04040404040404</v>
      </c>
      <c r="H21" s="8" t="n">
        <f aca="false">3.267*$K$4</f>
        <v>9.933</v>
      </c>
    </row>
    <row r="22" customFormat="false" ht="15" hidden="false" customHeight="false" outlineLevel="0" collapsed="false">
      <c r="A22" s="0" t="n">
        <v>21</v>
      </c>
      <c r="B22" s="0" t="n">
        <v>67</v>
      </c>
      <c r="C22" s="8" t="n">
        <f aca="false">ABS(B22-B21)</f>
        <v>6</v>
      </c>
      <c r="D22" s="8" t="n">
        <f aca="false">$K$3</f>
        <v>69.05</v>
      </c>
      <c r="E22" s="8" t="n">
        <f aca="false">$K$3+2.66*$K$4</f>
        <v>77.1374747474747</v>
      </c>
      <c r="F22" s="8" t="n">
        <f aca="false">$K$3-2.66*$K$4</f>
        <v>60.9625252525253</v>
      </c>
      <c r="G22" s="8" t="n">
        <f aca="false">$K$4</f>
        <v>3.04040404040404</v>
      </c>
      <c r="H22" s="8" t="n">
        <f aca="false">3.267*$K$4</f>
        <v>9.933</v>
      </c>
    </row>
    <row r="23" customFormat="false" ht="15" hidden="false" customHeight="false" outlineLevel="0" collapsed="false">
      <c r="A23" s="0" t="n">
        <v>22</v>
      </c>
      <c r="B23" s="0" t="n">
        <v>70</v>
      </c>
      <c r="C23" s="8" t="n">
        <f aca="false">ABS(B23-B22)</f>
        <v>3</v>
      </c>
      <c r="D23" s="8" t="n">
        <f aca="false">$K$3</f>
        <v>69.05</v>
      </c>
      <c r="E23" s="8" t="n">
        <f aca="false">$K$3+2.66*$K$4</f>
        <v>77.1374747474747</v>
      </c>
      <c r="F23" s="8" t="n">
        <f aca="false">$K$3-2.66*$K$4</f>
        <v>60.9625252525253</v>
      </c>
      <c r="G23" s="8" t="n">
        <f aca="false">$K$4</f>
        <v>3.04040404040404</v>
      </c>
      <c r="H23" s="8" t="n">
        <f aca="false">3.267*$K$4</f>
        <v>9.933</v>
      </c>
    </row>
    <row r="24" customFormat="false" ht="15" hidden="false" customHeight="false" outlineLevel="0" collapsed="false">
      <c r="A24" s="0" t="n">
        <v>23</v>
      </c>
      <c r="B24" s="0" t="n">
        <v>71</v>
      </c>
      <c r="C24" s="8" t="n">
        <f aca="false">ABS(B24-B23)</f>
        <v>1</v>
      </c>
      <c r="D24" s="8" t="n">
        <f aca="false">$K$3</f>
        <v>69.05</v>
      </c>
      <c r="E24" s="8" t="n">
        <f aca="false">$K$3+2.66*$K$4</f>
        <v>77.1374747474747</v>
      </c>
      <c r="F24" s="8" t="n">
        <f aca="false">$K$3-2.66*$K$4</f>
        <v>60.9625252525253</v>
      </c>
      <c r="G24" s="8" t="n">
        <f aca="false">$K$4</f>
        <v>3.04040404040404</v>
      </c>
      <c r="H24" s="8" t="n">
        <f aca="false">3.267*$K$4</f>
        <v>9.933</v>
      </c>
    </row>
    <row r="25" customFormat="false" ht="15" hidden="false" customHeight="false" outlineLevel="0" collapsed="false">
      <c r="A25" s="0" t="n">
        <v>24</v>
      </c>
      <c r="B25" s="0" t="n">
        <v>68</v>
      </c>
      <c r="C25" s="8" t="n">
        <f aca="false">ABS(B25-B24)</f>
        <v>3</v>
      </c>
      <c r="D25" s="8" t="n">
        <f aca="false">$K$3</f>
        <v>69.05</v>
      </c>
      <c r="E25" s="8" t="n">
        <f aca="false">$K$3+2.66*$K$4</f>
        <v>77.1374747474747</v>
      </c>
      <c r="F25" s="8" t="n">
        <f aca="false">$K$3-2.66*$K$4</f>
        <v>60.9625252525253</v>
      </c>
      <c r="G25" s="8" t="n">
        <f aca="false">$K$4</f>
        <v>3.04040404040404</v>
      </c>
      <c r="H25" s="8" t="n">
        <f aca="false">3.267*$K$4</f>
        <v>9.933</v>
      </c>
    </row>
    <row r="26" customFormat="false" ht="15" hidden="false" customHeight="false" outlineLevel="0" collapsed="false">
      <c r="A26" s="0" t="n">
        <v>25</v>
      </c>
      <c r="B26" s="0" t="n">
        <v>69</v>
      </c>
      <c r="C26" s="8" t="n">
        <f aca="false">ABS(B26-B25)</f>
        <v>1</v>
      </c>
      <c r="D26" s="8" t="n">
        <f aca="false">$K$3</f>
        <v>69.05</v>
      </c>
      <c r="E26" s="8" t="n">
        <f aca="false">$K$3+2.66*$K$4</f>
        <v>77.1374747474747</v>
      </c>
      <c r="F26" s="8" t="n">
        <f aca="false">$K$3-2.66*$K$4</f>
        <v>60.9625252525253</v>
      </c>
      <c r="G26" s="8" t="n">
        <f aca="false">$K$4</f>
        <v>3.04040404040404</v>
      </c>
      <c r="H26" s="8" t="n">
        <f aca="false">3.267*$K$4</f>
        <v>9.933</v>
      </c>
    </row>
    <row r="27" customFormat="false" ht="15" hidden="false" customHeight="false" outlineLevel="0" collapsed="false">
      <c r="A27" s="0" t="n">
        <v>26</v>
      </c>
      <c r="B27" s="0" t="n">
        <v>68</v>
      </c>
      <c r="C27" s="8" t="n">
        <f aca="false">ABS(B27-B26)</f>
        <v>1</v>
      </c>
      <c r="D27" s="8" t="n">
        <f aca="false">$K$3</f>
        <v>69.05</v>
      </c>
      <c r="E27" s="8" t="n">
        <f aca="false">$K$3+2.66*$K$4</f>
        <v>77.1374747474747</v>
      </c>
      <c r="F27" s="8" t="n">
        <f aca="false">$K$3-2.66*$K$4</f>
        <v>60.9625252525253</v>
      </c>
      <c r="G27" s="8" t="n">
        <f aca="false">$K$4</f>
        <v>3.04040404040404</v>
      </c>
      <c r="H27" s="8" t="n">
        <f aca="false">3.267*$K$4</f>
        <v>9.933</v>
      </c>
    </row>
    <row r="28" customFormat="false" ht="15" hidden="false" customHeight="false" outlineLevel="0" collapsed="false">
      <c r="A28" s="0" t="n">
        <v>27</v>
      </c>
      <c r="B28" s="0" t="n">
        <v>69</v>
      </c>
      <c r="C28" s="8" t="n">
        <f aca="false">ABS(B28-B27)</f>
        <v>1</v>
      </c>
      <c r="D28" s="8" t="n">
        <f aca="false">$K$3</f>
        <v>69.05</v>
      </c>
      <c r="E28" s="8" t="n">
        <f aca="false">$K$3+2.66*$K$4</f>
        <v>77.1374747474747</v>
      </c>
      <c r="F28" s="8" t="n">
        <f aca="false">$K$3-2.66*$K$4</f>
        <v>60.9625252525253</v>
      </c>
      <c r="G28" s="8" t="n">
        <f aca="false">$K$4</f>
        <v>3.04040404040404</v>
      </c>
      <c r="H28" s="8" t="n">
        <f aca="false">3.267*$K$4</f>
        <v>9.933</v>
      </c>
    </row>
    <row r="29" customFormat="false" ht="15" hidden="false" customHeight="false" outlineLevel="0" collapsed="false">
      <c r="A29" s="0" t="n">
        <v>28</v>
      </c>
      <c r="B29" s="0" t="n">
        <v>68</v>
      </c>
      <c r="C29" s="8" t="n">
        <f aca="false">ABS(B29-B28)</f>
        <v>1</v>
      </c>
      <c r="D29" s="8" t="n">
        <f aca="false">$K$3</f>
        <v>69.05</v>
      </c>
      <c r="E29" s="8" t="n">
        <f aca="false">$K$3+2.66*$K$4</f>
        <v>77.1374747474747</v>
      </c>
      <c r="F29" s="8" t="n">
        <f aca="false">$K$3-2.66*$K$4</f>
        <v>60.9625252525253</v>
      </c>
      <c r="G29" s="8" t="n">
        <f aca="false">$K$4</f>
        <v>3.04040404040404</v>
      </c>
      <c r="H29" s="8" t="n">
        <f aca="false">3.267*$K$4</f>
        <v>9.933</v>
      </c>
    </row>
    <row r="30" customFormat="false" ht="15" hidden="false" customHeight="false" outlineLevel="0" collapsed="false">
      <c r="A30" s="0" t="n">
        <v>29</v>
      </c>
      <c r="B30" s="0" t="n">
        <v>68</v>
      </c>
      <c r="C30" s="8" t="n">
        <f aca="false">ABS(B30-B29)</f>
        <v>0</v>
      </c>
      <c r="D30" s="8" t="n">
        <f aca="false">$K$3</f>
        <v>69.05</v>
      </c>
      <c r="E30" s="8" t="n">
        <f aca="false">$K$3+2.66*$K$4</f>
        <v>77.1374747474747</v>
      </c>
      <c r="F30" s="8" t="n">
        <f aca="false">$K$3-2.66*$K$4</f>
        <v>60.9625252525253</v>
      </c>
      <c r="G30" s="8" t="n">
        <f aca="false">$K$4</f>
        <v>3.04040404040404</v>
      </c>
      <c r="H30" s="8" t="n">
        <f aca="false">3.267*$K$4</f>
        <v>9.933</v>
      </c>
    </row>
    <row r="31" customFormat="false" ht="15" hidden="false" customHeight="false" outlineLevel="0" collapsed="false">
      <c r="A31" s="0" t="n">
        <v>30</v>
      </c>
      <c r="B31" s="0" t="n">
        <v>70</v>
      </c>
      <c r="C31" s="8" t="n">
        <f aca="false">ABS(B31-B30)</f>
        <v>2</v>
      </c>
      <c r="D31" s="8" t="n">
        <f aca="false">$K$3</f>
        <v>69.05</v>
      </c>
      <c r="E31" s="8" t="n">
        <f aca="false">$K$3+2.66*$K$4</f>
        <v>77.1374747474747</v>
      </c>
      <c r="F31" s="8" t="n">
        <f aca="false">$K$3-2.66*$K$4</f>
        <v>60.9625252525253</v>
      </c>
      <c r="G31" s="8" t="n">
        <f aca="false">$K$4</f>
        <v>3.04040404040404</v>
      </c>
      <c r="H31" s="8" t="n">
        <f aca="false">3.267*$K$4</f>
        <v>9.933</v>
      </c>
    </row>
    <row r="32" customFormat="false" ht="15" hidden="false" customHeight="false" outlineLevel="0" collapsed="false">
      <c r="A32" s="0" t="n">
        <v>31</v>
      </c>
      <c r="B32" s="0" t="n">
        <v>71</v>
      </c>
      <c r="C32" s="8" t="n">
        <f aca="false">ABS(B32-B31)</f>
        <v>1</v>
      </c>
      <c r="D32" s="8" t="n">
        <f aca="false">$K$3</f>
        <v>69.05</v>
      </c>
      <c r="E32" s="8" t="n">
        <f aca="false">$K$3+2.66*$K$4</f>
        <v>77.1374747474747</v>
      </c>
      <c r="F32" s="8" t="n">
        <f aca="false">$K$3-2.66*$K$4</f>
        <v>60.9625252525253</v>
      </c>
      <c r="G32" s="8" t="n">
        <f aca="false">$K$4</f>
        <v>3.04040404040404</v>
      </c>
      <c r="H32" s="8" t="n">
        <f aca="false">3.267*$K$4</f>
        <v>9.933</v>
      </c>
    </row>
    <row r="33" customFormat="false" ht="15" hidden="false" customHeight="false" outlineLevel="0" collapsed="false">
      <c r="A33" s="0" t="n">
        <v>32</v>
      </c>
      <c r="B33" s="0" t="n">
        <v>70</v>
      </c>
      <c r="C33" s="8" t="n">
        <f aca="false">ABS(B33-B32)</f>
        <v>1</v>
      </c>
      <c r="D33" s="8" t="n">
        <f aca="false">$K$3</f>
        <v>69.05</v>
      </c>
      <c r="E33" s="8" t="n">
        <f aca="false">$K$3+2.66*$K$4</f>
        <v>77.1374747474747</v>
      </c>
      <c r="F33" s="8" t="n">
        <f aca="false">$K$3-2.66*$K$4</f>
        <v>60.9625252525253</v>
      </c>
      <c r="G33" s="8" t="n">
        <f aca="false">$K$4</f>
        <v>3.04040404040404</v>
      </c>
      <c r="H33" s="8" t="n">
        <f aca="false">3.267*$K$4</f>
        <v>9.933</v>
      </c>
    </row>
    <row r="34" customFormat="false" ht="15" hidden="false" customHeight="false" outlineLevel="0" collapsed="false">
      <c r="A34" s="0" t="n">
        <v>33</v>
      </c>
      <c r="B34" s="0" t="n">
        <v>72</v>
      </c>
      <c r="C34" s="8" t="n">
        <f aca="false">ABS(B34-B33)</f>
        <v>2</v>
      </c>
      <c r="D34" s="8" t="n">
        <f aca="false">$K$3</f>
        <v>69.05</v>
      </c>
      <c r="E34" s="8" t="n">
        <f aca="false">$K$3+2.66*$K$4</f>
        <v>77.1374747474747</v>
      </c>
      <c r="F34" s="8" t="n">
        <f aca="false">$K$3-2.66*$K$4</f>
        <v>60.9625252525253</v>
      </c>
      <c r="G34" s="8" t="n">
        <f aca="false">$K$4</f>
        <v>3.04040404040404</v>
      </c>
      <c r="H34" s="8" t="n">
        <f aca="false">3.267*$K$4</f>
        <v>9.933</v>
      </c>
    </row>
    <row r="35" customFormat="false" ht="15" hidden="false" customHeight="false" outlineLevel="0" collapsed="false">
      <c r="A35" s="0" t="n">
        <v>34</v>
      </c>
      <c r="B35" s="0" t="n">
        <v>66</v>
      </c>
      <c r="C35" s="8" t="n">
        <f aca="false">ABS(B35-B34)</f>
        <v>6</v>
      </c>
      <c r="D35" s="8" t="n">
        <f aca="false">$K$3</f>
        <v>69.05</v>
      </c>
      <c r="E35" s="8" t="n">
        <f aca="false">$K$3+2.66*$K$4</f>
        <v>77.1374747474747</v>
      </c>
      <c r="F35" s="8" t="n">
        <f aca="false">$K$3-2.66*$K$4</f>
        <v>60.9625252525253</v>
      </c>
      <c r="G35" s="8" t="n">
        <f aca="false">$K$4</f>
        <v>3.04040404040404</v>
      </c>
      <c r="H35" s="8" t="n">
        <f aca="false">3.267*$K$4</f>
        <v>9.933</v>
      </c>
    </row>
    <row r="36" customFormat="false" ht="15" hidden="false" customHeight="false" outlineLevel="0" collapsed="false">
      <c r="A36" s="0" t="n">
        <v>35</v>
      </c>
      <c r="B36" s="0" t="n">
        <v>68</v>
      </c>
      <c r="C36" s="8" t="n">
        <f aca="false">ABS(B36-B35)</f>
        <v>2</v>
      </c>
      <c r="D36" s="8" t="n">
        <f aca="false">$K$3</f>
        <v>69.05</v>
      </c>
      <c r="E36" s="8" t="n">
        <f aca="false">$K$3+2.66*$K$4</f>
        <v>77.1374747474747</v>
      </c>
      <c r="F36" s="8" t="n">
        <f aca="false">$K$3-2.66*$K$4</f>
        <v>60.9625252525253</v>
      </c>
      <c r="G36" s="8" t="n">
        <f aca="false">$K$4</f>
        <v>3.04040404040404</v>
      </c>
      <c r="H36" s="8" t="n">
        <f aca="false">3.267*$K$4</f>
        <v>9.933</v>
      </c>
    </row>
    <row r="37" customFormat="false" ht="15" hidden="false" customHeight="false" outlineLevel="0" collapsed="false">
      <c r="A37" s="0" t="n">
        <v>36</v>
      </c>
      <c r="B37" s="0" t="n">
        <v>66</v>
      </c>
      <c r="C37" s="8" t="n">
        <f aca="false">ABS(B37-B36)</f>
        <v>2</v>
      </c>
      <c r="D37" s="8" t="n">
        <f aca="false">$K$3</f>
        <v>69.05</v>
      </c>
      <c r="E37" s="8" t="n">
        <f aca="false">$K$3+2.66*$K$4</f>
        <v>77.1374747474747</v>
      </c>
      <c r="F37" s="8" t="n">
        <f aca="false">$K$3-2.66*$K$4</f>
        <v>60.9625252525253</v>
      </c>
      <c r="G37" s="8" t="n">
        <f aca="false">$K$4</f>
        <v>3.04040404040404</v>
      </c>
      <c r="H37" s="8" t="n">
        <f aca="false">3.267*$K$4</f>
        <v>9.933</v>
      </c>
    </row>
    <row r="38" customFormat="false" ht="15" hidden="false" customHeight="false" outlineLevel="0" collapsed="false">
      <c r="A38" s="0" t="n">
        <v>37</v>
      </c>
      <c r="B38" s="0" t="n">
        <v>70</v>
      </c>
      <c r="C38" s="8" t="n">
        <f aca="false">ABS(B38-B37)</f>
        <v>4</v>
      </c>
      <c r="D38" s="8" t="n">
        <f aca="false">$K$3</f>
        <v>69.05</v>
      </c>
      <c r="E38" s="8" t="n">
        <f aca="false">$K$3+2.66*$K$4</f>
        <v>77.1374747474747</v>
      </c>
      <c r="F38" s="8" t="n">
        <f aca="false">$K$3-2.66*$K$4</f>
        <v>60.9625252525253</v>
      </c>
      <c r="G38" s="8" t="n">
        <f aca="false">$K$4</f>
        <v>3.04040404040404</v>
      </c>
      <c r="H38" s="8" t="n">
        <f aca="false">3.267*$K$4</f>
        <v>9.933</v>
      </c>
    </row>
    <row r="39" customFormat="false" ht="15" hidden="false" customHeight="false" outlineLevel="0" collapsed="false">
      <c r="A39" s="0" t="n">
        <v>38</v>
      </c>
      <c r="B39" s="0" t="n">
        <v>71</v>
      </c>
      <c r="C39" s="8" t="n">
        <f aca="false">ABS(B39-B38)</f>
        <v>1</v>
      </c>
      <c r="D39" s="8" t="n">
        <f aca="false">$K$3</f>
        <v>69.05</v>
      </c>
      <c r="E39" s="8" t="n">
        <f aca="false">$K$3+2.66*$K$4</f>
        <v>77.1374747474747</v>
      </c>
      <c r="F39" s="8" t="n">
        <f aca="false">$K$3-2.66*$K$4</f>
        <v>60.9625252525253</v>
      </c>
      <c r="G39" s="8" t="n">
        <f aca="false">$K$4</f>
        <v>3.04040404040404</v>
      </c>
      <c r="H39" s="8" t="n">
        <f aca="false">3.267*$K$4</f>
        <v>9.933</v>
      </c>
    </row>
    <row r="40" customFormat="false" ht="15" hidden="false" customHeight="false" outlineLevel="0" collapsed="false">
      <c r="A40" s="0" t="n">
        <v>39</v>
      </c>
      <c r="B40" s="0" t="n">
        <v>73</v>
      </c>
      <c r="C40" s="8" t="n">
        <f aca="false">ABS(B40-B39)</f>
        <v>2</v>
      </c>
      <c r="D40" s="8" t="n">
        <f aca="false">$K$3</f>
        <v>69.05</v>
      </c>
      <c r="E40" s="8" t="n">
        <f aca="false">$K$3+2.66*$K$4</f>
        <v>77.1374747474747</v>
      </c>
      <c r="F40" s="8" t="n">
        <f aca="false">$K$3-2.66*$K$4</f>
        <v>60.9625252525253</v>
      </c>
      <c r="G40" s="8" t="n">
        <f aca="false">$K$4</f>
        <v>3.04040404040404</v>
      </c>
      <c r="H40" s="8" t="n">
        <f aca="false">3.267*$K$4</f>
        <v>9.933</v>
      </c>
    </row>
    <row r="41" customFormat="false" ht="15" hidden="false" customHeight="false" outlineLevel="0" collapsed="false">
      <c r="A41" s="0" t="n">
        <v>40</v>
      </c>
      <c r="B41" s="0" t="n">
        <v>69</v>
      </c>
      <c r="C41" s="8" t="n">
        <f aca="false">ABS(B41-B40)</f>
        <v>4</v>
      </c>
      <c r="D41" s="8" t="n">
        <f aca="false">$K$3</f>
        <v>69.05</v>
      </c>
      <c r="E41" s="8" t="n">
        <f aca="false">$K$3+2.66*$K$4</f>
        <v>77.1374747474747</v>
      </c>
      <c r="F41" s="8" t="n">
        <f aca="false">$K$3-2.66*$K$4</f>
        <v>60.9625252525253</v>
      </c>
      <c r="G41" s="8" t="n">
        <f aca="false">$K$4</f>
        <v>3.04040404040404</v>
      </c>
      <c r="H41" s="8" t="n">
        <f aca="false">3.267*$K$4</f>
        <v>9.933</v>
      </c>
    </row>
    <row r="42" customFormat="false" ht="15" hidden="false" customHeight="false" outlineLevel="0" collapsed="false">
      <c r="A42" s="0" t="n">
        <v>41</v>
      </c>
      <c r="B42" s="0" t="n">
        <v>71</v>
      </c>
      <c r="C42" s="8" t="n">
        <f aca="false">ABS(B42-B41)</f>
        <v>2</v>
      </c>
      <c r="D42" s="8" t="n">
        <f aca="false">$K$3</f>
        <v>69.05</v>
      </c>
      <c r="E42" s="8" t="n">
        <f aca="false">$K$3+2.66*$K$4</f>
        <v>77.1374747474747</v>
      </c>
      <c r="F42" s="8" t="n">
        <f aca="false">$K$3-2.66*$K$4</f>
        <v>60.9625252525253</v>
      </c>
      <c r="G42" s="8" t="n">
        <f aca="false">$K$4</f>
        <v>3.04040404040404</v>
      </c>
      <c r="H42" s="8" t="n">
        <f aca="false">3.267*$K$4</f>
        <v>9.933</v>
      </c>
    </row>
    <row r="43" customFormat="false" ht="15" hidden="false" customHeight="false" outlineLevel="0" collapsed="false">
      <c r="A43" s="0" t="n">
        <v>42</v>
      </c>
      <c r="B43" s="0" t="n">
        <v>68</v>
      </c>
      <c r="C43" s="8" t="n">
        <f aca="false">ABS(B43-B42)</f>
        <v>3</v>
      </c>
      <c r="D43" s="8" t="n">
        <f aca="false">$K$3</f>
        <v>69.05</v>
      </c>
      <c r="E43" s="8" t="n">
        <f aca="false">$K$3+2.66*$K$4</f>
        <v>77.1374747474747</v>
      </c>
      <c r="F43" s="8" t="n">
        <f aca="false">$K$3-2.66*$K$4</f>
        <v>60.9625252525253</v>
      </c>
      <c r="G43" s="8" t="n">
        <f aca="false">$K$4</f>
        <v>3.04040404040404</v>
      </c>
      <c r="H43" s="8" t="n">
        <f aca="false">3.267*$K$4</f>
        <v>9.933</v>
      </c>
    </row>
    <row r="44" customFormat="false" ht="15" hidden="false" customHeight="false" outlineLevel="0" collapsed="false">
      <c r="A44" s="0" t="n">
        <v>43</v>
      </c>
      <c r="B44" s="0" t="n">
        <v>70</v>
      </c>
      <c r="C44" s="8" t="n">
        <f aca="false">ABS(B44-B43)</f>
        <v>2</v>
      </c>
      <c r="D44" s="8" t="n">
        <f aca="false">$K$3</f>
        <v>69.05</v>
      </c>
      <c r="E44" s="8" t="n">
        <f aca="false">$K$3+2.66*$K$4</f>
        <v>77.1374747474747</v>
      </c>
      <c r="F44" s="8" t="n">
        <f aca="false">$K$3-2.66*$K$4</f>
        <v>60.9625252525253</v>
      </c>
      <c r="G44" s="8" t="n">
        <f aca="false">$K$4</f>
        <v>3.04040404040404</v>
      </c>
      <c r="H44" s="8" t="n">
        <f aca="false">3.267*$K$4</f>
        <v>9.933</v>
      </c>
    </row>
    <row r="45" customFormat="false" ht="15" hidden="false" customHeight="false" outlineLevel="0" collapsed="false">
      <c r="A45" s="0" t="n">
        <v>44</v>
      </c>
      <c r="B45" s="0" t="n">
        <v>67</v>
      </c>
      <c r="C45" s="8" t="n">
        <f aca="false">ABS(B45-B44)</f>
        <v>3</v>
      </c>
      <c r="D45" s="8" t="n">
        <f aca="false">$K$3</f>
        <v>69.05</v>
      </c>
      <c r="E45" s="8" t="n">
        <f aca="false">$K$3+2.66*$K$4</f>
        <v>77.1374747474747</v>
      </c>
      <c r="F45" s="8" t="n">
        <f aca="false">$K$3-2.66*$K$4</f>
        <v>60.9625252525253</v>
      </c>
      <c r="G45" s="8" t="n">
        <f aca="false">$K$4</f>
        <v>3.04040404040404</v>
      </c>
      <c r="H45" s="8" t="n">
        <f aca="false">3.267*$K$4</f>
        <v>9.933</v>
      </c>
    </row>
    <row r="46" customFormat="false" ht="15" hidden="false" customHeight="false" outlineLevel="0" collapsed="false">
      <c r="A46" s="0" t="n">
        <v>45</v>
      </c>
      <c r="B46" s="0" t="n">
        <v>68</v>
      </c>
      <c r="C46" s="8" t="n">
        <f aca="false">ABS(B46-B45)</f>
        <v>1</v>
      </c>
      <c r="D46" s="8" t="n">
        <f aca="false">$K$3</f>
        <v>69.05</v>
      </c>
      <c r="E46" s="8" t="n">
        <f aca="false">$K$3+2.66*$K$4</f>
        <v>77.1374747474747</v>
      </c>
      <c r="F46" s="8" t="n">
        <f aca="false">$K$3-2.66*$K$4</f>
        <v>60.9625252525253</v>
      </c>
      <c r="G46" s="8" t="n">
        <f aca="false">$K$4</f>
        <v>3.04040404040404</v>
      </c>
      <c r="H46" s="8" t="n">
        <f aca="false">3.267*$K$4</f>
        <v>9.933</v>
      </c>
    </row>
    <row r="47" customFormat="false" ht="15" hidden="false" customHeight="false" outlineLevel="0" collapsed="false">
      <c r="A47" s="0" t="n">
        <v>46</v>
      </c>
      <c r="B47" s="0" t="n">
        <v>68</v>
      </c>
      <c r="C47" s="8" t="n">
        <f aca="false">ABS(B47-B46)</f>
        <v>0</v>
      </c>
      <c r="D47" s="8" t="n">
        <f aca="false">$K$3</f>
        <v>69.05</v>
      </c>
      <c r="E47" s="8" t="n">
        <f aca="false">$K$3+2.66*$K$4</f>
        <v>77.1374747474747</v>
      </c>
      <c r="F47" s="8" t="n">
        <f aca="false">$K$3-2.66*$K$4</f>
        <v>60.9625252525253</v>
      </c>
      <c r="G47" s="8" t="n">
        <f aca="false">$K$4</f>
        <v>3.04040404040404</v>
      </c>
      <c r="H47" s="8" t="n">
        <f aca="false">3.267*$K$4</f>
        <v>9.933</v>
      </c>
    </row>
    <row r="48" customFormat="false" ht="15" hidden="false" customHeight="false" outlineLevel="0" collapsed="false">
      <c r="A48" s="0" t="n">
        <v>47</v>
      </c>
      <c r="B48" s="0" t="n">
        <v>70</v>
      </c>
      <c r="C48" s="8" t="n">
        <f aca="false">ABS(B48-B47)</f>
        <v>2</v>
      </c>
      <c r="D48" s="8" t="n">
        <f aca="false">$K$3</f>
        <v>69.05</v>
      </c>
      <c r="E48" s="8" t="n">
        <f aca="false">$K$3+2.66*$K$4</f>
        <v>77.1374747474747</v>
      </c>
      <c r="F48" s="8" t="n">
        <f aca="false">$K$3-2.66*$K$4</f>
        <v>60.9625252525253</v>
      </c>
      <c r="G48" s="8" t="n">
        <f aca="false">$K$4</f>
        <v>3.04040404040404</v>
      </c>
      <c r="H48" s="8" t="n">
        <f aca="false">3.267*$K$4</f>
        <v>9.933</v>
      </c>
    </row>
    <row r="49" customFormat="false" ht="15" hidden="false" customHeight="false" outlineLevel="0" collapsed="false">
      <c r="A49" s="0" t="n">
        <v>48</v>
      </c>
      <c r="B49" s="0" t="n">
        <v>69</v>
      </c>
      <c r="C49" s="8" t="n">
        <f aca="false">ABS(B49-B48)</f>
        <v>1</v>
      </c>
      <c r="D49" s="8" t="n">
        <f aca="false">$K$3</f>
        <v>69.05</v>
      </c>
      <c r="E49" s="8" t="n">
        <f aca="false">$K$3+2.66*$K$4</f>
        <v>77.1374747474747</v>
      </c>
      <c r="F49" s="8" t="n">
        <f aca="false">$K$3-2.66*$K$4</f>
        <v>60.9625252525253</v>
      </c>
      <c r="G49" s="8" t="n">
        <f aca="false">$K$4</f>
        <v>3.04040404040404</v>
      </c>
      <c r="H49" s="8" t="n">
        <f aca="false">3.267*$K$4</f>
        <v>9.933</v>
      </c>
    </row>
    <row r="50" customFormat="false" ht="15" hidden="false" customHeight="false" outlineLevel="0" collapsed="false">
      <c r="A50" s="0" t="n">
        <v>49</v>
      </c>
      <c r="B50" s="0" t="n">
        <v>68</v>
      </c>
      <c r="C50" s="8" t="n">
        <f aca="false">ABS(B50-B49)</f>
        <v>1</v>
      </c>
      <c r="D50" s="8" t="n">
        <f aca="false">$K$3</f>
        <v>69.05</v>
      </c>
      <c r="E50" s="8" t="n">
        <f aca="false">$K$3+2.66*$K$4</f>
        <v>77.1374747474747</v>
      </c>
      <c r="F50" s="8" t="n">
        <f aca="false">$K$3-2.66*$K$4</f>
        <v>60.9625252525253</v>
      </c>
      <c r="G50" s="8" t="n">
        <f aca="false">$K$4</f>
        <v>3.04040404040404</v>
      </c>
      <c r="H50" s="8" t="n">
        <f aca="false">3.267*$K$4</f>
        <v>9.933</v>
      </c>
    </row>
    <row r="51" customFormat="false" ht="15" hidden="false" customHeight="false" outlineLevel="0" collapsed="false">
      <c r="A51" s="0" t="n">
        <v>50</v>
      </c>
      <c r="B51" s="0" t="n">
        <v>70</v>
      </c>
      <c r="C51" s="8" t="n">
        <f aca="false">ABS(B51-B50)</f>
        <v>2</v>
      </c>
      <c r="D51" s="8" t="n">
        <f aca="false">$K$3</f>
        <v>69.05</v>
      </c>
      <c r="E51" s="8" t="n">
        <f aca="false">$K$3+2.66*$K$4</f>
        <v>77.1374747474747</v>
      </c>
      <c r="F51" s="8" t="n">
        <f aca="false">$K$3-2.66*$K$4</f>
        <v>60.9625252525253</v>
      </c>
      <c r="G51" s="8" t="n">
        <f aca="false">$K$4</f>
        <v>3.04040404040404</v>
      </c>
      <c r="H51" s="8" t="n">
        <f aca="false">3.267*$K$4</f>
        <v>9.933</v>
      </c>
    </row>
    <row r="52" customFormat="false" ht="15" hidden="false" customHeight="false" outlineLevel="0" collapsed="false">
      <c r="A52" s="0" t="n">
        <v>51</v>
      </c>
      <c r="B52" s="0" t="n">
        <v>70</v>
      </c>
      <c r="C52" s="8" t="n">
        <f aca="false">ABS(B52-B51)</f>
        <v>0</v>
      </c>
      <c r="D52" s="8" t="n">
        <f aca="false">$K$3</f>
        <v>69.05</v>
      </c>
      <c r="E52" s="8" t="n">
        <f aca="false">$K$3+2.66*$K$4</f>
        <v>77.1374747474747</v>
      </c>
      <c r="F52" s="8" t="n">
        <f aca="false">$K$3-2.66*$K$4</f>
        <v>60.9625252525253</v>
      </c>
      <c r="G52" s="8" t="n">
        <f aca="false">$K$4</f>
        <v>3.04040404040404</v>
      </c>
      <c r="H52" s="8" t="n">
        <f aca="false">3.267*$K$4</f>
        <v>9.933</v>
      </c>
    </row>
    <row r="53" customFormat="false" ht="15" hidden="false" customHeight="false" outlineLevel="0" collapsed="false">
      <c r="A53" s="0" t="n">
        <v>52</v>
      </c>
      <c r="B53" s="0" t="n">
        <v>65</v>
      </c>
      <c r="C53" s="8" t="n">
        <f aca="false">ABS(B53-B52)</f>
        <v>5</v>
      </c>
      <c r="D53" s="8" t="n">
        <f aca="false">$K$3</f>
        <v>69.05</v>
      </c>
      <c r="E53" s="8" t="n">
        <f aca="false">$K$3+2.66*$K$4</f>
        <v>77.1374747474747</v>
      </c>
      <c r="F53" s="8" t="n">
        <f aca="false">$K$3-2.66*$K$4</f>
        <v>60.9625252525253</v>
      </c>
      <c r="G53" s="8" t="n">
        <f aca="false">$K$4</f>
        <v>3.04040404040404</v>
      </c>
      <c r="H53" s="8" t="n">
        <f aca="false">3.267*$K$4</f>
        <v>9.933</v>
      </c>
    </row>
    <row r="54" customFormat="false" ht="15" hidden="false" customHeight="false" outlineLevel="0" collapsed="false">
      <c r="A54" s="0" t="n">
        <v>53</v>
      </c>
      <c r="B54" s="0" t="n">
        <v>75</v>
      </c>
      <c r="C54" s="8" t="n">
        <f aca="false">ABS(B54-B53)</f>
        <v>10</v>
      </c>
      <c r="D54" s="8" t="n">
        <f aca="false">$K$3</f>
        <v>69.05</v>
      </c>
      <c r="E54" s="8" t="n">
        <f aca="false">$K$3+2.66*$K$4</f>
        <v>77.1374747474747</v>
      </c>
      <c r="F54" s="8" t="n">
        <f aca="false">$K$3-2.66*$K$4</f>
        <v>60.9625252525253</v>
      </c>
      <c r="G54" s="8" t="n">
        <f aca="false">$K$4</f>
        <v>3.04040404040404</v>
      </c>
      <c r="H54" s="8" t="n">
        <f aca="false">3.267*$K$4</f>
        <v>9.933</v>
      </c>
    </row>
    <row r="55" customFormat="false" ht="15" hidden="false" customHeight="false" outlineLevel="0" collapsed="false">
      <c r="A55" s="0" t="n">
        <v>54</v>
      </c>
      <c r="B55" s="0" t="n">
        <v>65</v>
      </c>
      <c r="C55" s="8" t="n">
        <f aca="false">ABS(B55-B54)</f>
        <v>10</v>
      </c>
      <c r="D55" s="8" t="n">
        <f aca="false">$K$3</f>
        <v>69.05</v>
      </c>
      <c r="E55" s="8" t="n">
        <f aca="false">$K$3+2.66*$K$4</f>
        <v>77.1374747474747</v>
      </c>
      <c r="F55" s="8" t="n">
        <f aca="false">$K$3-2.66*$K$4</f>
        <v>60.9625252525253</v>
      </c>
      <c r="G55" s="8" t="n">
        <f aca="false">$K$4</f>
        <v>3.04040404040404</v>
      </c>
      <c r="H55" s="8" t="n">
        <f aca="false">3.267*$K$4</f>
        <v>9.933</v>
      </c>
    </row>
    <row r="56" customFormat="false" ht="15" hidden="false" customHeight="false" outlineLevel="0" collapsed="false">
      <c r="A56" s="0" t="n">
        <v>55</v>
      </c>
      <c r="B56" s="0" t="n">
        <v>71</v>
      </c>
      <c r="C56" s="8" t="n">
        <f aca="false">ABS(B56-B55)</f>
        <v>6</v>
      </c>
      <c r="D56" s="8" t="n">
        <f aca="false">$K$3</f>
        <v>69.05</v>
      </c>
      <c r="E56" s="8" t="n">
        <f aca="false">$K$3+2.66*$K$4</f>
        <v>77.1374747474747</v>
      </c>
      <c r="F56" s="8" t="n">
        <f aca="false">$K$3-2.66*$K$4</f>
        <v>60.9625252525253</v>
      </c>
      <c r="G56" s="8" t="n">
        <f aca="false">$K$4</f>
        <v>3.04040404040404</v>
      </c>
      <c r="H56" s="8" t="n">
        <f aca="false">3.267*$K$4</f>
        <v>9.933</v>
      </c>
    </row>
    <row r="57" customFormat="false" ht="15" hidden="false" customHeight="false" outlineLevel="0" collapsed="false">
      <c r="A57" s="0" t="n">
        <v>56</v>
      </c>
      <c r="B57" s="0" t="n">
        <v>75</v>
      </c>
      <c r="C57" s="8" t="n">
        <f aca="false">ABS(B57-B56)</f>
        <v>4</v>
      </c>
      <c r="D57" s="8" t="n">
        <f aca="false">$K$3</f>
        <v>69.05</v>
      </c>
      <c r="E57" s="8" t="n">
        <f aca="false">$K$3+2.66*$K$4</f>
        <v>77.1374747474747</v>
      </c>
      <c r="F57" s="8" t="n">
        <f aca="false">$K$3-2.66*$K$4</f>
        <v>60.9625252525253</v>
      </c>
      <c r="G57" s="8" t="n">
        <f aca="false">$K$4</f>
        <v>3.04040404040404</v>
      </c>
      <c r="H57" s="8" t="n">
        <f aca="false">3.267*$K$4</f>
        <v>9.933</v>
      </c>
    </row>
    <row r="58" customFormat="false" ht="15" hidden="false" customHeight="false" outlineLevel="0" collapsed="false">
      <c r="A58" s="0" t="n">
        <v>57</v>
      </c>
      <c r="B58" s="0" t="n">
        <v>67</v>
      </c>
      <c r="C58" s="8" t="n">
        <f aca="false">ABS(B58-B57)</f>
        <v>8</v>
      </c>
      <c r="D58" s="8" t="n">
        <f aca="false">$K$3</f>
        <v>69.05</v>
      </c>
      <c r="E58" s="8" t="n">
        <f aca="false">$K$3+2.66*$K$4</f>
        <v>77.1374747474747</v>
      </c>
      <c r="F58" s="8" t="n">
        <f aca="false">$K$3-2.66*$K$4</f>
        <v>60.9625252525253</v>
      </c>
      <c r="G58" s="8" t="n">
        <f aca="false">$K$4</f>
        <v>3.04040404040404</v>
      </c>
      <c r="H58" s="8" t="n">
        <f aca="false">3.267*$K$4</f>
        <v>9.933</v>
      </c>
    </row>
    <row r="59" customFormat="false" ht="15" hidden="false" customHeight="false" outlineLevel="0" collapsed="false">
      <c r="A59" s="0" t="n">
        <v>58</v>
      </c>
      <c r="B59" s="0" t="n">
        <v>66</v>
      </c>
      <c r="C59" s="8" t="n">
        <f aca="false">ABS(B59-B58)</f>
        <v>1</v>
      </c>
      <c r="D59" s="8" t="n">
        <f aca="false">$K$3</f>
        <v>69.05</v>
      </c>
      <c r="E59" s="8" t="n">
        <f aca="false">$K$3+2.66*$K$4</f>
        <v>77.1374747474747</v>
      </c>
      <c r="F59" s="8" t="n">
        <f aca="false">$K$3-2.66*$K$4</f>
        <v>60.9625252525253</v>
      </c>
      <c r="G59" s="8" t="n">
        <f aca="false">$K$4</f>
        <v>3.04040404040404</v>
      </c>
      <c r="H59" s="8" t="n">
        <f aca="false">3.267*$K$4</f>
        <v>9.933</v>
      </c>
    </row>
    <row r="60" customFormat="false" ht="15" hidden="false" customHeight="false" outlineLevel="0" collapsed="false">
      <c r="A60" s="0" t="n">
        <v>59</v>
      </c>
      <c r="B60" s="0" t="n">
        <v>69</v>
      </c>
      <c r="C60" s="8" t="n">
        <f aca="false">ABS(B60-B59)</f>
        <v>3</v>
      </c>
      <c r="D60" s="8" t="n">
        <f aca="false">$K$3</f>
        <v>69.05</v>
      </c>
      <c r="E60" s="8" t="n">
        <f aca="false">$K$3+2.66*$K$4</f>
        <v>77.1374747474747</v>
      </c>
      <c r="F60" s="8" t="n">
        <f aca="false">$K$3-2.66*$K$4</f>
        <v>60.9625252525253</v>
      </c>
      <c r="G60" s="8" t="n">
        <f aca="false">$K$4</f>
        <v>3.04040404040404</v>
      </c>
      <c r="H60" s="8" t="n">
        <f aca="false">3.267*$K$4</f>
        <v>9.933</v>
      </c>
    </row>
    <row r="61" customFormat="false" ht="15" hidden="false" customHeight="false" outlineLevel="0" collapsed="false">
      <c r="A61" s="0" t="n">
        <v>60</v>
      </c>
      <c r="B61" s="0" t="n">
        <v>66</v>
      </c>
      <c r="C61" s="8" t="n">
        <f aca="false">ABS(B61-B60)</f>
        <v>3</v>
      </c>
      <c r="D61" s="8" t="n">
        <f aca="false">$K$3</f>
        <v>69.05</v>
      </c>
      <c r="E61" s="8" t="n">
        <f aca="false">$K$3+2.66*$K$4</f>
        <v>77.1374747474747</v>
      </c>
      <c r="F61" s="8" t="n">
        <f aca="false">$K$3-2.66*$K$4</f>
        <v>60.9625252525253</v>
      </c>
      <c r="G61" s="8" t="n">
        <f aca="false">$K$4</f>
        <v>3.04040404040404</v>
      </c>
      <c r="H61" s="8" t="n">
        <f aca="false">3.267*$K$4</f>
        <v>9.933</v>
      </c>
    </row>
    <row r="62" customFormat="false" ht="15" hidden="false" customHeight="false" outlineLevel="0" collapsed="false">
      <c r="A62" s="0" t="n">
        <v>61</v>
      </c>
      <c r="B62" s="0" t="n">
        <v>68</v>
      </c>
      <c r="C62" s="8" t="n">
        <f aca="false">ABS(B62-B61)</f>
        <v>2</v>
      </c>
      <c r="D62" s="8" t="n">
        <f aca="false">$K$3</f>
        <v>69.05</v>
      </c>
      <c r="E62" s="8" t="n">
        <f aca="false">$K$3+2.66*$K$4</f>
        <v>77.1374747474747</v>
      </c>
      <c r="F62" s="8" t="n">
        <f aca="false">$K$3-2.66*$K$4</f>
        <v>60.9625252525253</v>
      </c>
      <c r="G62" s="8" t="n">
        <f aca="false">$K$4</f>
        <v>3.04040404040404</v>
      </c>
      <c r="H62" s="8" t="n">
        <f aca="false">3.267*$K$4</f>
        <v>9.933</v>
      </c>
    </row>
    <row r="63" customFormat="false" ht="15" hidden="false" customHeight="false" outlineLevel="0" collapsed="false">
      <c r="A63" s="0" t="n">
        <v>62</v>
      </c>
      <c r="B63" s="0" t="n">
        <v>70</v>
      </c>
      <c r="C63" s="8" t="n">
        <f aca="false">ABS(B63-B62)</f>
        <v>2</v>
      </c>
      <c r="D63" s="8" t="n">
        <f aca="false">$K$3</f>
        <v>69.05</v>
      </c>
      <c r="E63" s="8" t="n">
        <f aca="false">$K$3+2.66*$K$4</f>
        <v>77.1374747474747</v>
      </c>
      <c r="F63" s="8" t="n">
        <f aca="false">$K$3-2.66*$K$4</f>
        <v>60.9625252525253</v>
      </c>
      <c r="G63" s="8" t="n">
        <f aca="false">$K$4</f>
        <v>3.04040404040404</v>
      </c>
      <c r="H63" s="8" t="n">
        <f aca="false">3.267*$K$4</f>
        <v>9.933</v>
      </c>
    </row>
    <row r="64" customFormat="false" ht="15" hidden="false" customHeight="false" outlineLevel="0" collapsed="false">
      <c r="A64" s="0" t="n">
        <v>63</v>
      </c>
      <c r="B64" s="0" t="n">
        <v>69</v>
      </c>
      <c r="C64" s="8" t="n">
        <f aca="false">ABS(B64-B63)</f>
        <v>1</v>
      </c>
      <c r="D64" s="8" t="n">
        <f aca="false">$K$3</f>
        <v>69.05</v>
      </c>
      <c r="E64" s="8" t="n">
        <f aca="false">$K$3+2.66*$K$4</f>
        <v>77.1374747474747</v>
      </c>
      <c r="F64" s="8" t="n">
        <f aca="false">$K$3-2.66*$K$4</f>
        <v>60.9625252525253</v>
      </c>
      <c r="G64" s="8" t="n">
        <f aca="false">$K$4</f>
        <v>3.04040404040404</v>
      </c>
      <c r="H64" s="8" t="n">
        <f aca="false">3.267*$K$4</f>
        <v>9.933</v>
      </c>
    </row>
    <row r="65" customFormat="false" ht="15" hidden="false" customHeight="false" outlineLevel="0" collapsed="false">
      <c r="A65" s="0" t="n">
        <v>64</v>
      </c>
      <c r="B65" s="0" t="n">
        <v>67</v>
      </c>
      <c r="C65" s="8" t="n">
        <f aca="false">ABS(B65-B64)</f>
        <v>2</v>
      </c>
      <c r="D65" s="8" t="n">
        <f aca="false">$K$3</f>
        <v>69.05</v>
      </c>
      <c r="E65" s="8" t="n">
        <f aca="false">$K$3+2.66*$K$4</f>
        <v>77.1374747474747</v>
      </c>
      <c r="F65" s="8" t="n">
        <f aca="false">$K$3-2.66*$K$4</f>
        <v>60.9625252525253</v>
      </c>
      <c r="G65" s="8" t="n">
        <f aca="false">$K$4</f>
        <v>3.04040404040404</v>
      </c>
      <c r="H65" s="8" t="n">
        <f aca="false">3.267*$K$4</f>
        <v>9.933</v>
      </c>
    </row>
    <row r="66" customFormat="false" ht="15" hidden="false" customHeight="false" outlineLevel="0" collapsed="false">
      <c r="A66" s="0" t="n">
        <v>65</v>
      </c>
      <c r="B66" s="0" t="n">
        <v>68</v>
      </c>
      <c r="C66" s="8" t="n">
        <f aca="false">ABS(B66-B65)</f>
        <v>1</v>
      </c>
      <c r="D66" s="8" t="n">
        <f aca="false">$K$3</f>
        <v>69.05</v>
      </c>
      <c r="E66" s="8" t="n">
        <f aca="false">$K$3+2.66*$K$4</f>
        <v>77.1374747474747</v>
      </c>
      <c r="F66" s="8" t="n">
        <f aca="false">$K$3-2.66*$K$4</f>
        <v>60.9625252525253</v>
      </c>
      <c r="G66" s="8" t="n">
        <f aca="false">$K$4</f>
        <v>3.04040404040404</v>
      </c>
      <c r="H66" s="8" t="n">
        <f aca="false">3.267*$K$4</f>
        <v>9.933</v>
      </c>
    </row>
    <row r="67" customFormat="false" ht="15" hidden="false" customHeight="false" outlineLevel="0" collapsed="false">
      <c r="A67" s="0" t="n">
        <v>66</v>
      </c>
      <c r="B67" s="0" t="n">
        <v>69</v>
      </c>
      <c r="C67" s="8" t="n">
        <f aca="false">ABS(B67-B66)</f>
        <v>1</v>
      </c>
      <c r="D67" s="8" t="n">
        <f aca="false">$K$3</f>
        <v>69.05</v>
      </c>
      <c r="E67" s="8" t="n">
        <f aca="false">$K$3+2.66*$K$4</f>
        <v>77.1374747474747</v>
      </c>
      <c r="F67" s="8" t="n">
        <f aca="false">$K$3-2.66*$K$4</f>
        <v>60.9625252525253</v>
      </c>
      <c r="G67" s="8" t="n">
        <f aca="false">$K$4</f>
        <v>3.04040404040404</v>
      </c>
      <c r="H67" s="8" t="n">
        <f aca="false">3.267*$K$4</f>
        <v>9.933</v>
      </c>
    </row>
    <row r="68" customFormat="false" ht="15" hidden="false" customHeight="false" outlineLevel="0" collapsed="false">
      <c r="A68" s="0" t="n">
        <v>67</v>
      </c>
      <c r="B68" s="0" t="n">
        <v>72</v>
      </c>
      <c r="C68" s="8" t="n">
        <f aca="false">ABS(B68-B67)</f>
        <v>3</v>
      </c>
      <c r="D68" s="8" t="n">
        <f aca="false">$K$3</f>
        <v>69.05</v>
      </c>
      <c r="E68" s="8" t="n">
        <f aca="false">$K$3+2.66*$K$4</f>
        <v>77.1374747474747</v>
      </c>
      <c r="F68" s="8" t="n">
        <f aca="false">$K$3-2.66*$K$4</f>
        <v>60.9625252525253</v>
      </c>
      <c r="G68" s="8" t="n">
        <f aca="false">$K$4</f>
        <v>3.04040404040404</v>
      </c>
      <c r="H68" s="8" t="n">
        <f aca="false">3.267*$K$4</f>
        <v>9.933</v>
      </c>
    </row>
    <row r="69" customFormat="false" ht="15" hidden="false" customHeight="false" outlineLevel="0" collapsed="false">
      <c r="A69" s="0" t="n">
        <v>68</v>
      </c>
      <c r="B69" s="0" t="n">
        <v>66</v>
      </c>
      <c r="C69" s="8" t="n">
        <f aca="false">ABS(B69-B68)</f>
        <v>6</v>
      </c>
      <c r="D69" s="8" t="n">
        <f aca="false">$K$3</f>
        <v>69.05</v>
      </c>
      <c r="E69" s="8" t="n">
        <f aca="false">$K$3+2.66*$K$4</f>
        <v>77.1374747474747</v>
      </c>
      <c r="F69" s="8" t="n">
        <f aca="false">$K$3-2.66*$K$4</f>
        <v>60.9625252525253</v>
      </c>
      <c r="G69" s="8" t="n">
        <f aca="false">$K$4</f>
        <v>3.04040404040404</v>
      </c>
      <c r="H69" s="8" t="n">
        <f aca="false">3.267*$K$4</f>
        <v>9.933</v>
      </c>
    </row>
    <row r="70" customFormat="false" ht="15" hidden="false" customHeight="false" outlineLevel="0" collapsed="false">
      <c r="A70" s="0" t="n">
        <v>69</v>
      </c>
      <c r="B70" s="0" t="n">
        <v>71</v>
      </c>
      <c r="C70" s="8" t="n">
        <f aca="false">ABS(B70-B69)</f>
        <v>5</v>
      </c>
      <c r="D70" s="8" t="n">
        <f aca="false">$K$3</f>
        <v>69.05</v>
      </c>
      <c r="E70" s="8" t="n">
        <f aca="false">$K$3+2.66*$K$4</f>
        <v>77.1374747474747</v>
      </c>
      <c r="F70" s="8" t="n">
        <f aca="false">$K$3-2.66*$K$4</f>
        <v>60.9625252525253</v>
      </c>
      <c r="G70" s="8" t="n">
        <f aca="false">$K$4</f>
        <v>3.04040404040404</v>
      </c>
      <c r="H70" s="8" t="n">
        <f aca="false">3.267*$K$4</f>
        <v>9.933</v>
      </c>
    </row>
    <row r="71" customFormat="false" ht="15" hidden="false" customHeight="false" outlineLevel="0" collapsed="false">
      <c r="A71" s="0" t="n">
        <v>70</v>
      </c>
      <c r="B71" s="0" t="n">
        <v>72</v>
      </c>
      <c r="C71" s="8" t="n">
        <f aca="false">ABS(B71-B70)</f>
        <v>1</v>
      </c>
      <c r="D71" s="8" t="n">
        <f aca="false">$K$3</f>
        <v>69.05</v>
      </c>
      <c r="E71" s="8" t="n">
        <f aca="false">$K$3+2.66*$K$4</f>
        <v>77.1374747474747</v>
      </c>
      <c r="F71" s="8" t="n">
        <f aca="false">$K$3-2.66*$K$4</f>
        <v>60.9625252525253</v>
      </c>
      <c r="G71" s="8" t="n">
        <f aca="false">$K$4</f>
        <v>3.04040404040404</v>
      </c>
      <c r="H71" s="8" t="n">
        <f aca="false">3.267*$K$4</f>
        <v>9.933</v>
      </c>
    </row>
    <row r="72" customFormat="false" ht="15" hidden="false" customHeight="false" outlineLevel="0" collapsed="false">
      <c r="A72" s="0" t="n">
        <v>71</v>
      </c>
      <c r="B72" s="0" t="n">
        <v>64</v>
      </c>
      <c r="C72" s="8" t="n">
        <f aca="false">ABS(B72-B71)</f>
        <v>8</v>
      </c>
      <c r="D72" s="8" t="n">
        <f aca="false">$K$3</f>
        <v>69.05</v>
      </c>
      <c r="E72" s="8" t="n">
        <f aca="false">$K$3+2.66*$K$4</f>
        <v>77.1374747474747</v>
      </c>
      <c r="F72" s="8" t="n">
        <f aca="false">$K$3-2.66*$K$4</f>
        <v>60.9625252525253</v>
      </c>
      <c r="G72" s="8" t="n">
        <f aca="false">$K$4</f>
        <v>3.04040404040404</v>
      </c>
      <c r="H72" s="8" t="n">
        <f aca="false">3.267*$K$4</f>
        <v>9.933</v>
      </c>
    </row>
    <row r="73" customFormat="false" ht="15" hidden="false" customHeight="false" outlineLevel="0" collapsed="false">
      <c r="A73" s="0" t="n">
        <v>72</v>
      </c>
      <c r="B73" s="0" t="n">
        <v>74</v>
      </c>
      <c r="C73" s="8" t="n">
        <f aca="false">ABS(B73-B72)</f>
        <v>10</v>
      </c>
      <c r="D73" s="8" t="n">
        <f aca="false">$K$3</f>
        <v>69.05</v>
      </c>
      <c r="E73" s="8" t="n">
        <f aca="false">$K$3+2.66*$K$4</f>
        <v>77.1374747474747</v>
      </c>
      <c r="F73" s="8" t="n">
        <f aca="false">$K$3-2.66*$K$4</f>
        <v>60.9625252525253</v>
      </c>
      <c r="G73" s="8" t="n">
        <f aca="false">$K$4</f>
        <v>3.04040404040404</v>
      </c>
      <c r="H73" s="8" t="n">
        <f aca="false">3.267*$K$4</f>
        <v>9.933</v>
      </c>
    </row>
    <row r="74" customFormat="false" ht="15" hidden="false" customHeight="false" outlineLevel="0" collapsed="false">
      <c r="A74" s="0" t="n">
        <v>73</v>
      </c>
      <c r="B74" s="0" t="n">
        <v>66</v>
      </c>
      <c r="C74" s="8" t="n">
        <f aca="false">ABS(B74-B73)</f>
        <v>8</v>
      </c>
      <c r="D74" s="8" t="n">
        <f aca="false">$K$3</f>
        <v>69.05</v>
      </c>
      <c r="E74" s="8" t="n">
        <f aca="false">$K$3+2.66*$K$4</f>
        <v>77.1374747474747</v>
      </c>
      <c r="F74" s="8" t="n">
        <f aca="false">$K$3-2.66*$K$4</f>
        <v>60.9625252525253</v>
      </c>
      <c r="G74" s="8" t="n">
        <f aca="false">$K$4</f>
        <v>3.04040404040404</v>
      </c>
      <c r="H74" s="8" t="n">
        <f aca="false">3.267*$K$4</f>
        <v>9.933</v>
      </c>
    </row>
    <row r="75" customFormat="false" ht="15" hidden="false" customHeight="false" outlineLevel="0" collapsed="false">
      <c r="A75" s="0" t="n">
        <v>74</v>
      </c>
      <c r="B75" s="0" t="n">
        <v>72</v>
      </c>
      <c r="C75" s="8" t="n">
        <f aca="false">ABS(B75-B74)</f>
        <v>6</v>
      </c>
      <c r="D75" s="8" t="n">
        <f aca="false">$K$3</f>
        <v>69.05</v>
      </c>
      <c r="E75" s="8" t="n">
        <f aca="false">$K$3+2.66*$K$4</f>
        <v>77.1374747474747</v>
      </c>
      <c r="F75" s="8" t="n">
        <f aca="false">$K$3-2.66*$K$4</f>
        <v>60.9625252525253</v>
      </c>
      <c r="G75" s="8" t="n">
        <f aca="false">$K$4</f>
        <v>3.04040404040404</v>
      </c>
      <c r="H75" s="8" t="n">
        <f aca="false">3.267*$K$4</f>
        <v>9.933</v>
      </c>
    </row>
    <row r="76" customFormat="false" ht="15" hidden="false" customHeight="false" outlineLevel="0" collapsed="false">
      <c r="A76" s="0" t="n">
        <v>75</v>
      </c>
      <c r="B76" s="0" t="n">
        <v>68</v>
      </c>
      <c r="C76" s="8" t="n">
        <f aca="false">ABS(B76-B75)</f>
        <v>4</v>
      </c>
      <c r="D76" s="8" t="n">
        <f aca="false">$K$3</f>
        <v>69.05</v>
      </c>
      <c r="E76" s="8" t="n">
        <f aca="false">$K$3+2.66*$K$4</f>
        <v>77.1374747474747</v>
      </c>
      <c r="F76" s="8" t="n">
        <f aca="false">$K$3-2.66*$K$4</f>
        <v>60.9625252525253</v>
      </c>
      <c r="G76" s="8" t="n">
        <f aca="false">$K$4</f>
        <v>3.04040404040404</v>
      </c>
      <c r="H76" s="8" t="n">
        <f aca="false">3.267*$K$4</f>
        <v>9.933</v>
      </c>
    </row>
    <row r="77" customFormat="false" ht="15" hidden="false" customHeight="false" outlineLevel="0" collapsed="false">
      <c r="A77" s="0" t="n">
        <v>76</v>
      </c>
      <c r="B77" s="0" t="n">
        <v>65</v>
      </c>
      <c r="C77" s="8" t="n">
        <f aca="false">ABS(B77-B76)</f>
        <v>3</v>
      </c>
      <c r="D77" s="8" t="n">
        <f aca="false">$K$3</f>
        <v>69.05</v>
      </c>
      <c r="E77" s="8" t="n">
        <f aca="false">$K$3+2.66*$K$4</f>
        <v>77.1374747474747</v>
      </c>
      <c r="F77" s="8" t="n">
        <f aca="false">$K$3-2.66*$K$4</f>
        <v>60.9625252525253</v>
      </c>
      <c r="G77" s="8" t="n">
        <f aca="false">$K$4</f>
        <v>3.04040404040404</v>
      </c>
      <c r="H77" s="8" t="n">
        <f aca="false">3.267*$K$4</f>
        <v>9.933</v>
      </c>
    </row>
    <row r="78" customFormat="false" ht="15" hidden="false" customHeight="false" outlineLevel="0" collapsed="false">
      <c r="A78" s="0" t="n">
        <v>77</v>
      </c>
      <c r="B78" s="0" t="n">
        <v>71</v>
      </c>
      <c r="C78" s="8" t="n">
        <f aca="false">ABS(B78-B77)</f>
        <v>6</v>
      </c>
      <c r="D78" s="8" t="n">
        <f aca="false">$K$3</f>
        <v>69.05</v>
      </c>
      <c r="E78" s="8" t="n">
        <f aca="false">$K$3+2.66*$K$4</f>
        <v>77.1374747474747</v>
      </c>
      <c r="F78" s="8" t="n">
        <f aca="false">$K$3-2.66*$K$4</f>
        <v>60.9625252525253</v>
      </c>
      <c r="G78" s="8" t="n">
        <f aca="false">$K$4</f>
        <v>3.04040404040404</v>
      </c>
      <c r="H78" s="8" t="n">
        <f aca="false">3.267*$K$4</f>
        <v>9.933</v>
      </c>
    </row>
    <row r="79" customFormat="false" ht="15" hidden="false" customHeight="false" outlineLevel="0" collapsed="false">
      <c r="A79" s="0" t="n">
        <v>78</v>
      </c>
      <c r="B79" s="0" t="n">
        <v>69</v>
      </c>
      <c r="C79" s="8" t="n">
        <f aca="false">ABS(B79-B78)</f>
        <v>2</v>
      </c>
      <c r="D79" s="8" t="n">
        <f aca="false">$K$3</f>
        <v>69.05</v>
      </c>
      <c r="E79" s="8" t="n">
        <f aca="false">$K$3+2.66*$K$4</f>
        <v>77.1374747474747</v>
      </c>
      <c r="F79" s="8" t="n">
        <f aca="false">$K$3-2.66*$K$4</f>
        <v>60.9625252525253</v>
      </c>
      <c r="G79" s="8" t="n">
        <f aca="false">$K$4</f>
        <v>3.04040404040404</v>
      </c>
      <c r="H79" s="8" t="n">
        <f aca="false">3.267*$K$4</f>
        <v>9.933</v>
      </c>
    </row>
    <row r="80" customFormat="false" ht="15" hidden="false" customHeight="false" outlineLevel="0" collapsed="false">
      <c r="A80" s="0" t="n">
        <v>79</v>
      </c>
      <c r="B80" s="0" t="n">
        <v>69</v>
      </c>
      <c r="C80" s="8" t="n">
        <f aca="false">ABS(B80-B79)</f>
        <v>0</v>
      </c>
      <c r="D80" s="8" t="n">
        <f aca="false">$K$3</f>
        <v>69.05</v>
      </c>
      <c r="E80" s="8" t="n">
        <f aca="false">$K$3+2.66*$K$4</f>
        <v>77.1374747474747</v>
      </c>
      <c r="F80" s="8" t="n">
        <f aca="false">$K$3-2.66*$K$4</f>
        <v>60.9625252525253</v>
      </c>
      <c r="G80" s="8" t="n">
        <f aca="false">$K$4</f>
        <v>3.04040404040404</v>
      </c>
      <c r="H80" s="8" t="n">
        <f aca="false">3.267*$K$4</f>
        <v>9.933</v>
      </c>
    </row>
    <row r="81" customFormat="false" ht="15" hidden="false" customHeight="false" outlineLevel="0" collapsed="false">
      <c r="A81" s="0" t="n">
        <v>80</v>
      </c>
      <c r="B81" s="0" t="n">
        <v>74</v>
      </c>
      <c r="C81" s="8" t="n">
        <f aca="false">ABS(B81-B80)</f>
        <v>5</v>
      </c>
      <c r="D81" s="8" t="n">
        <f aca="false">$K$3</f>
        <v>69.05</v>
      </c>
      <c r="E81" s="8" t="n">
        <f aca="false">$K$3+2.66*$K$4</f>
        <v>77.1374747474747</v>
      </c>
      <c r="F81" s="8" t="n">
        <f aca="false">$K$3-2.66*$K$4</f>
        <v>60.9625252525253</v>
      </c>
      <c r="G81" s="8" t="n">
        <f aca="false">$K$4</f>
        <v>3.04040404040404</v>
      </c>
      <c r="H81" s="8" t="n">
        <f aca="false">3.267*$K$4</f>
        <v>9.933</v>
      </c>
    </row>
    <row r="82" customFormat="false" ht="15" hidden="false" customHeight="false" outlineLevel="0" collapsed="false">
      <c r="A82" s="0" t="n">
        <v>81</v>
      </c>
      <c r="B82" s="0" t="n">
        <v>66</v>
      </c>
      <c r="C82" s="8" t="n">
        <f aca="false">ABS(B82-B81)</f>
        <v>8</v>
      </c>
      <c r="D82" s="8" t="n">
        <f aca="false">$K$3</f>
        <v>69.05</v>
      </c>
      <c r="E82" s="8" t="n">
        <f aca="false">$K$3+2.66*$K$4</f>
        <v>77.1374747474747</v>
      </c>
      <c r="F82" s="8" t="n">
        <f aca="false">$K$3-2.66*$K$4</f>
        <v>60.9625252525253</v>
      </c>
      <c r="G82" s="8" t="n">
        <f aca="false">$K$4</f>
        <v>3.04040404040404</v>
      </c>
      <c r="H82" s="8" t="n">
        <f aca="false">3.267*$K$4</f>
        <v>9.933</v>
      </c>
    </row>
    <row r="83" customFormat="false" ht="15" hidden="false" customHeight="false" outlineLevel="0" collapsed="false">
      <c r="A83" s="0" t="n">
        <v>82</v>
      </c>
      <c r="B83" s="0" t="n">
        <v>70</v>
      </c>
      <c r="C83" s="8" t="n">
        <f aca="false">ABS(B83-B82)</f>
        <v>4</v>
      </c>
      <c r="D83" s="8" t="n">
        <f aca="false">$K$3</f>
        <v>69.05</v>
      </c>
      <c r="E83" s="8" t="n">
        <f aca="false">$K$3+2.66*$K$4</f>
        <v>77.1374747474747</v>
      </c>
      <c r="F83" s="8" t="n">
        <f aca="false">$K$3-2.66*$K$4</f>
        <v>60.9625252525253</v>
      </c>
      <c r="G83" s="8" t="n">
        <f aca="false">$K$4</f>
        <v>3.04040404040404</v>
      </c>
      <c r="H83" s="8" t="n">
        <f aca="false">3.267*$K$4</f>
        <v>9.933</v>
      </c>
    </row>
    <row r="84" customFormat="false" ht="15" hidden="false" customHeight="false" outlineLevel="0" collapsed="false">
      <c r="A84" s="0" t="n">
        <v>83</v>
      </c>
      <c r="B84" s="0" t="n">
        <v>72</v>
      </c>
      <c r="C84" s="8" t="n">
        <f aca="false">ABS(B84-B83)</f>
        <v>2</v>
      </c>
      <c r="D84" s="8" t="n">
        <f aca="false">$K$3</f>
        <v>69.05</v>
      </c>
      <c r="E84" s="8" t="n">
        <f aca="false">$K$3+2.66*$K$4</f>
        <v>77.1374747474747</v>
      </c>
      <c r="F84" s="8" t="n">
        <f aca="false">$K$3-2.66*$K$4</f>
        <v>60.9625252525253</v>
      </c>
      <c r="G84" s="8" t="n">
        <f aca="false">$K$4</f>
        <v>3.04040404040404</v>
      </c>
      <c r="H84" s="8" t="n">
        <f aca="false">3.267*$K$4</f>
        <v>9.933</v>
      </c>
    </row>
    <row r="85" customFormat="false" ht="15" hidden="false" customHeight="false" outlineLevel="0" collapsed="false">
      <c r="A85" s="0" t="n">
        <v>84</v>
      </c>
      <c r="B85" s="0" t="n">
        <v>66</v>
      </c>
      <c r="C85" s="8" t="n">
        <f aca="false">ABS(B85-B84)</f>
        <v>6</v>
      </c>
      <c r="D85" s="8" t="n">
        <f aca="false">$K$3</f>
        <v>69.05</v>
      </c>
      <c r="E85" s="8" t="n">
        <f aca="false">$K$3+2.66*$K$4</f>
        <v>77.1374747474747</v>
      </c>
      <c r="F85" s="8" t="n">
        <f aca="false">$K$3-2.66*$K$4</f>
        <v>60.9625252525253</v>
      </c>
      <c r="G85" s="8" t="n">
        <f aca="false">$K$4</f>
        <v>3.04040404040404</v>
      </c>
      <c r="H85" s="8" t="n">
        <f aca="false">3.267*$K$4</f>
        <v>9.933</v>
      </c>
    </row>
    <row r="86" customFormat="false" ht="15" hidden="false" customHeight="false" outlineLevel="0" collapsed="false">
      <c r="A86" s="0" t="n">
        <v>85</v>
      </c>
      <c r="B86" s="0" t="n">
        <v>64</v>
      </c>
      <c r="C86" s="8" t="n">
        <f aca="false">ABS(B86-B85)</f>
        <v>2</v>
      </c>
      <c r="D86" s="8" t="n">
        <f aca="false">$K$3</f>
        <v>69.05</v>
      </c>
      <c r="E86" s="8" t="n">
        <f aca="false">$K$3+2.66*$K$4</f>
        <v>77.1374747474747</v>
      </c>
      <c r="F86" s="8" t="n">
        <f aca="false">$K$3-2.66*$K$4</f>
        <v>60.9625252525253</v>
      </c>
      <c r="G86" s="8" t="n">
        <f aca="false">$K$4</f>
        <v>3.04040404040404</v>
      </c>
      <c r="H86" s="8" t="n">
        <f aca="false">3.267*$K$4</f>
        <v>9.933</v>
      </c>
    </row>
    <row r="87" customFormat="false" ht="15" hidden="false" customHeight="false" outlineLevel="0" collapsed="false">
      <c r="A87" s="0" t="n">
        <v>86</v>
      </c>
      <c r="B87" s="0" t="n">
        <v>72</v>
      </c>
      <c r="C87" s="8" t="n">
        <f aca="false">ABS(B87-B86)</f>
        <v>8</v>
      </c>
      <c r="D87" s="8" t="n">
        <f aca="false">$K$3</f>
        <v>69.05</v>
      </c>
      <c r="E87" s="8" t="n">
        <f aca="false">$K$3+2.66*$K$4</f>
        <v>77.1374747474747</v>
      </c>
      <c r="F87" s="8" t="n">
        <f aca="false">$K$3-2.66*$K$4</f>
        <v>60.9625252525253</v>
      </c>
      <c r="G87" s="8" t="n">
        <f aca="false">$K$4</f>
        <v>3.04040404040404</v>
      </c>
      <c r="H87" s="8" t="n">
        <f aca="false">3.267*$K$4</f>
        <v>9.933</v>
      </c>
    </row>
    <row r="88" customFormat="false" ht="15" hidden="false" customHeight="false" outlineLevel="0" collapsed="false">
      <c r="A88" s="0" t="n">
        <v>87</v>
      </c>
      <c r="B88" s="0" t="n">
        <v>71</v>
      </c>
      <c r="C88" s="8" t="n">
        <f aca="false">ABS(B88-B87)</f>
        <v>1</v>
      </c>
      <c r="D88" s="8" t="n">
        <f aca="false">$K$3</f>
        <v>69.05</v>
      </c>
      <c r="E88" s="8" t="n">
        <f aca="false">$K$3+2.66*$K$4</f>
        <v>77.1374747474747</v>
      </c>
      <c r="F88" s="8" t="n">
        <f aca="false">$K$3-2.66*$K$4</f>
        <v>60.9625252525253</v>
      </c>
      <c r="G88" s="8" t="n">
        <f aca="false">$K$4</f>
        <v>3.04040404040404</v>
      </c>
      <c r="H88" s="8" t="n">
        <f aca="false">3.267*$K$4</f>
        <v>9.933</v>
      </c>
    </row>
    <row r="89" customFormat="false" ht="15" hidden="false" customHeight="false" outlineLevel="0" collapsed="false">
      <c r="A89" s="0" t="n">
        <v>88</v>
      </c>
      <c r="B89" s="0" t="n">
        <v>70</v>
      </c>
      <c r="C89" s="8" t="n">
        <f aca="false">ABS(B89-B88)</f>
        <v>1</v>
      </c>
      <c r="D89" s="8" t="n">
        <f aca="false">$K$3</f>
        <v>69.05</v>
      </c>
      <c r="E89" s="8" t="n">
        <f aca="false">$K$3+2.66*$K$4</f>
        <v>77.1374747474747</v>
      </c>
      <c r="F89" s="8" t="n">
        <f aca="false">$K$3-2.66*$K$4</f>
        <v>60.9625252525253</v>
      </c>
      <c r="G89" s="8" t="n">
        <f aca="false">$K$4</f>
        <v>3.04040404040404</v>
      </c>
      <c r="H89" s="8" t="n">
        <f aca="false">3.267*$K$4</f>
        <v>9.933</v>
      </c>
    </row>
    <row r="90" customFormat="false" ht="15" hidden="false" customHeight="false" outlineLevel="0" collapsed="false">
      <c r="A90" s="0" t="n">
        <v>89</v>
      </c>
      <c r="B90" s="0" t="n">
        <v>72</v>
      </c>
      <c r="C90" s="8" t="n">
        <f aca="false">ABS(B90-B89)</f>
        <v>2</v>
      </c>
      <c r="D90" s="8" t="n">
        <f aca="false">$K$3</f>
        <v>69.05</v>
      </c>
      <c r="E90" s="8" t="n">
        <f aca="false">$K$3+2.66*$K$4</f>
        <v>77.1374747474747</v>
      </c>
      <c r="F90" s="8" t="n">
        <f aca="false">$K$3-2.66*$K$4</f>
        <v>60.9625252525253</v>
      </c>
      <c r="G90" s="8" t="n">
        <f aca="false">$K$4</f>
        <v>3.04040404040404</v>
      </c>
      <c r="H90" s="8" t="n">
        <f aca="false">3.267*$K$4</f>
        <v>9.933</v>
      </c>
    </row>
    <row r="91" customFormat="false" ht="15" hidden="false" customHeight="false" outlineLevel="0" collapsed="false">
      <c r="A91" s="0" t="n">
        <v>90</v>
      </c>
      <c r="B91" s="0" t="n">
        <v>69</v>
      </c>
      <c r="C91" s="8" t="n">
        <f aca="false">ABS(B91-B90)</f>
        <v>3</v>
      </c>
      <c r="D91" s="8" t="n">
        <f aca="false">$K$3</f>
        <v>69.05</v>
      </c>
      <c r="E91" s="8" t="n">
        <f aca="false">$K$3+2.66*$K$4</f>
        <v>77.1374747474747</v>
      </c>
      <c r="F91" s="8" t="n">
        <f aca="false">$K$3-2.66*$K$4</f>
        <v>60.9625252525253</v>
      </c>
      <c r="G91" s="8" t="n">
        <f aca="false">$K$4</f>
        <v>3.04040404040404</v>
      </c>
      <c r="H91" s="8" t="n">
        <f aca="false">3.267*$K$4</f>
        <v>9.933</v>
      </c>
    </row>
    <row r="92" customFormat="false" ht="15" hidden="false" customHeight="false" outlineLevel="0" collapsed="false">
      <c r="A92" s="0" t="n">
        <v>91</v>
      </c>
      <c r="B92" s="0" t="n">
        <v>71</v>
      </c>
      <c r="C92" s="8" t="n">
        <f aca="false">ABS(B92-B91)</f>
        <v>2</v>
      </c>
      <c r="D92" s="8" t="n">
        <f aca="false">$K$3</f>
        <v>69.05</v>
      </c>
      <c r="E92" s="8" t="n">
        <f aca="false">$K$3+2.66*$K$4</f>
        <v>77.1374747474747</v>
      </c>
      <c r="F92" s="8" t="n">
        <f aca="false">$K$3-2.66*$K$4</f>
        <v>60.9625252525253</v>
      </c>
      <c r="G92" s="8" t="n">
        <f aca="false">$K$4</f>
        <v>3.04040404040404</v>
      </c>
      <c r="H92" s="8" t="n">
        <f aca="false">3.267*$K$4</f>
        <v>9.933</v>
      </c>
    </row>
    <row r="93" customFormat="false" ht="15" hidden="false" customHeight="false" outlineLevel="0" collapsed="false">
      <c r="A93" s="0" t="n">
        <v>92</v>
      </c>
      <c r="B93" s="0" t="n">
        <v>66</v>
      </c>
      <c r="C93" s="8" t="n">
        <f aca="false">ABS(B93-B92)</f>
        <v>5</v>
      </c>
      <c r="D93" s="8" t="n">
        <f aca="false">$K$3</f>
        <v>69.05</v>
      </c>
      <c r="E93" s="8" t="n">
        <f aca="false">$K$3+2.66*$K$4</f>
        <v>77.1374747474747</v>
      </c>
      <c r="F93" s="8" t="n">
        <f aca="false">$K$3-2.66*$K$4</f>
        <v>60.9625252525253</v>
      </c>
      <c r="G93" s="8" t="n">
        <f aca="false">$K$4</f>
        <v>3.04040404040404</v>
      </c>
      <c r="H93" s="8" t="n">
        <f aca="false">3.267*$K$4</f>
        <v>9.933</v>
      </c>
    </row>
    <row r="94" customFormat="false" ht="15" hidden="false" customHeight="false" outlineLevel="0" collapsed="false">
      <c r="A94" s="0" t="n">
        <v>93</v>
      </c>
      <c r="B94" s="0" t="n">
        <v>70</v>
      </c>
      <c r="C94" s="8" t="n">
        <f aca="false">ABS(B94-B93)</f>
        <v>4</v>
      </c>
      <c r="D94" s="8" t="n">
        <f aca="false">$K$3</f>
        <v>69.05</v>
      </c>
      <c r="E94" s="8" t="n">
        <f aca="false">$K$3+2.66*$K$4</f>
        <v>77.1374747474747</v>
      </c>
      <c r="F94" s="8" t="n">
        <f aca="false">$K$3-2.66*$K$4</f>
        <v>60.9625252525253</v>
      </c>
      <c r="G94" s="8" t="n">
        <f aca="false">$K$4</f>
        <v>3.04040404040404</v>
      </c>
      <c r="H94" s="8" t="n">
        <f aca="false">3.267*$K$4</f>
        <v>9.933</v>
      </c>
    </row>
    <row r="95" customFormat="false" ht="15" hidden="false" customHeight="false" outlineLevel="0" collapsed="false">
      <c r="A95" s="0" t="n">
        <v>94</v>
      </c>
      <c r="B95" s="0" t="n">
        <v>70</v>
      </c>
      <c r="C95" s="8" t="n">
        <f aca="false">ABS(B95-B94)</f>
        <v>0</v>
      </c>
      <c r="D95" s="8" t="n">
        <f aca="false">$K$3</f>
        <v>69.05</v>
      </c>
      <c r="E95" s="8" t="n">
        <f aca="false">$K$3+2.66*$K$4</f>
        <v>77.1374747474747</v>
      </c>
      <c r="F95" s="8" t="n">
        <f aca="false">$K$3-2.66*$K$4</f>
        <v>60.9625252525253</v>
      </c>
      <c r="G95" s="8" t="n">
        <f aca="false">$K$4</f>
        <v>3.04040404040404</v>
      </c>
      <c r="H95" s="8" t="n">
        <f aca="false">3.267*$K$4</f>
        <v>9.933</v>
      </c>
    </row>
    <row r="96" customFormat="false" ht="15" hidden="false" customHeight="false" outlineLevel="0" collapsed="false">
      <c r="A96" s="0" t="n">
        <v>95</v>
      </c>
      <c r="B96" s="0" t="n">
        <v>69</v>
      </c>
      <c r="C96" s="8" t="n">
        <f aca="false">ABS(B96-B95)</f>
        <v>1</v>
      </c>
      <c r="D96" s="8" t="n">
        <f aca="false">$K$3</f>
        <v>69.05</v>
      </c>
      <c r="E96" s="8" t="n">
        <f aca="false">$K$3+2.66*$K$4</f>
        <v>77.1374747474747</v>
      </c>
      <c r="F96" s="8" t="n">
        <f aca="false">$K$3-2.66*$K$4</f>
        <v>60.9625252525253</v>
      </c>
      <c r="G96" s="8" t="n">
        <f aca="false">$K$4</f>
        <v>3.04040404040404</v>
      </c>
      <c r="H96" s="8" t="n">
        <f aca="false">3.267*$K$4</f>
        <v>9.933</v>
      </c>
    </row>
    <row r="97" customFormat="false" ht="15" hidden="false" customHeight="false" outlineLevel="0" collapsed="false">
      <c r="A97" s="0" t="n">
        <v>96</v>
      </c>
      <c r="B97" s="0" t="n">
        <v>73</v>
      </c>
      <c r="C97" s="8" t="n">
        <f aca="false">ABS(B97-B96)</f>
        <v>4</v>
      </c>
      <c r="D97" s="8" t="n">
        <f aca="false">$K$3</f>
        <v>69.05</v>
      </c>
      <c r="E97" s="8" t="n">
        <f aca="false">$K$3+2.66*$K$4</f>
        <v>77.1374747474747</v>
      </c>
      <c r="F97" s="8" t="n">
        <f aca="false">$K$3-2.66*$K$4</f>
        <v>60.9625252525253</v>
      </c>
      <c r="G97" s="8" t="n">
        <f aca="false">$K$4</f>
        <v>3.04040404040404</v>
      </c>
      <c r="H97" s="8" t="n">
        <f aca="false">3.267*$K$4</f>
        <v>9.933</v>
      </c>
    </row>
    <row r="98" customFormat="false" ht="15" hidden="false" customHeight="false" outlineLevel="0" collapsed="false">
      <c r="A98" s="0" t="n">
        <v>97</v>
      </c>
      <c r="B98" s="0" t="n">
        <v>69</v>
      </c>
      <c r="C98" s="8" t="n">
        <f aca="false">ABS(B98-B97)</f>
        <v>4</v>
      </c>
      <c r="D98" s="8" t="n">
        <f aca="false">$K$3</f>
        <v>69.05</v>
      </c>
      <c r="E98" s="8" t="n">
        <f aca="false">$K$3+2.66*$K$4</f>
        <v>77.1374747474747</v>
      </c>
      <c r="F98" s="8" t="n">
        <f aca="false">$K$3-2.66*$K$4</f>
        <v>60.9625252525253</v>
      </c>
      <c r="G98" s="8" t="n">
        <f aca="false">$K$4</f>
        <v>3.04040404040404</v>
      </c>
      <c r="H98" s="8" t="n">
        <f aca="false">3.267*$K$4</f>
        <v>9.933</v>
      </c>
    </row>
    <row r="99" customFormat="false" ht="15" hidden="false" customHeight="false" outlineLevel="0" collapsed="false">
      <c r="A99" s="0" t="n">
        <v>98</v>
      </c>
      <c r="B99" s="0" t="n">
        <v>67</v>
      </c>
      <c r="C99" s="8" t="n">
        <f aca="false">ABS(B99-B98)</f>
        <v>2</v>
      </c>
      <c r="D99" s="8" t="n">
        <f aca="false">$K$3</f>
        <v>69.05</v>
      </c>
      <c r="E99" s="8" t="n">
        <f aca="false">$K$3+2.66*$K$4</f>
        <v>77.1374747474747</v>
      </c>
      <c r="F99" s="8" t="n">
        <f aca="false">$K$3-2.66*$K$4</f>
        <v>60.9625252525253</v>
      </c>
      <c r="G99" s="8" t="n">
        <f aca="false">$K$4</f>
        <v>3.04040404040404</v>
      </c>
      <c r="H99" s="8" t="n">
        <f aca="false">3.267*$K$4</f>
        <v>9.933</v>
      </c>
    </row>
    <row r="100" customFormat="false" ht="15" hidden="false" customHeight="false" outlineLevel="0" collapsed="false">
      <c r="A100" s="0" t="n">
        <v>99</v>
      </c>
      <c r="B100" s="0" t="n">
        <v>68</v>
      </c>
      <c r="C100" s="8" t="n">
        <f aca="false">ABS(B100-B99)</f>
        <v>1</v>
      </c>
      <c r="D100" s="8" t="n">
        <f aca="false">$K$3</f>
        <v>69.05</v>
      </c>
      <c r="E100" s="8" t="n">
        <f aca="false">$K$3+2.66*$K$4</f>
        <v>77.1374747474747</v>
      </c>
      <c r="F100" s="8" t="n">
        <f aca="false">$K$3-2.66*$K$4</f>
        <v>60.9625252525253</v>
      </c>
      <c r="G100" s="8" t="n">
        <f aca="false">$K$4</f>
        <v>3.04040404040404</v>
      </c>
      <c r="H100" s="8" t="n">
        <f aca="false">3.267*$K$4</f>
        <v>9.933</v>
      </c>
    </row>
    <row r="101" customFormat="false" ht="15" hidden="false" customHeight="false" outlineLevel="0" collapsed="false">
      <c r="A101" s="0" t="n">
        <v>100</v>
      </c>
      <c r="B101" s="0" t="n">
        <v>68</v>
      </c>
      <c r="C101" s="8" t="n">
        <f aca="false">ABS(B101-B100)</f>
        <v>0</v>
      </c>
      <c r="D101" s="8" t="n">
        <f aca="false">$K$3</f>
        <v>69.05</v>
      </c>
      <c r="E101" s="8" t="n">
        <f aca="false">$K$3+2.66*$K$4</f>
        <v>77.1374747474747</v>
      </c>
      <c r="F101" s="8" t="n">
        <f aca="false">$K$3-2.66*$K$4</f>
        <v>60.9625252525253</v>
      </c>
      <c r="G101" s="8" t="n">
        <f aca="false">$K$4</f>
        <v>3.04040404040404</v>
      </c>
      <c r="H101" s="8" t="n">
        <f aca="false">3.267*$K$4</f>
        <v>9.933</v>
      </c>
    </row>
  </sheetData>
  <mergeCells count="1">
    <mergeCell ref="J10:M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1" style="0" width="22"/>
  </cols>
  <sheetData>
    <row r="1" customFormat="false" ht="28.35" hidden="false" customHeight="false" outlineLevel="0" collapsed="false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</row>
    <row r="2" customFormat="false" ht="15" hidden="false" customHeight="false" outlineLevel="0" collapsed="false">
      <c r="A2" s="0" t="n">
        <v>1</v>
      </c>
      <c r="B2" s="0" t="n">
        <v>150</v>
      </c>
      <c r="C2" s="0" t="n">
        <v>3</v>
      </c>
      <c r="D2" s="9" t="n">
        <f aca="false">C2/B2</f>
        <v>0.02</v>
      </c>
      <c r="E2" s="9" t="n">
        <f aca="false">$L$2+3*SQRT($L$2*(1-$L$2)/B2)</f>
        <v>0.0992638852524712</v>
      </c>
      <c r="F2" s="9" t="n">
        <f aca="false">MAX(0,$L$2-3*SQRT($L$2*(1-$L$2)/B2))</f>
        <v>0</v>
      </c>
      <c r="G2" s="9" t="n">
        <f aca="false">$L$2</f>
        <v>0.0472777777777778</v>
      </c>
      <c r="H2" s="8" t="n">
        <f aca="false">B2*$L$2</f>
        <v>7.09166666666667</v>
      </c>
      <c r="I2" s="8" t="n">
        <f aca="false">H2+3*SQRT(H2*(1-$L$2))</f>
        <v>14.8895827878707</v>
      </c>
      <c r="J2" s="8" t="n">
        <f aca="false">MAX(0,H2-3*SQRT(H2*(1-$L$2)))</f>
        <v>0</v>
      </c>
      <c r="K2" s="3" t="s">
        <v>77</v>
      </c>
      <c r="L2" s="10" t="n">
        <f aca="false">SUM(C2:C121)/SUM(B2:B121)</f>
        <v>0.0472777777777778</v>
      </c>
    </row>
    <row r="3" customFormat="false" ht="15" hidden="false" customHeight="false" outlineLevel="0" collapsed="false">
      <c r="A3" s="0" t="n">
        <v>2</v>
      </c>
      <c r="B3" s="0" t="n">
        <v>150</v>
      </c>
      <c r="C3" s="0" t="n">
        <v>4</v>
      </c>
      <c r="D3" s="9" t="n">
        <f aca="false">C3/B3</f>
        <v>0.0266666666666667</v>
      </c>
      <c r="E3" s="9" t="n">
        <f aca="false">$L$2+3*SQRT($L$2*(1-$L$2)/B3)</f>
        <v>0.0992638852524712</v>
      </c>
      <c r="F3" s="9" t="n">
        <f aca="false">MAX(0,$L$2-3*SQRT($L$2*(1-$L$2)/B3))</f>
        <v>0</v>
      </c>
      <c r="G3" s="9" t="n">
        <f aca="false">$L$2</f>
        <v>0.0472777777777778</v>
      </c>
      <c r="H3" s="8" t="n">
        <f aca="false">B3*$L$2</f>
        <v>7.09166666666667</v>
      </c>
      <c r="I3" s="8" t="n">
        <f aca="false">H3+3*SQRT(H3*(1-$L$2))</f>
        <v>14.8895827878707</v>
      </c>
      <c r="J3" s="8" t="n">
        <f aca="false">MAX(0,H3-3*SQRT(H3*(1-$L$2)))</f>
        <v>0</v>
      </c>
      <c r="K3" s="3" t="s">
        <v>81</v>
      </c>
      <c r="L3" s="6" t="n">
        <f aca="false">SUMPRODUCT((D2:D121&gt;E2:E121)+(D2:D121&lt;F2:F121))</f>
        <v>3</v>
      </c>
    </row>
    <row r="4" customFormat="false" ht="15" hidden="false" customHeight="false" outlineLevel="0" collapsed="false">
      <c r="A4" s="0" t="n">
        <v>3</v>
      </c>
      <c r="B4" s="0" t="n">
        <v>150</v>
      </c>
      <c r="C4" s="0" t="n">
        <v>2</v>
      </c>
      <c r="D4" s="9" t="n">
        <f aca="false">C4/B4</f>
        <v>0.0133333333333333</v>
      </c>
      <c r="E4" s="9" t="n">
        <f aca="false">$L$2+3*SQRT($L$2*(1-$L$2)/B4)</f>
        <v>0.0992638852524712</v>
      </c>
      <c r="F4" s="9" t="n">
        <f aca="false">MAX(0,$L$2-3*SQRT($L$2*(1-$L$2)/B4))</f>
        <v>0</v>
      </c>
      <c r="G4" s="9" t="n">
        <f aca="false">$L$2</f>
        <v>0.0472777777777778</v>
      </c>
      <c r="H4" s="8" t="n">
        <f aca="false">B4*$L$2</f>
        <v>7.09166666666667</v>
      </c>
      <c r="I4" s="8" t="n">
        <f aca="false">H4+3*SQRT(H4*(1-$L$2))</f>
        <v>14.8895827878707</v>
      </c>
      <c r="J4" s="8" t="n">
        <f aca="false">MAX(0,H4-3*SQRT(H4*(1-$L$2)))</f>
        <v>0</v>
      </c>
      <c r="K4" s="3" t="s">
        <v>82</v>
      </c>
      <c r="L4" s="6" t="n">
        <f aca="false">SUMPRODUCT((C2:C121&gt;I2:I121)+(C2:C121&lt;J2:J121))</f>
        <v>3</v>
      </c>
    </row>
    <row r="5" customFormat="false" ht="15" hidden="false" customHeight="false" outlineLevel="0" collapsed="false">
      <c r="A5" s="0" t="n">
        <v>4</v>
      </c>
      <c r="B5" s="0" t="n">
        <v>150</v>
      </c>
      <c r="C5" s="0" t="n">
        <v>5</v>
      </c>
      <c r="D5" s="9" t="n">
        <f aca="false">C5/B5</f>
        <v>0.0333333333333333</v>
      </c>
      <c r="E5" s="9" t="n">
        <f aca="false">$L$2+3*SQRT($L$2*(1-$L$2)/B5)</f>
        <v>0.0992638852524712</v>
      </c>
      <c r="F5" s="9" t="n">
        <f aca="false">MAX(0,$L$2-3*SQRT($L$2*(1-$L$2)/B5))</f>
        <v>0</v>
      </c>
      <c r="G5" s="9" t="n">
        <f aca="false">$L$2</f>
        <v>0.0472777777777778</v>
      </c>
      <c r="H5" s="8" t="n">
        <f aca="false">B5*$L$2</f>
        <v>7.09166666666667</v>
      </c>
      <c r="I5" s="8" t="n">
        <f aca="false">H5+3*SQRT(H5*(1-$L$2))</f>
        <v>14.8895827878707</v>
      </c>
      <c r="J5" s="8" t="n">
        <f aca="false">MAX(0,H5-3*SQRT(H5*(1-$L$2)))</f>
        <v>0</v>
      </c>
    </row>
    <row r="6" customFormat="false" ht="15" hidden="false" customHeight="false" outlineLevel="0" collapsed="false">
      <c r="A6" s="0" t="n">
        <v>5</v>
      </c>
      <c r="B6" s="0" t="n">
        <v>150</v>
      </c>
      <c r="C6" s="0" t="n">
        <v>6</v>
      </c>
      <c r="D6" s="9" t="n">
        <f aca="false">C6/B6</f>
        <v>0.04</v>
      </c>
      <c r="E6" s="9" t="n">
        <f aca="false">$L$2+3*SQRT($L$2*(1-$L$2)/B6)</f>
        <v>0.0992638852524712</v>
      </c>
      <c r="F6" s="9" t="n">
        <f aca="false">MAX(0,$L$2-3*SQRT($L$2*(1-$L$2)/B6))</f>
        <v>0</v>
      </c>
      <c r="G6" s="9" t="n">
        <f aca="false">$L$2</f>
        <v>0.0472777777777778</v>
      </c>
      <c r="H6" s="8" t="n">
        <f aca="false">B6*$L$2</f>
        <v>7.09166666666667</v>
      </c>
      <c r="I6" s="8" t="n">
        <f aca="false">H6+3*SQRT(H6*(1-$L$2))</f>
        <v>14.8895827878707</v>
      </c>
      <c r="J6" s="8" t="n">
        <f aca="false">MAX(0,H6-3*SQRT(H6*(1-$L$2)))</f>
        <v>0</v>
      </c>
    </row>
    <row r="7" customFormat="false" ht="15" hidden="false" customHeight="false" outlineLevel="0" collapsed="false">
      <c r="A7" s="0" t="n">
        <v>6</v>
      </c>
      <c r="B7" s="0" t="n">
        <v>150</v>
      </c>
      <c r="C7" s="0" t="n">
        <v>10</v>
      </c>
      <c r="D7" s="9" t="n">
        <f aca="false">C7/B7</f>
        <v>0.0666666666666667</v>
      </c>
      <c r="E7" s="9" t="n">
        <f aca="false">$L$2+3*SQRT($L$2*(1-$L$2)/B7)</f>
        <v>0.0992638852524712</v>
      </c>
      <c r="F7" s="9" t="n">
        <f aca="false">MAX(0,$L$2-3*SQRT($L$2*(1-$L$2)/B7))</f>
        <v>0</v>
      </c>
      <c r="G7" s="9" t="n">
        <f aca="false">$L$2</f>
        <v>0.0472777777777778</v>
      </c>
      <c r="H7" s="8" t="n">
        <f aca="false">B7*$L$2</f>
        <v>7.09166666666667</v>
      </c>
      <c r="I7" s="8" t="n">
        <f aca="false">H7+3*SQRT(H7*(1-$L$2))</f>
        <v>14.8895827878707</v>
      </c>
      <c r="J7" s="8" t="n">
        <f aca="false">MAX(0,H7-3*SQRT(H7*(1-$L$2)))</f>
        <v>0</v>
      </c>
    </row>
    <row r="8" customFormat="false" ht="15" hidden="false" customHeight="false" outlineLevel="0" collapsed="false">
      <c r="A8" s="0" t="n">
        <v>7</v>
      </c>
      <c r="B8" s="0" t="n">
        <v>150</v>
      </c>
      <c r="C8" s="0" t="n">
        <v>5</v>
      </c>
      <c r="D8" s="9" t="n">
        <f aca="false">C8/B8</f>
        <v>0.0333333333333333</v>
      </c>
      <c r="E8" s="9" t="n">
        <f aca="false">$L$2+3*SQRT($L$2*(1-$L$2)/B8)</f>
        <v>0.0992638852524712</v>
      </c>
      <c r="F8" s="9" t="n">
        <f aca="false">MAX(0,$L$2-3*SQRT($L$2*(1-$L$2)/B8))</f>
        <v>0</v>
      </c>
      <c r="G8" s="9" t="n">
        <f aca="false">$L$2</f>
        <v>0.0472777777777778</v>
      </c>
      <c r="H8" s="8" t="n">
        <f aca="false">B8*$L$2</f>
        <v>7.09166666666667</v>
      </c>
      <c r="I8" s="8" t="n">
        <f aca="false">H8+3*SQRT(H8*(1-$L$2))</f>
        <v>14.8895827878707</v>
      </c>
      <c r="J8" s="8" t="n">
        <f aca="false">MAX(0,H8-3*SQRT(H8*(1-$L$2)))</f>
        <v>0</v>
      </c>
    </row>
    <row r="9" customFormat="false" ht="15" hidden="false" customHeight="false" outlineLevel="0" collapsed="false">
      <c r="A9" s="0" t="n">
        <v>8</v>
      </c>
      <c r="B9" s="0" t="n">
        <v>150</v>
      </c>
      <c r="C9" s="0" t="n">
        <v>4</v>
      </c>
      <c r="D9" s="9" t="n">
        <f aca="false">C9/B9</f>
        <v>0.0266666666666667</v>
      </c>
      <c r="E9" s="9" t="n">
        <f aca="false">$L$2+3*SQRT($L$2*(1-$L$2)/B9)</f>
        <v>0.0992638852524712</v>
      </c>
      <c r="F9" s="9" t="n">
        <f aca="false">MAX(0,$L$2-3*SQRT($L$2*(1-$L$2)/B9))</f>
        <v>0</v>
      </c>
      <c r="G9" s="9" t="n">
        <f aca="false">$L$2</f>
        <v>0.0472777777777778</v>
      </c>
      <c r="H9" s="8" t="n">
        <f aca="false">B9*$L$2</f>
        <v>7.09166666666667</v>
      </c>
      <c r="I9" s="8" t="n">
        <f aca="false">H9+3*SQRT(H9*(1-$L$2))</f>
        <v>14.8895827878707</v>
      </c>
      <c r="J9" s="8" t="n">
        <f aca="false">MAX(0,H9-3*SQRT(H9*(1-$L$2)))</f>
        <v>0</v>
      </c>
    </row>
    <row r="10" customFormat="false" ht="15" hidden="false" customHeight="false" outlineLevel="0" collapsed="false">
      <c r="A10" s="0" t="n">
        <v>9</v>
      </c>
      <c r="B10" s="0" t="n">
        <v>150</v>
      </c>
      <c r="C10" s="0" t="n">
        <v>3</v>
      </c>
      <c r="D10" s="9" t="n">
        <f aca="false">C10/B10</f>
        <v>0.02</v>
      </c>
      <c r="E10" s="9" t="n">
        <f aca="false">$L$2+3*SQRT($L$2*(1-$L$2)/B10)</f>
        <v>0.0992638852524712</v>
      </c>
      <c r="F10" s="9" t="n">
        <f aca="false">MAX(0,$L$2-3*SQRT($L$2*(1-$L$2)/B10))</f>
        <v>0</v>
      </c>
      <c r="G10" s="9" t="n">
        <f aca="false">$L$2</f>
        <v>0.0472777777777778</v>
      </c>
      <c r="H10" s="8" t="n">
        <f aca="false">B10*$L$2</f>
        <v>7.09166666666667</v>
      </c>
      <c r="I10" s="8" t="n">
        <f aca="false">H10+3*SQRT(H10*(1-$L$2))</f>
        <v>14.8895827878707</v>
      </c>
      <c r="J10" s="8" t="n">
        <f aca="false">MAX(0,H10-3*SQRT(H10*(1-$L$2)))</f>
        <v>0</v>
      </c>
    </row>
    <row r="11" customFormat="false" ht="15" hidden="false" customHeight="false" outlineLevel="0" collapsed="false">
      <c r="A11" s="0" t="n">
        <v>10</v>
      </c>
      <c r="B11" s="0" t="n">
        <v>150</v>
      </c>
      <c r="C11" s="0" t="n">
        <v>11</v>
      </c>
      <c r="D11" s="9" t="n">
        <f aca="false">C11/B11</f>
        <v>0.0733333333333333</v>
      </c>
      <c r="E11" s="9" t="n">
        <f aca="false">$L$2+3*SQRT($L$2*(1-$L$2)/B11)</f>
        <v>0.0992638852524712</v>
      </c>
      <c r="F11" s="9" t="n">
        <f aca="false">MAX(0,$L$2-3*SQRT($L$2*(1-$L$2)/B11))</f>
        <v>0</v>
      </c>
      <c r="G11" s="9" t="n">
        <f aca="false">$L$2</f>
        <v>0.0472777777777778</v>
      </c>
      <c r="H11" s="8" t="n">
        <f aca="false">B11*$L$2</f>
        <v>7.09166666666667</v>
      </c>
      <c r="I11" s="8" t="n">
        <f aca="false">H11+3*SQRT(H11*(1-$L$2))</f>
        <v>14.8895827878707</v>
      </c>
      <c r="J11" s="8" t="n">
        <f aca="false">MAX(0,H11-3*SQRT(H11*(1-$L$2)))</f>
        <v>0</v>
      </c>
    </row>
    <row r="12" customFormat="false" ht="15" hidden="false" customHeight="false" outlineLevel="0" collapsed="false">
      <c r="A12" s="0" t="n">
        <v>11</v>
      </c>
      <c r="B12" s="0" t="n">
        <v>150</v>
      </c>
      <c r="C12" s="0" t="n">
        <v>9</v>
      </c>
      <c r="D12" s="9" t="n">
        <f aca="false">C12/B12</f>
        <v>0.06</v>
      </c>
      <c r="E12" s="9" t="n">
        <f aca="false">$L$2+3*SQRT($L$2*(1-$L$2)/B12)</f>
        <v>0.0992638852524712</v>
      </c>
      <c r="F12" s="9" t="n">
        <f aca="false">MAX(0,$L$2-3*SQRT($L$2*(1-$L$2)/B12))</f>
        <v>0</v>
      </c>
      <c r="G12" s="9" t="n">
        <f aca="false">$L$2</f>
        <v>0.0472777777777778</v>
      </c>
      <c r="H12" s="8" t="n">
        <f aca="false">B12*$L$2</f>
        <v>7.09166666666667</v>
      </c>
      <c r="I12" s="8" t="n">
        <f aca="false">H12+3*SQRT(H12*(1-$L$2))</f>
        <v>14.8895827878707</v>
      </c>
      <c r="J12" s="8" t="n">
        <f aca="false">MAX(0,H12-3*SQRT(H12*(1-$L$2)))</f>
        <v>0</v>
      </c>
    </row>
    <row r="13" customFormat="false" ht="15" hidden="false" customHeight="false" outlineLevel="0" collapsed="false">
      <c r="A13" s="0" t="n">
        <v>12</v>
      </c>
      <c r="B13" s="0" t="n">
        <v>150</v>
      </c>
      <c r="C13" s="0" t="n">
        <v>2</v>
      </c>
      <c r="D13" s="9" t="n">
        <f aca="false">C13/B13</f>
        <v>0.0133333333333333</v>
      </c>
      <c r="E13" s="9" t="n">
        <f aca="false">$L$2+3*SQRT($L$2*(1-$L$2)/B13)</f>
        <v>0.0992638852524712</v>
      </c>
      <c r="F13" s="9" t="n">
        <f aca="false">MAX(0,$L$2-3*SQRT($L$2*(1-$L$2)/B13))</f>
        <v>0</v>
      </c>
      <c r="G13" s="9" t="n">
        <f aca="false">$L$2</f>
        <v>0.0472777777777778</v>
      </c>
      <c r="H13" s="8" t="n">
        <f aca="false">B13*$L$2</f>
        <v>7.09166666666667</v>
      </c>
      <c r="I13" s="8" t="n">
        <f aca="false">H13+3*SQRT(H13*(1-$L$2))</f>
        <v>14.8895827878707</v>
      </c>
      <c r="J13" s="8" t="n">
        <f aca="false">MAX(0,H13-3*SQRT(H13*(1-$L$2)))</f>
        <v>0</v>
      </c>
    </row>
    <row r="14" customFormat="false" ht="15" hidden="false" customHeight="false" outlineLevel="0" collapsed="false">
      <c r="A14" s="0" t="n">
        <v>13</v>
      </c>
      <c r="B14" s="0" t="n">
        <v>150</v>
      </c>
      <c r="C14" s="0" t="n">
        <v>7</v>
      </c>
      <c r="D14" s="9" t="n">
        <f aca="false">C14/B14</f>
        <v>0.0466666666666667</v>
      </c>
      <c r="E14" s="9" t="n">
        <f aca="false">$L$2+3*SQRT($L$2*(1-$L$2)/B14)</f>
        <v>0.0992638852524712</v>
      </c>
      <c r="F14" s="9" t="n">
        <f aca="false">MAX(0,$L$2-3*SQRT($L$2*(1-$L$2)/B14))</f>
        <v>0</v>
      </c>
      <c r="G14" s="9" t="n">
        <f aca="false">$L$2</f>
        <v>0.0472777777777778</v>
      </c>
      <c r="H14" s="8" t="n">
        <f aca="false">B14*$L$2</f>
        <v>7.09166666666667</v>
      </c>
      <c r="I14" s="8" t="n">
        <f aca="false">H14+3*SQRT(H14*(1-$L$2))</f>
        <v>14.8895827878707</v>
      </c>
      <c r="J14" s="8" t="n">
        <f aca="false">MAX(0,H14-3*SQRT(H14*(1-$L$2)))</f>
        <v>0</v>
      </c>
    </row>
    <row r="15" customFormat="false" ht="15" hidden="false" customHeight="false" outlineLevel="0" collapsed="false">
      <c r="A15" s="0" t="n">
        <v>14</v>
      </c>
      <c r="B15" s="0" t="n">
        <v>150</v>
      </c>
      <c r="C15" s="0" t="n">
        <v>8</v>
      </c>
      <c r="D15" s="9" t="n">
        <f aca="false">C15/B15</f>
        <v>0.0533333333333333</v>
      </c>
      <c r="E15" s="9" t="n">
        <f aca="false">$L$2+3*SQRT($L$2*(1-$L$2)/B15)</f>
        <v>0.0992638852524712</v>
      </c>
      <c r="F15" s="9" t="n">
        <f aca="false">MAX(0,$L$2-3*SQRT($L$2*(1-$L$2)/B15))</f>
        <v>0</v>
      </c>
      <c r="G15" s="9" t="n">
        <f aca="false">$L$2</f>
        <v>0.0472777777777778</v>
      </c>
      <c r="H15" s="8" t="n">
        <f aca="false">B15*$L$2</f>
        <v>7.09166666666667</v>
      </c>
      <c r="I15" s="8" t="n">
        <f aca="false">H15+3*SQRT(H15*(1-$L$2))</f>
        <v>14.8895827878707</v>
      </c>
      <c r="J15" s="8" t="n">
        <f aca="false">MAX(0,H15-3*SQRT(H15*(1-$L$2)))</f>
        <v>0</v>
      </c>
    </row>
    <row r="16" customFormat="false" ht="15" hidden="false" customHeight="false" outlineLevel="0" collapsed="false">
      <c r="A16" s="0" t="n">
        <v>15</v>
      </c>
      <c r="B16" s="0" t="n">
        <v>150</v>
      </c>
      <c r="C16" s="0" t="n">
        <v>4</v>
      </c>
      <c r="D16" s="9" t="n">
        <f aca="false">C16/B16</f>
        <v>0.0266666666666667</v>
      </c>
      <c r="E16" s="9" t="n">
        <f aca="false">$L$2+3*SQRT($L$2*(1-$L$2)/B16)</f>
        <v>0.0992638852524712</v>
      </c>
      <c r="F16" s="9" t="n">
        <f aca="false">MAX(0,$L$2-3*SQRT($L$2*(1-$L$2)/B16))</f>
        <v>0</v>
      </c>
      <c r="G16" s="9" t="n">
        <f aca="false">$L$2</f>
        <v>0.0472777777777778</v>
      </c>
      <c r="H16" s="8" t="n">
        <f aca="false">B16*$L$2</f>
        <v>7.09166666666667</v>
      </c>
      <c r="I16" s="8" t="n">
        <f aca="false">H16+3*SQRT(H16*(1-$L$2))</f>
        <v>14.8895827878707</v>
      </c>
      <c r="J16" s="8" t="n">
        <f aca="false">MAX(0,H16-3*SQRT(H16*(1-$L$2)))</f>
        <v>0</v>
      </c>
    </row>
    <row r="17" customFormat="false" ht="15" hidden="false" customHeight="false" outlineLevel="0" collapsed="false">
      <c r="A17" s="0" t="n">
        <v>16</v>
      </c>
      <c r="B17" s="0" t="n">
        <v>150</v>
      </c>
      <c r="C17" s="0" t="n">
        <v>2</v>
      </c>
      <c r="D17" s="9" t="n">
        <f aca="false">C17/B17</f>
        <v>0.0133333333333333</v>
      </c>
      <c r="E17" s="9" t="n">
        <f aca="false">$L$2+3*SQRT($L$2*(1-$L$2)/B17)</f>
        <v>0.0992638852524712</v>
      </c>
      <c r="F17" s="9" t="n">
        <f aca="false">MAX(0,$L$2-3*SQRT($L$2*(1-$L$2)/B17))</f>
        <v>0</v>
      </c>
      <c r="G17" s="9" t="n">
        <f aca="false">$L$2</f>
        <v>0.0472777777777778</v>
      </c>
      <c r="H17" s="8" t="n">
        <f aca="false">B17*$L$2</f>
        <v>7.09166666666667</v>
      </c>
      <c r="I17" s="8" t="n">
        <f aca="false">H17+3*SQRT(H17*(1-$L$2))</f>
        <v>14.8895827878707</v>
      </c>
      <c r="J17" s="8" t="n">
        <f aca="false">MAX(0,H17-3*SQRT(H17*(1-$L$2)))</f>
        <v>0</v>
      </c>
    </row>
    <row r="18" customFormat="false" ht="15" hidden="false" customHeight="false" outlineLevel="0" collapsed="false">
      <c r="A18" s="0" t="n">
        <v>17</v>
      </c>
      <c r="B18" s="0" t="n">
        <v>150</v>
      </c>
      <c r="C18" s="0" t="n">
        <v>6</v>
      </c>
      <c r="D18" s="9" t="n">
        <f aca="false">C18/B18</f>
        <v>0.04</v>
      </c>
      <c r="E18" s="9" t="n">
        <f aca="false">$L$2+3*SQRT($L$2*(1-$L$2)/B18)</f>
        <v>0.0992638852524712</v>
      </c>
      <c r="F18" s="9" t="n">
        <f aca="false">MAX(0,$L$2-3*SQRT($L$2*(1-$L$2)/B18))</f>
        <v>0</v>
      </c>
      <c r="G18" s="9" t="n">
        <f aca="false">$L$2</f>
        <v>0.0472777777777778</v>
      </c>
      <c r="H18" s="8" t="n">
        <f aca="false">B18*$L$2</f>
        <v>7.09166666666667</v>
      </c>
      <c r="I18" s="8" t="n">
        <f aca="false">H18+3*SQRT(H18*(1-$L$2))</f>
        <v>14.8895827878707</v>
      </c>
      <c r="J18" s="8" t="n">
        <f aca="false">MAX(0,H18-3*SQRT(H18*(1-$L$2)))</f>
        <v>0</v>
      </c>
    </row>
    <row r="19" customFormat="false" ht="15" hidden="false" customHeight="false" outlineLevel="0" collapsed="false">
      <c r="A19" s="0" t="n">
        <v>18</v>
      </c>
      <c r="B19" s="0" t="n">
        <v>150</v>
      </c>
      <c r="C19" s="0" t="n">
        <v>5</v>
      </c>
      <c r="D19" s="9" t="n">
        <f aca="false">C19/B19</f>
        <v>0.0333333333333333</v>
      </c>
      <c r="E19" s="9" t="n">
        <f aca="false">$L$2+3*SQRT($L$2*(1-$L$2)/B19)</f>
        <v>0.0992638852524712</v>
      </c>
      <c r="F19" s="9" t="n">
        <f aca="false">MAX(0,$L$2-3*SQRT($L$2*(1-$L$2)/B19))</f>
        <v>0</v>
      </c>
      <c r="G19" s="9" t="n">
        <f aca="false">$L$2</f>
        <v>0.0472777777777778</v>
      </c>
      <c r="H19" s="8" t="n">
        <f aca="false">B19*$L$2</f>
        <v>7.09166666666667</v>
      </c>
      <c r="I19" s="8" t="n">
        <f aca="false">H19+3*SQRT(H19*(1-$L$2))</f>
        <v>14.8895827878707</v>
      </c>
      <c r="J19" s="8" t="n">
        <f aca="false">MAX(0,H19-3*SQRT(H19*(1-$L$2)))</f>
        <v>0</v>
      </c>
    </row>
    <row r="20" customFormat="false" ht="15" hidden="false" customHeight="false" outlineLevel="0" collapsed="false">
      <c r="A20" s="0" t="n">
        <v>19</v>
      </c>
      <c r="B20" s="0" t="n">
        <v>150</v>
      </c>
      <c r="C20" s="0" t="n">
        <v>4</v>
      </c>
      <c r="D20" s="9" t="n">
        <f aca="false">C20/B20</f>
        <v>0.0266666666666667</v>
      </c>
      <c r="E20" s="9" t="n">
        <f aca="false">$L$2+3*SQRT($L$2*(1-$L$2)/B20)</f>
        <v>0.0992638852524712</v>
      </c>
      <c r="F20" s="9" t="n">
        <f aca="false">MAX(0,$L$2-3*SQRT($L$2*(1-$L$2)/B20))</f>
        <v>0</v>
      </c>
      <c r="G20" s="9" t="n">
        <f aca="false">$L$2</f>
        <v>0.0472777777777778</v>
      </c>
      <c r="H20" s="8" t="n">
        <f aca="false">B20*$L$2</f>
        <v>7.09166666666667</v>
      </c>
      <c r="I20" s="8" t="n">
        <f aca="false">H20+3*SQRT(H20*(1-$L$2))</f>
        <v>14.8895827878707</v>
      </c>
      <c r="J20" s="8" t="n">
        <f aca="false">MAX(0,H20-3*SQRT(H20*(1-$L$2)))</f>
        <v>0</v>
      </c>
    </row>
    <row r="21" customFormat="false" ht="15" hidden="false" customHeight="false" outlineLevel="0" collapsed="false">
      <c r="A21" s="0" t="n">
        <v>20</v>
      </c>
      <c r="B21" s="0" t="n">
        <v>150</v>
      </c>
      <c r="C21" s="0" t="n">
        <v>3</v>
      </c>
      <c r="D21" s="9" t="n">
        <f aca="false">C21/B21</f>
        <v>0.02</v>
      </c>
      <c r="E21" s="9" t="n">
        <f aca="false">$L$2+3*SQRT($L$2*(1-$L$2)/B21)</f>
        <v>0.0992638852524712</v>
      </c>
      <c r="F21" s="9" t="n">
        <f aca="false">MAX(0,$L$2-3*SQRT($L$2*(1-$L$2)/B21))</f>
        <v>0</v>
      </c>
      <c r="G21" s="9" t="n">
        <f aca="false">$L$2</f>
        <v>0.0472777777777778</v>
      </c>
      <c r="H21" s="8" t="n">
        <f aca="false">B21*$L$2</f>
        <v>7.09166666666667</v>
      </c>
      <c r="I21" s="8" t="n">
        <f aca="false">H21+3*SQRT(H21*(1-$L$2))</f>
        <v>14.8895827878707</v>
      </c>
      <c r="J21" s="8" t="n">
        <f aca="false">MAX(0,H21-3*SQRT(H21*(1-$L$2)))</f>
        <v>0</v>
      </c>
    </row>
    <row r="22" customFormat="false" ht="15" hidden="false" customHeight="false" outlineLevel="0" collapsed="false">
      <c r="A22" s="0" t="n">
        <v>21</v>
      </c>
      <c r="B22" s="0" t="n">
        <v>150</v>
      </c>
      <c r="C22" s="0" t="n">
        <v>6</v>
      </c>
      <c r="D22" s="9" t="n">
        <f aca="false">C22/B22</f>
        <v>0.04</v>
      </c>
      <c r="E22" s="9" t="n">
        <f aca="false">$L$2+3*SQRT($L$2*(1-$L$2)/B22)</f>
        <v>0.0992638852524712</v>
      </c>
      <c r="F22" s="9" t="n">
        <f aca="false">MAX(0,$L$2-3*SQRT($L$2*(1-$L$2)/B22))</f>
        <v>0</v>
      </c>
      <c r="G22" s="9" t="n">
        <f aca="false">$L$2</f>
        <v>0.0472777777777778</v>
      </c>
      <c r="H22" s="8" t="n">
        <f aca="false">B22*$L$2</f>
        <v>7.09166666666667</v>
      </c>
      <c r="I22" s="8" t="n">
        <f aca="false">H22+3*SQRT(H22*(1-$L$2))</f>
        <v>14.8895827878707</v>
      </c>
      <c r="J22" s="8" t="n">
        <f aca="false">MAX(0,H22-3*SQRT(H22*(1-$L$2)))</f>
        <v>0</v>
      </c>
    </row>
    <row r="23" customFormat="false" ht="15" hidden="false" customHeight="false" outlineLevel="0" collapsed="false">
      <c r="A23" s="0" t="n">
        <v>22</v>
      </c>
      <c r="B23" s="0" t="n">
        <v>150</v>
      </c>
      <c r="C23" s="0" t="n">
        <v>7</v>
      </c>
      <c r="D23" s="9" t="n">
        <f aca="false">C23/B23</f>
        <v>0.0466666666666667</v>
      </c>
      <c r="E23" s="9" t="n">
        <f aca="false">$L$2+3*SQRT($L$2*(1-$L$2)/B23)</f>
        <v>0.0992638852524712</v>
      </c>
      <c r="F23" s="9" t="n">
        <f aca="false">MAX(0,$L$2-3*SQRT($L$2*(1-$L$2)/B23))</f>
        <v>0</v>
      </c>
      <c r="G23" s="9" t="n">
        <f aca="false">$L$2</f>
        <v>0.0472777777777778</v>
      </c>
      <c r="H23" s="8" t="n">
        <f aca="false">B23*$L$2</f>
        <v>7.09166666666667</v>
      </c>
      <c r="I23" s="8" t="n">
        <f aca="false">H23+3*SQRT(H23*(1-$L$2))</f>
        <v>14.8895827878707</v>
      </c>
      <c r="J23" s="8" t="n">
        <f aca="false">MAX(0,H23-3*SQRT(H23*(1-$L$2)))</f>
        <v>0</v>
      </c>
    </row>
    <row r="24" customFormat="false" ht="15" hidden="false" customHeight="false" outlineLevel="0" collapsed="false">
      <c r="A24" s="0" t="n">
        <v>23</v>
      </c>
      <c r="B24" s="0" t="n">
        <v>150</v>
      </c>
      <c r="C24" s="0" t="n">
        <v>9</v>
      </c>
      <c r="D24" s="9" t="n">
        <f aca="false">C24/B24</f>
        <v>0.06</v>
      </c>
      <c r="E24" s="9" t="n">
        <f aca="false">$L$2+3*SQRT($L$2*(1-$L$2)/B24)</f>
        <v>0.0992638852524712</v>
      </c>
      <c r="F24" s="9" t="n">
        <f aca="false">MAX(0,$L$2-3*SQRT($L$2*(1-$L$2)/B24))</f>
        <v>0</v>
      </c>
      <c r="G24" s="9" t="n">
        <f aca="false">$L$2</f>
        <v>0.0472777777777778</v>
      </c>
      <c r="H24" s="8" t="n">
        <f aca="false">B24*$L$2</f>
        <v>7.09166666666667</v>
      </c>
      <c r="I24" s="8" t="n">
        <f aca="false">H24+3*SQRT(H24*(1-$L$2))</f>
        <v>14.8895827878707</v>
      </c>
      <c r="J24" s="8" t="n">
        <f aca="false">MAX(0,H24-3*SQRT(H24*(1-$L$2)))</f>
        <v>0</v>
      </c>
    </row>
    <row r="25" customFormat="false" ht="15" hidden="false" customHeight="false" outlineLevel="0" collapsed="false">
      <c r="A25" s="0" t="n">
        <v>24</v>
      </c>
      <c r="B25" s="0" t="n">
        <v>150</v>
      </c>
      <c r="C25" s="0" t="n">
        <v>10</v>
      </c>
      <c r="D25" s="9" t="n">
        <f aca="false">C25/B25</f>
        <v>0.0666666666666667</v>
      </c>
      <c r="E25" s="9" t="n">
        <f aca="false">$L$2+3*SQRT($L$2*(1-$L$2)/B25)</f>
        <v>0.0992638852524712</v>
      </c>
      <c r="F25" s="9" t="n">
        <f aca="false">MAX(0,$L$2-3*SQRT($L$2*(1-$L$2)/B25))</f>
        <v>0</v>
      </c>
      <c r="G25" s="9" t="n">
        <f aca="false">$L$2</f>
        <v>0.0472777777777778</v>
      </c>
      <c r="H25" s="8" t="n">
        <f aca="false">B25*$L$2</f>
        <v>7.09166666666667</v>
      </c>
      <c r="I25" s="8" t="n">
        <f aca="false">H25+3*SQRT(H25*(1-$L$2))</f>
        <v>14.8895827878707</v>
      </c>
      <c r="J25" s="8" t="n">
        <f aca="false">MAX(0,H25-3*SQRT(H25*(1-$L$2)))</f>
        <v>0</v>
      </c>
    </row>
    <row r="26" customFormat="false" ht="15" hidden="false" customHeight="false" outlineLevel="0" collapsed="false">
      <c r="A26" s="0" t="n">
        <v>25</v>
      </c>
      <c r="B26" s="0" t="n">
        <v>150</v>
      </c>
      <c r="C26" s="0" t="n">
        <v>14</v>
      </c>
      <c r="D26" s="9" t="n">
        <f aca="false">C26/B26</f>
        <v>0.0933333333333333</v>
      </c>
      <c r="E26" s="9" t="n">
        <f aca="false">$L$2+3*SQRT($L$2*(1-$L$2)/B26)</f>
        <v>0.0992638852524712</v>
      </c>
      <c r="F26" s="9" t="n">
        <f aca="false">MAX(0,$L$2-3*SQRT($L$2*(1-$L$2)/B26))</f>
        <v>0</v>
      </c>
      <c r="G26" s="9" t="n">
        <f aca="false">$L$2</f>
        <v>0.0472777777777778</v>
      </c>
      <c r="H26" s="8" t="n">
        <f aca="false">B26*$L$2</f>
        <v>7.09166666666667</v>
      </c>
      <c r="I26" s="8" t="n">
        <f aca="false">H26+3*SQRT(H26*(1-$L$2))</f>
        <v>14.8895827878707</v>
      </c>
      <c r="J26" s="8" t="n">
        <f aca="false">MAX(0,H26-3*SQRT(H26*(1-$L$2)))</f>
        <v>0</v>
      </c>
    </row>
    <row r="27" customFormat="false" ht="15" hidden="false" customHeight="false" outlineLevel="0" collapsed="false">
      <c r="A27" s="0" t="n">
        <v>26</v>
      </c>
      <c r="B27" s="0" t="n">
        <v>150</v>
      </c>
      <c r="C27" s="0" t="n">
        <v>13</v>
      </c>
      <c r="D27" s="9" t="n">
        <f aca="false">C27/B27</f>
        <v>0.0866666666666667</v>
      </c>
      <c r="E27" s="9" t="n">
        <f aca="false">$L$2+3*SQRT($L$2*(1-$L$2)/B27)</f>
        <v>0.0992638852524712</v>
      </c>
      <c r="F27" s="9" t="n">
        <f aca="false">MAX(0,$L$2-3*SQRT($L$2*(1-$L$2)/B27))</f>
        <v>0</v>
      </c>
      <c r="G27" s="9" t="n">
        <f aca="false">$L$2</f>
        <v>0.0472777777777778</v>
      </c>
      <c r="H27" s="8" t="n">
        <f aca="false">B27*$L$2</f>
        <v>7.09166666666667</v>
      </c>
      <c r="I27" s="8" t="n">
        <f aca="false">H27+3*SQRT(H27*(1-$L$2))</f>
        <v>14.8895827878707</v>
      </c>
      <c r="J27" s="8" t="n">
        <f aca="false">MAX(0,H27-3*SQRT(H27*(1-$L$2)))</f>
        <v>0</v>
      </c>
    </row>
    <row r="28" customFormat="false" ht="15" hidden="false" customHeight="false" outlineLevel="0" collapsed="false">
      <c r="A28" s="0" t="n">
        <v>27</v>
      </c>
      <c r="B28" s="0" t="n">
        <v>150</v>
      </c>
      <c r="C28" s="0" t="n">
        <v>10</v>
      </c>
      <c r="D28" s="9" t="n">
        <f aca="false">C28/B28</f>
        <v>0.0666666666666667</v>
      </c>
      <c r="E28" s="9" t="n">
        <f aca="false">$L$2+3*SQRT($L$2*(1-$L$2)/B28)</f>
        <v>0.0992638852524712</v>
      </c>
      <c r="F28" s="9" t="n">
        <f aca="false">MAX(0,$L$2-3*SQRT($L$2*(1-$L$2)/B28))</f>
        <v>0</v>
      </c>
      <c r="G28" s="9" t="n">
        <f aca="false">$L$2</f>
        <v>0.0472777777777778</v>
      </c>
      <c r="H28" s="8" t="n">
        <f aca="false">B28*$L$2</f>
        <v>7.09166666666667</v>
      </c>
      <c r="I28" s="8" t="n">
        <f aca="false">H28+3*SQRT(H28*(1-$L$2))</f>
        <v>14.8895827878707</v>
      </c>
      <c r="J28" s="8" t="n">
        <f aca="false">MAX(0,H28-3*SQRT(H28*(1-$L$2)))</f>
        <v>0</v>
      </c>
    </row>
    <row r="29" customFormat="false" ht="15" hidden="false" customHeight="false" outlineLevel="0" collapsed="false">
      <c r="A29" s="0" t="n">
        <v>28</v>
      </c>
      <c r="B29" s="0" t="n">
        <v>150</v>
      </c>
      <c r="C29" s="0" t="n">
        <v>9</v>
      </c>
      <c r="D29" s="9" t="n">
        <f aca="false">C29/B29</f>
        <v>0.06</v>
      </c>
      <c r="E29" s="9" t="n">
        <f aca="false">$L$2+3*SQRT($L$2*(1-$L$2)/B29)</f>
        <v>0.0992638852524712</v>
      </c>
      <c r="F29" s="9" t="n">
        <f aca="false">MAX(0,$L$2-3*SQRT($L$2*(1-$L$2)/B29))</f>
        <v>0</v>
      </c>
      <c r="G29" s="9" t="n">
        <f aca="false">$L$2</f>
        <v>0.0472777777777778</v>
      </c>
      <c r="H29" s="8" t="n">
        <f aca="false">B29*$L$2</f>
        <v>7.09166666666667</v>
      </c>
      <c r="I29" s="8" t="n">
        <f aca="false">H29+3*SQRT(H29*(1-$L$2))</f>
        <v>14.8895827878707</v>
      </c>
      <c r="J29" s="8" t="n">
        <f aca="false">MAX(0,H29-3*SQRT(H29*(1-$L$2)))</f>
        <v>0</v>
      </c>
    </row>
    <row r="30" customFormat="false" ht="15" hidden="false" customHeight="false" outlineLevel="0" collapsed="false">
      <c r="A30" s="0" t="n">
        <v>29</v>
      </c>
      <c r="B30" s="0" t="n">
        <v>150</v>
      </c>
      <c r="C30" s="0" t="n">
        <v>8</v>
      </c>
      <c r="D30" s="9" t="n">
        <f aca="false">C30/B30</f>
        <v>0.0533333333333333</v>
      </c>
      <c r="E30" s="9" t="n">
        <f aca="false">$L$2+3*SQRT($L$2*(1-$L$2)/B30)</f>
        <v>0.0992638852524712</v>
      </c>
      <c r="F30" s="9" t="n">
        <f aca="false">MAX(0,$L$2-3*SQRT($L$2*(1-$L$2)/B30))</f>
        <v>0</v>
      </c>
      <c r="G30" s="9" t="n">
        <f aca="false">$L$2</f>
        <v>0.0472777777777778</v>
      </c>
      <c r="H30" s="8" t="n">
        <f aca="false">B30*$L$2</f>
        <v>7.09166666666667</v>
      </c>
      <c r="I30" s="8" t="n">
        <f aca="false">H30+3*SQRT(H30*(1-$L$2))</f>
        <v>14.8895827878707</v>
      </c>
      <c r="J30" s="8" t="n">
        <f aca="false">MAX(0,H30-3*SQRT(H30*(1-$L$2)))</f>
        <v>0</v>
      </c>
    </row>
    <row r="31" customFormat="false" ht="15" hidden="false" customHeight="false" outlineLevel="0" collapsed="false">
      <c r="A31" s="0" t="n">
        <v>30</v>
      </c>
      <c r="B31" s="0" t="n">
        <v>150</v>
      </c>
      <c r="C31" s="0" t="n">
        <v>10</v>
      </c>
      <c r="D31" s="9" t="n">
        <f aca="false">C31/B31</f>
        <v>0.0666666666666667</v>
      </c>
      <c r="E31" s="9" t="n">
        <f aca="false">$L$2+3*SQRT($L$2*(1-$L$2)/B31)</f>
        <v>0.0992638852524712</v>
      </c>
      <c r="F31" s="9" t="n">
        <f aca="false">MAX(0,$L$2-3*SQRT($L$2*(1-$L$2)/B31))</f>
        <v>0</v>
      </c>
      <c r="G31" s="9" t="n">
        <f aca="false">$L$2</f>
        <v>0.0472777777777778</v>
      </c>
      <c r="H31" s="8" t="n">
        <f aca="false">B31*$L$2</f>
        <v>7.09166666666667</v>
      </c>
      <c r="I31" s="8" t="n">
        <f aca="false">H31+3*SQRT(H31*(1-$L$2))</f>
        <v>14.8895827878707</v>
      </c>
      <c r="J31" s="8" t="n">
        <f aca="false">MAX(0,H31-3*SQRT(H31*(1-$L$2)))</f>
        <v>0</v>
      </c>
    </row>
    <row r="32" customFormat="false" ht="15" hidden="false" customHeight="false" outlineLevel="0" collapsed="false">
      <c r="A32" s="0" t="n">
        <v>31</v>
      </c>
      <c r="B32" s="0" t="n">
        <v>150</v>
      </c>
      <c r="C32" s="0" t="n">
        <v>3</v>
      </c>
      <c r="D32" s="9" t="n">
        <f aca="false">C32/B32</f>
        <v>0.02</v>
      </c>
      <c r="E32" s="9" t="n">
        <f aca="false">$L$2+3*SQRT($L$2*(1-$L$2)/B32)</f>
        <v>0.0992638852524712</v>
      </c>
      <c r="F32" s="9" t="n">
        <f aca="false">MAX(0,$L$2-3*SQRT($L$2*(1-$L$2)/B32))</f>
        <v>0</v>
      </c>
      <c r="G32" s="9" t="n">
        <f aca="false">$L$2</f>
        <v>0.0472777777777778</v>
      </c>
      <c r="H32" s="8" t="n">
        <f aca="false">B32*$L$2</f>
        <v>7.09166666666667</v>
      </c>
      <c r="I32" s="8" t="n">
        <f aca="false">H32+3*SQRT(H32*(1-$L$2))</f>
        <v>14.8895827878707</v>
      </c>
      <c r="J32" s="8" t="n">
        <f aca="false">MAX(0,H32-3*SQRT(H32*(1-$L$2)))</f>
        <v>0</v>
      </c>
    </row>
    <row r="33" customFormat="false" ht="15" hidden="false" customHeight="false" outlineLevel="0" collapsed="false">
      <c r="A33" s="0" t="n">
        <v>32</v>
      </c>
      <c r="B33" s="0" t="n">
        <v>150</v>
      </c>
      <c r="C33" s="0" t="n">
        <v>2</v>
      </c>
      <c r="D33" s="9" t="n">
        <f aca="false">C33/B33</f>
        <v>0.0133333333333333</v>
      </c>
      <c r="E33" s="9" t="n">
        <f aca="false">$L$2+3*SQRT($L$2*(1-$L$2)/B33)</f>
        <v>0.0992638852524712</v>
      </c>
      <c r="F33" s="9" t="n">
        <f aca="false">MAX(0,$L$2-3*SQRT($L$2*(1-$L$2)/B33))</f>
        <v>0</v>
      </c>
      <c r="G33" s="9" t="n">
        <f aca="false">$L$2</f>
        <v>0.0472777777777778</v>
      </c>
      <c r="H33" s="8" t="n">
        <f aca="false">B33*$L$2</f>
        <v>7.09166666666667</v>
      </c>
      <c r="I33" s="8" t="n">
        <f aca="false">H33+3*SQRT(H33*(1-$L$2))</f>
        <v>14.8895827878707</v>
      </c>
      <c r="J33" s="8" t="n">
        <f aca="false">MAX(0,H33-3*SQRT(H33*(1-$L$2)))</f>
        <v>0</v>
      </c>
    </row>
    <row r="34" customFormat="false" ht="15" hidden="false" customHeight="false" outlineLevel="0" collapsed="false">
      <c r="A34" s="0" t="n">
        <v>33</v>
      </c>
      <c r="B34" s="0" t="n">
        <v>150</v>
      </c>
      <c r="C34" s="0" t="n">
        <v>4</v>
      </c>
      <c r="D34" s="9" t="n">
        <f aca="false">C34/B34</f>
        <v>0.0266666666666667</v>
      </c>
      <c r="E34" s="9" t="n">
        <f aca="false">$L$2+3*SQRT($L$2*(1-$L$2)/B34)</f>
        <v>0.0992638852524712</v>
      </c>
      <c r="F34" s="9" t="n">
        <f aca="false">MAX(0,$L$2-3*SQRT($L$2*(1-$L$2)/B34))</f>
        <v>0</v>
      </c>
      <c r="G34" s="9" t="n">
        <f aca="false">$L$2</f>
        <v>0.0472777777777778</v>
      </c>
      <c r="H34" s="8" t="n">
        <f aca="false">B34*$L$2</f>
        <v>7.09166666666667</v>
      </c>
      <c r="I34" s="8" t="n">
        <f aca="false">H34+3*SQRT(H34*(1-$L$2))</f>
        <v>14.8895827878707</v>
      </c>
      <c r="J34" s="8" t="n">
        <f aca="false">MAX(0,H34-3*SQRT(H34*(1-$L$2)))</f>
        <v>0</v>
      </c>
    </row>
    <row r="35" customFormat="false" ht="15" hidden="false" customHeight="false" outlineLevel="0" collapsed="false">
      <c r="A35" s="0" t="n">
        <v>34</v>
      </c>
      <c r="B35" s="0" t="n">
        <v>150</v>
      </c>
      <c r="C35" s="0" t="n">
        <v>6</v>
      </c>
      <c r="D35" s="9" t="n">
        <f aca="false">C35/B35</f>
        <v>0.04</v>
      </c>
      <c r="E35" s="9" t="n">
        <f aca="false">$L$2+3*SQRT($L$2*(1-$L$2)/B35)</f>
        <v>0.0992638852524712</v>
      </c>
      <c r="F35" s="9" t="n">
        <f aca="false">MAX(0,$L$2-3*SQRT($L$2*(1-$L$2)/B35))</f>
        <v>0</v>
      </c>
      <c r="G35" s="9" t="n">
        <f aca="false">$L$2</f>
        <v>0.0472777777777778</v>
      </c>
      <c r="H35" s="8" t="n">
        <f aca="false">B35*$L$2</f>
        <v>7.09166666666667</v>
      </c>
      <c r="I35" s="8" t="n">
        <f aca="false">H35+3*SQRT(H35*(1-$L$2))</f>
        <v>14.8895827878707</v>
      </c>
      <c r="J35" s="8" t="n">
        <f aca="false">MAX(0,H35-3*SQRT(H35*(1-$L$2)))</f>
        <v>0</v>
      </c>
    </row>
    <row r="36" customFormat="false" ht="15" hidden="false" customHeight="false" outlineLevel="0" collapsed="false">
      <c r="A36" s="0" t="n">
        <v>35</v>
      </c>
      <c r="B36" s="0" t="n">
        <v>150</v>
      </c>
      <c r="C36" s="0" t="n">
        <v>4</v>
      </c>
      <c r="D36" s="9" t="n">
        <f aca="false">C36/B36</f>
        <v>0.0266666666666667</v>
      </c>
      <c r="E36" s="9" t="n">
        <f aca="false">$L$2+3*SQRT($L$2*(1-$L$2)/B36)</f>
        <v>0.0992638852524712</v>
      </c>
      <c r="F36" s="9" t="n">
        <f aca="false">MAX(0,$L$2-3*SQRT($L$2*(1-$L$2)/B36))</f>
        <v>0</v>
      </c>
      <c r="G36" s="9" t="n">
        <f aca="false">$L$2</f>
        <v>0.0472777777777778</v>
      </c>
      <c r="H36" s="8" t="n">
        <f aca="false">B36*$L$2</f>
        <v>7.09166666666667</v>
      </c>
      <c r="I36" s="8" t="n">
        <f aca="false">H36+3*SQRT(H36*(1-$L$2))</f>
        <v>14.8895827878707</v>
      </c>
      <c r="J36" s="8" t="n">
        <f aca="false">MAX(0,H36-3*SQRT(H36*(1-$L$2)))</f>
        <v>0</v>
      </c>
    </row>
    <row r="37" customFormat="false" ht="15" hidden="false" customHeight="false" outlineLevel="0" collapsed="false">
      <c r="A37" s="0" t="n">
        <v>36</v>
      </c>
      <c r="B37" s="0" t="n">
        <v>150</v>
      </c>
      <c r="C37" s="0" t="n">
        <v>10</v>
      </c>
      <c r="D37" s="9" t="n">
        <f aca="false">C37/B37</f>
        <v>0.0666666666666667</v>
      </c>
      <c r="E37" s="9" t="n">
        <f aca="false">$L$2+3*SQRT($L$2*(1-$L$2)/B37)</f>
        <v>0.0992638852524712</v>
      </c>
      <c r="F37" s="9" t="n">
        <f aca="false">MAX(0,$L$2-3*SQRT($L$2*(1-$L$2)/B37))</f>
        <v>0</v>
      </c>
      <c r="G37" s="9" t="n">
        <f aca="false">$L$2</f>
        <v>0.0472777777777778</v>
      </c>
      <c r="H37" s="8" t="n">
        <f aca="false">B37*$L$2</f>
        <v>7.09166666666667</v>
      </c>
      <c r="I37" s="8" t="n">
        <f aca="false">H37+3*SQRT(H37*(1-$L$2))</f>
        <v>14.8895827878707</v>
      </c>
      <c r="J37" s="8" t="n">
        <f aca="false">MAX(0,H37-3*SQRT(H37*(1-$L$2)))</f>
        <v>0</v>
      </c>
    </row>
    <row r="38" customFormat="false" ht="15" hidden="false" customHeight="false" outlineLevel="0" collapsed="false">
      <c r="A38" s="0" t="n">
        <v>37</v>
      </c>
      <c r="B38" s="0" t="n">
        <v>150</v>
      </c>
      <c r="C38" s="0" t="n">
        <v>8</v>
      </c>
      <c r="D38" s="9" t="n">
        <f aca="false">C38/B38</f>
        <v>0.0533333333333333</v>
      </c>
      <c r="E38" s="9" t="n">
        <f aca="false">$L$2+3*SQRT($L$2*(1-$L$2)/B38)</f>
        <v>0.0992638852524712</v>
      </c>
      <c r="F38" s="9" t="n">
        <f aca="false">MAX(0,$L$2-3*SQRT($L$2*(1-$L$2)/B38))</f>
        <v>0</v>
      </c>
      <c r="G38" s="9" t="n">
        <f aca="false">$L$2</f>
        <v>0.0472777777777778</v>
      </c>
      <c r="H38" s="8" t="n">
        <f aca="false">B38*$L$2</f>
        <v>7.09166666666667</v>
      </c>
      <c r="I38" s="8" t="n">
        <f aca="false">H38+3*SQRT(H38*(1-$L$2))</f>
        <v>14.8895827878707</v>
      </c>
      <c r="J38" s="8" t="n">
        <f aca="false">MAX(0,H38-3*SQRT(H38*(1-$L$2)))</f>
        <v>0</v>
      </c>
    </row>
    <row r="39" customFormat="false" ht="15" hidden="false" customHeight="false" outlineLevel="0" collapsed="false">
      <c r="A39" s="0" t="n">
        <v>38</v>
      </c>
      <c r="B39" s="0" t="n">
        <v>150</v>
      </c>
      <c r="C39" s="0" t="n">
        <v>7</v>
      </c>
      <c r="D39" s="9" t="n">
        <f aca="false">C39/B39</f>
        <v>0.0466666666666667</v>
      </c>
      <c r="E39" s="9" t="n">
        <f aca="false">$L$2+3*SQRT($L$2*(1-$L$2)/B39)</f>
        <v>0.0992638852524712</v>
      </c>
      <c r="F39" s="9" t="n">
        <f aca="false">MAX(0,$L$2-3*SQRT($L$2*(1-$L$2)/B39))</f>
        <v>0</v>
      </c>
      <c r="G39" s="9" t="n">
        <f aca="false">$L$2</f>
        <v>0.0472777777777778</v>
      </c>
      <c r="H39" s="8" t="n">
        <f aca="false">B39*$L$2</f>
        <v>7.09166666666667</v>
      </c>
      <c r="I39" s="8" t="n">
        <f aca="false">H39+3*SQRT(H39*(1-$L$2))</f>
        <v>14.8895827878707</v>
      </c>
      <c r="J39" s="8" t="n">
        <f aca="false">MAX(0,H39-3*SQRT(H39*(1-$L$2)))</f>
        <v>0</v>
      </c>
    </row>
    <row r="40" customFormat="false" ht="15" hidden="false" customHeight="false" outlineLevel="0" collapsed="false">
      <c r="A40" s="0" t="n">
        <v>39</v>
      </c>
      <c r="B40" s="0" t="n">
        <v>150</v>
      </c>
      <c r="C40" s="0" t="n">
        <v>14</v>
      </c>
      <c r="D40" s="9" t="n">
        <f aca="false">C40/B40</f>
        <v>0.0933333333333333</v>
      </c>
      <c r="E40" s="9" t="n">
        <f aca="false">$L$2+3*SQRT($L$2*(1-$L$2)/B40)</f>
        <v>0.0992638852524712</v>
      </c>
      <c r="F40" s="9" t="n">
        <f aca="false">MAX(0,$L$2-3*SQRT($L$2*(1-$L$2)/B40))</f>
        <v>0</v>
      </c>
      <c r="G40" s="9" t="n">
        <f aca="false">$L$2</f>
        <v>0.0472777777777778</v>
      </c>
      <c r="H40" s="8" t="n">
        <f aca="false">B40*$L$2</f>
        <v>7.09166666666667</v>
      </c>
      <c r="I40" s="8" t="n">
        <f aca="false">H40+3*SQRT(H40*(1-$L$2))</f>
        <v>14.8895827878707</v>
      </c>
      <c r="J40" s="8" t="n">
        <f aca="false">MAX(0,H40-3*SQRT(H40*(1-$L$2)))</f>
        <v>0</v>
      </c>
    </row>
    <row r="41" customFormat="false" ht="15" hidden="false" customHeight="false" outlineLevel="0" collapsed="false">
      <c r="A41" s="0" t="n">
        <v>40</v>
      </c>
      <c r="B41" s="0" t="n">
        <v>150</v>
      </c>
      <c r="C41" s="0" t="n">
        <v>13</v>
      </c>
      <c r="D41" s="9" t="n">
        <f aca="false">C41/B41</f>
        <v>0.0866666666666667</v>
      </c>
      <c r="E41" s="9" t="n">
        <f aca="false">$L$2+3*SQRT($L$2*(1-$L$2)/B41)</f>
        <v>0.0992638852524712</v>
      </c>
      <c r="F41" s="9" t="n">
        <f aca="false">MAX(0,$L$2-3*SQRT($L$2*(1-$L$2)/B41))</f>
        <v>0</v>
      </c>
      <c r="G41" s="9" t="n">
        <f aca="false">$L$2</f>
        <v>0.0472777777777778</v>
      </c>
      <c r="H41" s="8" t="n">
        <f aca="false">B41*$L$2</f>
        <v>7.09166666666667</v>
      </c>
      <c r="I41" s="8" t="n">
        <f aca="false">H41+3*SQRT(H41*(1-$L$2))</f>
        <v>14.8895827878707</v>
      </c>
      <c r="J41" s="8" t="n">
        <f aca="false">MAX(0,H41-3*SQRT(H41*(1-$L$2)))</f>
        <v>0</v>
      </c>
    </row>
    <row r="42" customFormat="false" ht="15" hidden="false" customHeight="false" outlineLevel="0" collapsed="false">
      <c r="A42" s="0" t="n">
        <v>41</v>
      </c>
      <c r="B42" s="0" t="n">
        <v>150</v>
      </c>
      <c r="C42" s="0" t="n">
        <v>4</v>
      </c>
      <c r="D42" s="9" t="n">
        <f aca="false">C42/B42</f>
        <v>0.0266666666666667</v>
      </c>
      <c r="E42" s="9" t="n">
        <f aca="false">$L$2+3*SQRT($L$2*(1-$L$2)/B42)</f>
        <v>0.0992638852524712</v>
      </c>
      <c r="F42" s="9" t="n">
        <f aca="false">MAX(0,$L$2-3*SQRT($L$2*(1-$L$2)/B42))</f>
        <v>0</v>
      </c>
      <c r="G42" s="9" t="n">
        <f aca="false">$L$2</f>
        <v>0.0472777777777778</v>
      </c>
      <c r="H42" s="8" t="n">
        <f aca="false">B42*$L$2</f>
        <v>7.09166666666667</v>
      </c>
      <c r="I42" s="8" t="n">
        <f aca="false">H42+3*SQRT(H42*(1-$L$2))</f>
        <v>14.8895827878707</v>
      </c>
      <c r="J42" s="8" t="n">
        <f aca="false">MAX(0,H42-3*SQRT(H42*(1-$L$2)))</f>
        <v>0</v>
      </c>
    </row>
    <row r="43" customFormat="false" ht="15" hidden="false" customHeight="false" outlineLevel="0" collapsed="false">
      <c r="A43" s="0" t="n">
        <v>42</v>
      </c>
      <c r="B43" s="0" t="n">
        <v>150</v>
      </c>
      <c r="C43" s="0" t="n">
        <v>8</v>
      </c>
      <c r="D43" s="9" t="n">
        <f aca="false">C43/B43</f>
        <v>0.0533333333333333</v>
      </c>
      <c r="E43" s="9" t="n">
        <f aca="false">$L$2+3*SQRT($L$2*(1-$L$2)/B43)</f>
        <v>0.0992638852524712</v>
      </c>
      <c r="F43" s="9" t="n">
        <f aca="false">MAX(0,$L$2-3*SQRT($L$2*(1-$L$2)/B43))</f>
        <v>0</v>
      </c>
      <c r="G43" s="9" t="n">
        <f aca="false">$L$2</f>
        <v>0.0472777777777778</v>
      </c>
      <c r="H43" s="8" t="n">
        <f aca="false">B43*$L$2</f>
        <v>7.09166666666667</v>
      </c>
      <c r="I43" s="8" t="n">
        <f aca="false">H43+3*SQRT(H43*(1-$L$2))</f>
        <v>14.8895827878707</v>
      </c>
      <c r="J43" s="8" t="n">
        <f aca="false">MAX(0,H43-3*SQRT(H43*(1-$L$2)))</f>
        <v>0</v>
      </c>
    </row>
    <row r="44" customFormat="false" ht="15" hidden="false" customHeight="false" outlineLevel="0" collapsed="false">
      <c r="A44" s="0" t="n">
        <v>43</v>
      </c>
      <c r="B44" s="0" t="n">
        <v>150</v>
      </c>
      <c r="C44" s="0" t="n">
        <v>4</v>
      </c>
      <c r="D44" s="9" t="n">
        <f aca="false">C44/B44</f>
        <v>0.0266666666666667</v>
      </c>
      <c r="E44" s="9" t="n">
        <f aca="false">$L$2+3*SQRT($L$2*(1-$L$2)/B44)</f>
        <v>0.0992638852524712</v>
      </c>
      <c r="F44" s="9" t="n">
        <f aca="false">MAX(0,$L$2-3*SQRT($L$2*(1-$L$2)/B44))</f>
        <v>0</v>
      </c>
      <c r="G44" s="9" t="n">
        <f aca="false">$L$2</f>
        <v>0.0472777777777778</v>
      </c>
      <c r="H44" s="8" t="n">
        <f aca="false">B44*$L$2</f>
        <v>7.09166666666667</v>
      </c>
      <c r="I44" s="8" t="n">
        <f aca="false">H44+3*SQRT(H44*(1-$L$2))</f>
        <v>14.8895827878707</v>
      </c>
      <c r="J44" s="8" t="n">
        <f aca="false">MAX(0,H44-3*SQRT(H44*(1-$L$2)))</f>
        <v>0</v>
      </c>
    </row>
    <row r="45" customFormat="false" ht="15" hidden="false" customHeight="false" outlineLevel="0" collapsed="false">
      <c r="A45" s="0" t="n">
        <v>44</v>
      </c>
      <c r="B45" s="0" t="n">
        <v>150</v>
      </c>
      <c r="C45" s="0" t="n">
        <v>10</v>
      </c>
      <c r="D45" s="9" t="n">
        <f aca="false">C45/B45</f>
        <v>0.0666666666666667</v>
      </c>
      <c r="E45" s="9" t="n">
        <f aca="false">$L$2+3*SQRT($L$2*(1-$L$2)/B45)</f>
        <v>0.0992638852524712</v>
      </c>
      <c r="F45" s="9" t="n">
        <f aca="false">MAX(0,$L$2-3*SQRT($L$2*(1-$L$2)/B45))</f>
        <v>0</v>
      </c>
      <c r="G45" s="9" t="n">
        <f aca="false">$L$2</f>
        <v>0.0472777777777778</v>
      </c>
      <c r="H45" s="8" t="n">
        <f aca="false">B45*$L$2</f>
        <v>7.09166666666667</v>
      </c>
      <c r="I45" s="8" t="n">
        <f aca="false">H45+3*SQRT(H45*(1-$L$2))</f>
        <v>14.8895827878707</v>
      </c>
      <c r="J45" s="8" t="n">
        <f aca="false">MAX(0,H45-3*SQRT(H45*(1-$L$2)))</f>
        <v>0</v>
      </c>
    </row>
    <row r="46" customFormat="false" ht="15" hidden="false" customHeight="false" outlineLevel="0" collapsed="false">
      <c r="A46" s="0" t="n">
        <v>45</v>
      </c>
      <c r="B46" s="0" t="n">
        <v>150</v>
      </c>
      <c r="C46" s="0" t="n">
        <v>14</v>
      </c>
      <c r="D46" s="9" t="n">
        <f aca="false">C46/B46</f>
        <v>0.0933333333333333</v>
      </c>
      <c r="E46" s="9" t="n">
        <f aca="false">$L$2+3*SQRT($L$2*(1-$L$2)/B46)</f>
        <v>0.0992638852524712</v>
      </c>
      <c r="F46" s="9" t="n">
        <f aca="false">MAX(0,$L$2-3*SQRT($L$2*(1-$L$2)/B46))</f>
        <v>0</v>
      </c>
      <c r="G46" s="9" t="n">
        <f aca="false">$L$2</f>
        <v>0.0472777777777778</v>
      </c>
      <c r="H46" s="8" t="n">
        <f aca="false">B46*$L$2</f>
        <v>7.09166666666667</v>
      </c>
      <c r="I46" s="8" t="n">
        <f aca="false">H46+3*SQRT(H46*(1-$L$2))</f>
        <v>14.8895827878707</v>
      </c>
      <c r="J46" s="8" t="n">
        <f aca="false">MAX(0,H46-3*SQRT(H46*(1-$L$2)))</f>
        <v>0</v>
      </c>
    </row>
    <row r="47" customFormat="false" ht="15" hidden="false" customHeight="false" outlineLevel="0" collapsed="false">
      <c r="A47" s="0" t="n">
        <v>46</v>
      </c>
      <c r="B47" s="0" t="n">
        <v>150</v>
      </c>
      <c r="C47" s="0" t="n">
        <v>8</v>
      </c>
      <c r="D47" s="9" t="n">
        <f aca="false">C47/B47</f>
        <v>0.0533333333333333</v>
      </c>
      <c r="E47" s="9" t="n">
        <f aca="false">$L$2+3*SQRT($L$2*(1-$L$2)/B47)</f>
        <v>0.0992638852524712</v>
      </c>
      <c r="F47" s="9" t="n">
        <f aca="false">MAX(0,$L$2-3*SQRT($L$2*(1-$L$2)/B47))</f>
        <v>0</v>
      </c>
      <c r="G47" s="9" t="n">
        <f aca="false">$L$2</f>
        <v>0.0472777777777778</v>
      </c>
      <c r="H47" s="8" t="n">
        <f aca="false">B47*$L$2</f>
        <v>7.09166666666667</v>
      </c>
      <c r="I47" s="8" t="n">
        <f aca="false">H47+3*SQRT(H47*(1-$L$2))</f>
        <v>14.8895827878707</v>
      </c>
      <c r="J47" s="8" t="n">
        <f aca="false">MAX(0,H47-3*SQRT(H47*(1-$L$2)))</f>
        <v>0</v>
      </c>
    </row>
    <row r="48" customFormat="false" ht="15" hidden="false" customHeight="false" outlineLevel="0" collapsed="false">
      <c r="A48" s="0" t="n">
        <v>47</v>
      </c>
      <c r="B48" s="0" t="n">
        <v>150</v>
      </c>
      <c r="C48" s="0" t="n">
        <v>12</v>
      </c>
      <c r="D48" s="9" t="n">
        <f aca="false">C48/B48</f>
        <v>0.08</v>
      </c>
      <c r="E48" s="9" t="n">
        <f aca="false">$L$2+3*SQRT($L$2*(1-$L$2)/B48)</f>
        <v>0.0992638852524712</v>
      </c>
      <c r="F48" s="9" t="n">
        <f aca="false">MAX(0,$L$2-3*SQRT($L$2*(1-$L$2)/B48))</f>
        <v>0</v>
      </c>
      <c r="G48" s="9" t="n">
        <f aca="false">$L$2</f>
        <v>0.0472777777777778</v>
      </c>
      <c r="H48" s="8" t="n">
        <f aca="false">B48*$L$2</f>
        <v>7.09166666666667</v>
      </c>
      <c r="I48" s="8" t="n">
        <f aca="false">H48+3*SQRT(H48*(1-$L$2))</f>
        <v>14.8895827878707</v>
      </c>
      <c r="J48" s="8" t="n">
        <f aca="false">MAX(0,H48-3*SQRT(H48*(1-$L$2)))</f>
        <v>0</v>
      </c>
    </row>
    <row r="49" customFormat="false" ht="15" hidden="false" customHeight="false" outlineLevel="0" collapsed="false">
      <c r="A49" s="0" t="n">
        <v>48</v>
      </c>
      <c r="B49" s="0" t="n">
        <v>150</v>
      </c>
      <c r="C49" s="0" t="n">
        <v>4</v>
      </c>
      <c r="D49" s="9" t="n">
        <f aca="false">C49/B49</f>
        <v>0.0266666666666667</v>
      </c>
      <c r="E49" s="9" t="n">
        <f aca="false">$L$2+3*SQRT($L$2*(1-$L$2)/B49)</f>
        <v>0.0992638852524712</v>
      </c>
      <c r="F49" s="9" t="n">
        <f aca="false">MAX(0,$L$2-3*SQRT($L$2*(1-$L$2)/B49))</f>
        <v>0</v>
      </c>
      <c r="G49" s="9" t="n">
        <f aca="false">$L$2</f>
        <v>0.0472777777777778</v>
      </c>
      <c r="H49" s="8" t="n">
        <f aca="false">B49*$L$2</f>
        <v>7.09166666666667</v>
      </c>
      <c r="I49" s="8" t="n">
        <f aca="false">H49+3*SQRT(H49*(1-$L$2))</f>
        <v>14.8895827878707</v>
      </c>
      <c r="J49" s="8" t="n">
        <f aca="false">MAX(0,H49-3*SQRT(H49*(1-$L$2)))</f>
        <v>0</v>
      </c>
    </row>
    <row r="50" customFormat="false" ht="15" hidden="false" customHeight="false" outlineLevel="0" collapsed="false">
      <c r="A50" s="0" t="n">
        <v>49</v>
      </c>
      <c r="B50" s="0" t="n">
        <v>150</v>
      </c>
      <c r="C50" s="0" t="n">
        <v>5</v>
      </c>
      <c r="D50" s="9" t="n">
        <f aca="false">C50/B50</f>
        <v>0.0333333333333333</v>
      </c>
      <c r="E50" s="9" t="n">
        <f aca="false">$L$2+3*SQRT($L$2*(1-$L$2)/B50)</f>
        <v>0.0992638852524712</v>
      </c>
      <c r="F50" s="9" t="n">
        <f aca="false">MAX(0,$L$2-3*SQRT($L$2*(1-$L$2)/B50))</f>
        <v>0</v>
      </c>
      <c r="G50" s="9" t="n">
        <f aca="false">$L$2</f>
        <v>0.0472777777777778</v>
      </c>
      <c r="H50" s="8" t="n">
        <f aca="false">B50*$L$2</f>
        <v>7.09166666666667</v>
      </c>
      <c r="I50" s="8" t="n">
        <f aca="false">H50+3*SQRT(H50*(1-$L$2))</f>
        <v>14.8895827878707</v>
      </c>
      <c r="J50" s="8" t="n">
        <f aca="false">MAX(0,H50-3*SQRT(H50*(1-$L$2)))</f>
        <v>0</v>
      </c>
    </row>
    <row r="51" customFormat="false" ht="15" hidden="false" customHeight="false" outlineLevel="0" collapsed="false">
      <c r="A51" s="0" t="n">
        <v>50</v>
      </c>
      <c r="B51" s="0" t="n">
        <v>150</v>
      </c>
      <c r="C51" s="0" t="n">
        <v>14</v>
      </c>
      <c r="D51" s="9" t="n">
        <f aca="false">C51/B51</f>
        <v>0.0933333333333333</v>
      </c>
      <c r="E51" s="9" t="n">
        <f aca="false">$L$2+3*SQRT($L$2*(1-$L$2)/B51)</f>
        <v>0.0992638852524712</v>
      </c>
      <c r="F51" s="9" t="n">
        <f aca="false">MAX(0,$L$2-3*SQRT($L$2*(1-$L$2)/B51))</f>
        <v>0</v>
      </c>
      <c r="G51" s="9" t="n">
        <f aca="false">$L$2</f>
        <v>0.0472777777777778</v>
      </c>
      <c r="H51" s="8" t="n">
        <f aca="false">B51*$L$2</f>
        <v>7.09166666666667</v>
      </c>
      <c r="I51" s="8" t="n">
        <f aca="false">H51+3*SQRT(H51*(1-$L$2))</f>
        <v>14.8895827878707</v>
      </c>
      <c r="J51" s="8" t="n">
        <f aca="false">MAX(0,H51-3*SQRT(H51*(1-$L$2)))</f>
        <v>0</v>
      </c>
    </row>
    <row r="52" customFormat="false" ht="15" hidden="false" customHeight="false" outlineLevel="0" collapsed="false">
      <c r="A52" s="0" t="n">
        <v>51</v>
      </c>
      <c r="B52" s="0" t="n">
        <v>150</v>
      </c>
      <c r="C52" s="0" t="n">
        <v>2</v>
      </c>
      <c r="D52" s="9" t="n">
        <f aca="false">C52/B52</f>
        <v>0.0133333333333333</v>
      </c>
      <c r="E52" s="9" t="n">
        <f aca="false">$L$2+3*SQRT($L$2*(1-$L$2)/B52)</f>
        <v>0.0992638852524712</v>
      </c>
      <c r="F52" s="9" t="n">
        <f aca="false">MAX(0,$L$2-3*SQRT($L$2*(1-$L$2)/B52))</f>
        <v>0</v>
      </c>
      <c r="G52" s="9" t="n">
        <f aca="false">$L$2</f>
        <v>0.0472777777777778</v>
      </c>
      <c r="H52" s="8" t="n">
        <f aca="false">B52*$L$2</f>
        <v>7.09166666666667</v>
      </c>
      <c r="I52" s="8" t="n">
        <f aca="false">H52+3*SQRT(H52*(1-$L$2))</f>
        <v>14.8895827878707</v>
      </c>
      <c r="J52" s="8" t="n">
        <f aca="false">MAX(0,H52-3*SQRT(H52*(1-$L$2)))</f>
        <v>0</v>
      </c>
    </row>
    <row r="53" customFormat="false" ht="15" hidden="false" customHeight="false" outlineLevel="0" collapsed="false">
      <c r="A53" s="0" t="n">
        <v>52</v>
      </c>
      <c r="B53" s="0" t="n">
        <v>150</v>
      </c>
      <c r="C53" s="0" t="n">
        <v>8</v>
      </c>
      <c r="D53" s="9" t="n">
        <f aca="false">C53/B53</f>
        <v>0.0533333333333333</v>
      </c>
      <c r="E53" s="9" t="n">
        <f aca="false">$L$2+3*SQRT($L$2*(1-$L$2)/B53)</f>
        <v>0.0992638852524712</v>
      </c>
      <c r="F53" s="9" t="n">
        <f aca="false">MAX(0,$L$2-3*SQRT($L$2*(1-$L$2)/B53))</f>
        <v>0</v>
      </c>
      <c r="G53" s="9" t="n">
        <f aca="false">$L$2</f>
        <v>0.0472777777777778</v>
      </c>
      <c r="H53" s="8" t="n">
        <f aca="false">B53*$L$2</f>
        <v>7.09166666666667</v>
      </c>
      <c r="I53" s="8" t="n">
        <f aca="false">H53+3*SQRT(H53*(1-$L$2))</f>
        <v>14.8895827878707</v>
      </c>
      <c r="J53" s="8" t="n">
        <f aca="false">MAX(0,H53-3*SQRT(H53*(1-$L$2)))</f>
        <v>0</v>
      </c>
    </row>
    <row r="54" customFormat="false" ht="15" hidden="false" customHeight="false" outlineLevel="0" collapsed="false">
      <c r="A54" s="0" t="n">
        <v>53</v>
      </c>
      <c r="B54" s="0" t="n">
        <v>150</v>
      </c>
      <c r="C54" s="0" t="n">
        <v>6</v>
      </c>
      <c r="D54" s="9" t="n">
        <f aca="false">C54/B54</f>
        <v>0.04</v>
      </c>
      <c r="E54" s="9" t="n">
        <f aca="false">$L$2+3*SQRT($L$2*(1-$L$2)/B54)</f>
        <v>0.0992638852524712</v>
      </c>
      <c r="F54" s="9" t="n">
        <f aca="false">MAX(0,$L$2-3*SQRT($L$2*(1-$L$2)/B54))</f>
        <v>0</v>
      </c>
      <c r="G54" s="9" t="n">
        <f aca="false">$L$2</f>
        <v>0.0472777777777778</v>
      </c>
      <c r="H54" s="8" t="n">
        <f aca="false">B54*$L$2</f>
        <v>7.09166666666667</v>
      </c>
      <c r="I54" s="8" t="n">
        <f aca="false">H54+3*SQRT(H54*(1-$L$2))</f>
        <v>14.8895827878707</v>
      </c>
      <c r="J54" s="8" t="n">
        <f aca="false">MAX(0,H54-3*SQRT(H54*(1-$L$2)))</f>
        <v>0</v>
      </c>
    </row>
    <row r="55" customFormat="false" ht="15" hidden="false" customHeight="false" outlineLevel="0" collapsed="false">
      <c r="A55" s="0" t="n">
        <v>54</v>
      </c>
      <c r="B55" s="0" t="n">
        <v>150</v>
      </c>
      <c r="C55" s="0" t="n">
        <v>10</v>
      </c>
      <c r="D55" s="9" t="n">
        <f aca="false">C55/B55</f>
        <v>0.0666666666666667</v>
      </c>
      <c r="E55" s="9" t="n">
        <f aca="false">$L$2+3*SQRT($L$2*(1-$L$2)/B55)</f>
        <v>0.0992638852524712</v>
      </c>
      <c r="F55" s="9" t="n">
        <f aca="false">MAX(0,$L$2-3*SQRT($L$2*(1-$L$2)/B55))</f>
        <v>0</v>
      </c>
      <c r="G55" s="9" t="n">
        <f aca="false">$L$2</f>
        <v>0.0472777777777778</v>
      </c>
      <c r="H55" s="8" t="n">
        <f aca="false">B55*$L$2</f>
        <v>7.09166666666667</v>
      </c>
      <c r="I55" s="8" t="n">
        <f aca="false">H55+3*SQRT(H55*(1-$L$2))</f>
        <v>14.8895827878707</v>
      </c>
      <c r="J55" s="8" t="n">
        <f aca="false">MAX(0,H55-3*SQRT(H55*(1-$L$2)))</f>
        <v>0</v>
      </c>
    </row>
    <row r="56" customFormat="false" ht="15" hidden="false" customHeight="false" outlineLevel="0" collapsed="false">
      <c r="A56" s="0" t="n">
        <v>55</v>
      </c>
      <c r="B56" s="0" t="n">
        <v>150</v>
      </c>
      <c r="C56" s="0" t="n">
        <v>8</v>
      </c>
      <c r="D56" s="9" t="n">
        <f aca="false">C56/B56</f>
        <v>0.0533333333333333</v>
      </c>
      <c r="E56" s="9" t="n">
        <f aca="false">$L$2+3*SQRT($L$2*(1-$L$2)/B56)</f>
        <v>0.0992638852524712</v>
      </c>
      <c r="F56" s="9" t="n">
        <f aca="false">MAX(0,$L$2-3*SQRT($L$2*(1-$L$2)/B56))</f>
        <v>0</v>
      </c>
      <c r="G56" s="9" t="n">
        <f aca="false">$L$2</f>
        <v>0.0472777777777778</v>
      </c>
      <c r="H56" s="8" t="n">
        <f aca="false">B56*$L$2</f>
        <v>7.09166666666667</v>
      </c>
      <c r="I56" s="8" t="n">
        <f aca="false">H56+3*SQRT(H56*(1-$L$2))</f>
        <v>14.8895827878707</v>
      </c>
      <c r="J56" s="8" t="n">
        <f aca="false">MAX(0,H56-3*SQRT(H56*(1-$L$2)))</f>
        <v>0</v>
      </c>
    </row>
    <row r="57" customFormat="false" ht="15" hidden="false" customHeight="false" outlineLevel="0" collapsed="false">
      <c r="A57" s="0" t="n">
        <v>56</v>
      </c>
      <c r="B57" s="0" t="n">
        <v>150</v>
      </c>
      <c r="C57" s="0" t="n">
        <v>6</v>
      </c>
      <c r="D57" s="9" t="n">
        <f aca="false">C57/B57</f>
        <v>0.04</v>
      </c>
      <c r="E57" s="9" t="n">
        <f aca="false">$L$2+3*SQRT($L$2*(1-$L$2)/B57)</f>
        <v>0.0992638852524712</v>
      </c>
      <c r="F57" s="9" t="n">
        <f aca="false">MAX(0,$L$2-3*SQRT($L$2*(1-$L$2)/B57))</f>
        <v>0</v>
      </c>
      <c r="G57" s="9" t="n">
        <f aca="false">$L$2</f>
        <v>0.0472777777777778</v>
      </c>
      <c r="H57" s="8" t="n">
        <f aca="false">B57*$L$2</f>
        <v>7.09166666666667</v>
      </c>
      <c r="I57" s="8" t="n">
        <f aca="false">H57+3*SQRT(H57*(1-$L$2))</f>
        <v>14.8895827878707</v>
      </c>
      <c r="J57" s="8" t="n">
        <f aca="false">MAX(0,H57-3*SQRT(H57*(1-$L$2)))</f>
        <v>0</v>
      </c>
    </row>
    <row r="58" customFormat="false" ht="15" hidden="false" customHeight="false" outlineLevel="0" collapsed="false">
      <c r="A58" s="0" t="n">
        <v>57</v>
      </c>
      <c r="B58" s="0" t="n">
        <v>150</v>
      </c>
      <c r="C58" s="0" t="n">
        <v>4</v>
      </c>
      <c r="D58" s="9" t="n">
        <f aca="false">C58/B58</f>
        <v>0.0266666666666667</v>
      </c>
      <c r="E58" s="9" t="n">
        <f aca="false">$L$2+3*SQRT($L$2*(1-$L$2)/B58)</f>
        <v>0.0992638852524712</v>
      </c>
      <c r="F58" s="9" t="n">
        <f aca="false">MAX(0,$L$2-3*SQRT($L$2*(1-$L$2)/B58))</f>
        <v>0</v>
      </c>
      <c r="G58" s="9" t="n">
        <f aca="false">$L$2</f>
        <v>0.0472777777777778</v>
      </c>
      <c r="H58" s="8" t="n">
        <f aca="false">B58*$L$2</f>
        <v>7.09166666666667</v>
      </c>
      <c r="I58" s="8" t="n">
        <f aca="false">H58+3*SQRT(H58*(1-$L$2))</f>
        <v>14.8895827878707</v>
      </c>
      <c r="J58" s="8" t="n">
        <f aca="false">MAX(0,H58-3*SQRT(H58*(1-$L$2)))</f>
        <v>0</v>
      </c>
    </row>
    <row r="59" customFormat="false" ht="15" hidden="false" customHeight="false" outlineLevel="0" collapsed="false">
      <c r="A59" s="0" t="n">
        <v>58</v>
      </c>
      <c r="B59" s="0" t="n">
        <v>150</v>
      </c>
      <c r="C59" s="0" t="n">
        <v>6</v>
      </c>
      <c r="D59" s="9" t="n">
        <f aca="false">C59/B59</f>
        <v>0.04</v>
      </c>
      <c r="E59" s="9" t="n">
        <f aca="false">$L$2+3*SQRT($L$2*(1-$L$2)/B59)</f>
        <v>0.0992638852524712</v>
      </c>
      <c r="F59" s="9" t="n">
        <f aca="false">MAX(0,$L$2-3*SQRT($L$2*(1-$L$2)/B59))</f>
        <v>0</v>
      </c>
      <c r="G59" s="9" t="n">
        <f aca="false">$L$2</f>
        <v>0.0472777777777778</v>
      </c>
      <c r="H59" s="8" t="n">
        <f aca="false">B59*$L$2</f>
        <v>7.09166666666667</v>
      </c>
      <c r="I59" s="8" t="n">
        <f aca="false">H59+3*SQRT(H59*(1-$L$2))</f>
        <v>14.8895827878707</v>
      </c>
      <c r="J59" s="8" t="n">
        <f aca="false">MAX(0,H59-3*SQRT(H59*(1-$L$2)))</f>
        <v>0</v>
      </c>
    </row>
    <row r="60" customFormat="false" ht="15" hidden="false" customHeight="false" outlineLevel="0" collapsed="false">
      <c r="A60" s="0" t="n">
        <v>59</v>
      </c>
      <c r="B60" s="0" t="n">
        <v>150</v>
      </c>
      <c r="C60" s="0" t="n">
        <v>15</v>
      </c>
      <c r="D60" s="9" t="n">
        <f aca="false">C60/B60</f>
        <v>0.1</v>
      </c>
      <c r="E60" s="9" t="n">
        <f aca="false">$L$2+3*SQRT($L$2*(1-$L$2)/B60)</f>
        <v>0.0992638852524712</v>
      </c>
      <c r="F60" s="9" t="n">
        <f aca="false">MAX(0,$L$2-3*SQRT($L$2*(1-$L$2)/B60))</f>
        <v>0</v>
      </c>
      <c r="G60" s="9" t="n">
        <f aca="false">$L$2</f>
        <v>0.0472777777777778</v>
      </c>
      <c r="H60" s="8" t="n">
        <f aca="false">B60*$L$2</f>
        <v>7.09166666666667</v>
      </c>
      <c r="I60" s="8" t="n">
        <f aca="false">H60+3*SQRT(H60*(1-$L$2))</f>
        <v>14.8895827878707</v>
      </c>
      <c r="J60" s="8" t="n">
        <f aca="false">MAX(0,H60-3*SQRT(H60*(1-$L$2)))</f>
        <v>0</v>
      </c>
    </row>
    <row r="61" customFormat="false" ht="15" hidden="false" customHeight="false" outlineLevel="0" collapsed="false">
      <c r="A61" s="0" t="n">
        <v>60</v>
      </c>
      <c r="B61" s="0" t="n">
        <v>150</v>
      </c>
      <c r="C61" s="0" t="n">
        <v>4</v>
      </c>
      <c r="D61" s="9" t="n">
        <f aca="false">C61/B61</f>
        <v>0.0266666666666667</v>
      </c>
      <c r="E61" s="9" t="n">
        <f aca="false">$L$2+3*SQRT($L$2*(1-$L$2)/B61)</f>
        <v>0.0992638852524712</v>
      </c>
      <c r="F61" s="9" t="n">
        <f aca="false">MAX(0,$L$2-3*SQRT($L$2*(1-$L$2)/B61))</f>
        <v>0</v>
      </c>
      <c r="G61" s="9" t="n">
        <f aca="false">$L$2</f>
        <v>0.0472777777777778</v>
      </c>
      <c r="H61" s="8" t="n">
        <f aca="false">B61*$L$2</f>
        <v>7.09166666666667</v>
      </c>
      <c r="I61" s="8" t="n">
        <f aca="false">H61+3*SQRT(H61*(1-$L$2))</f>
        <v>14.8895827878707</v>
      </c>
      <c r="J61" s="8" t="n">
        <f aca="false">MAX(0,H61-3*SQRT(H61*(1-$L$2)))</f>
        <v>0</v>
      </c>
    </row>
    <row r="62" customFormat="false" ht="15" hidden="false" customHeight="false" outlineLevel="0" collapsed="false">
      <c r="A62" s="0" t="n">
        <v>61</v>
      </c>
      <c r="B62" s="0" t="n">
        <v>150</v>
      </c>
      <c r="C62" s="0" t="n">
        <v>7</v>
      </c>
      <c r="D62" s="9" t="n">
        <f aca="false">C62/B62</f>
        <v>0.0466666666666667</v>
      </c>
      <c r="E62" s="9" t="n">
        <f aca="false">$L$2+3*SQRT($L$2*(1-$L$2)/B62)</f>
        <v>0.0992638852524712</v>
      </c>
      <c r="F62" s="9" t="n">
        <f aca="false">MAX(0,$L$2-3*SQRT($L$2*(1-$L$2)/B62))</f>
        <v>0</v>
      </c>
      <c r="G62" s="9" t="n">
        <f aca="false">$L$2</f>
        <v>0.0472777777777778</v>
      </c>
      <c r="H62" s="8" t="n">
        <f aca="false">B62*$L$2</f>
        <v>7.09166666666667</v>
      </c>
      <c r="I62" s="8" t="n">
        <f aca="false">H62+3*SQRT(H62*(1-$L$2))</f>
        <v>14.8895827878707</v>
      </c>
      <c r="J62" s="8" t="n">
        <f aca="false">MAX(0,H62-3*SQRT(H62*(1-$L$2)))</f>
        <v>0</v>
      </c>
    </row>
    <row r="63" customFormat="false" ht="15" hidden="false" customHeight="false" outlineLevel="0" collapsed="false">
      <c r="A63" s="0" t="n">
        <v>62</v>
      </c>
      <c r="B63" s="0" t="n">
        <v>150</v>
      </c>
      <c r="C63" s="0" t="n">
        <v>2</v>
      </c>
      <c r="D63" s="9" t="n">
        <f aca="false">C63/B63</f>
        <v>0.0133333333333333</v>
      </c>
      <c r="E63" s="9" t="n">
        <f aca="false">$L$2+3*SQRT($L$2*(1-$L$2)/B63)</f>
        <v>0.0992638852524712</v>
      </c>
      <c r="F63" s="9" t="n">
        <f aca="false">MAX(0,$L$2-3*SQRT($L$2*(1-$L$2)/B63))</f>
        <v>0</v>
      </c>
      <c r="G63" s="9" t="n">
        <f aca="false">$L$2</f>
        <v>0.0472777777777778</v>
      </c>
      <c r="H63" s="8" t="n">
        <f aca="false">B63*$L$2</f>
        <v>7.09166666666667</v>
      </c>
      <c r="I63" s="8" t="n">
        <f aca="false">H63+3*SQRT(H63*(1-$L$2))</f>
        <v>14.8895827878707</v>
      </c>
      <c r="J63" s="8" t="n">
        <f aca="false">MAX(0,H63-3*SQRT(H63*(1-$L$2)))</f>
        <v>0</v>
      </c>
    </row>
    <row r="64" customFormat="false" ht="15" hidden="false" customHeight="false" outlineLevel="0" collapsed="false">
      <c r="A64" s="0" t="n">
        <v>63</v>
      </c>
      <c r="B64" s="0" t="n">
        <v>150</v>
      </c>
      <c r="C64" s="0" t="n">
        <v>6</v>
      </c>
      <c r="D64" s="9" t="n">
        <f aca="false">C64/B64</f>
        <v>0.04</v>
      </c>
      <c r="E64" s="9" t="n">
        <f aca="false">$L$2+3*SQRT($L$2*(1-$L$2)/B64)</f>
        <v>0.0992638852524712</v>
      </c>
      <c r="F64" s="9" t="n">
        <f aca="false">MAX(0,$L$2-3*SQRT($L$2*(1-$L$2)/B64))</f>
        <v>0</v>
      </c>
      <c r="G64" s="9" t="n">
        <f aca="false">$L$2</f>
        <v>0.0472777777777778</v>
      </c>
      <c r="H64" s="8" t="n">
        <f aca="false">B64*$L$2</f>
        <v>7.09166666666667</v>
      </c>
      <c r="I64" s="8" t="n">
        <f aca="false">H64+3*SQRT(H64*(1-$L$2))</f>
        <v>14.8895827878707</v>
      </c>
      <c r="J64" s="8" t="n">
        <f aca="false">MAX(0,H64-3*SQRT(H64*(1-$L$2)))</f>
        <v>0</v>
      </c>
    </row>
    <row r="65" customFormat="false" ht="15" hidden="false" customHeight="false" outlineLevel="0" collapsed="false">
      <c r="A65" s="0" t="n">
        <v>64</v>
      </c>
      <c r="B65" s="0" t="n">
        <v>150</v>
      </c>
      <c r="C65" s="0" t="n">
        <v>9</v>
      </c>
      <c r="D65" s="9" t="n">
        <f aca="false">C65/B65</f>
        <v>0.06</v>
      </c>
      <c r="E65" s="9" t="n">
        <f aca="false">$L$2+3*SQRT($L$2*(1-$L$2)/B65)</f>
        <v>0.0992638852524712</v>
      </c>
      <c r="F65" s="9" t="n">
        <f aca="false">MAX(0,$L$2-3*SQRT($L$2*(1-$L$2)/B65))</f>
        <v>0</v>
      </c>
      <c r="G65" s="9" t="n">
        <f aca="false">$L$2</f>
        <v>0.0472777777777778</v>
      </c>
      <c r="H65" s="8" t="n">
        <f aca="false">B65*$L$2</f>
        <v>7.09166666666667</v>
      </c>
      <c r="I65" s="8" t="n">
        <f aca="false">H65+3*SQRT(H65*(1-$L$2))</f>
        <v>14.8895827878707</v>
      </c>
      <c r="J65" s="8" t="n">
        <f aca="false">MAX(0,H65-3*SQRT(H65*(1-$L$2)))</f>
        <v>0</v>
      </c>
    </row>
    <row r="66" customFormat="false" ht="15" hidden="false" customHeight="false" outlineLevel="0" collapsed="false">
      <c r="A66" s="0" t="n">
        <v>65</v>
      </c>
      <c r="B66" s="0" t="n">
        <v>150</v>
      </c>
      <c r="C66" s="0" t="n">
        <v>10</v>
      </c>
      <c r="D66" s="9" t="n">
        <f aca="false">C66/B66</f>
        <v>0.0666666666666667</v>
      </c>
      <c r="E66" s="9" t="n">
        <f aca="false">$L$2+3*SQRT($L$2*(1-$L$2)/B66)</f>
        <v>0.0992638852524712</v>
      </c>
      <c r="F66" s="9" t="n">
        <f aca="false">MAX(0,$L$2-3*SQRT($L$2*(1-$L$2)/B66))</f>
        <v>0</v>
      </c>
      <c r="G66" s="9" t="n">
        <f aca="false">$L$2</f>
        <v>0.0472777777777778</v>
      </c>
      <c r="H66" s="8" t="n">
        <f aca="false">B66*$L$2</f>
        <v>7.09166666666667</v>
      </c>
      <c r="I66" s="8" t="n">
        <f aca="false">H66+3*SQRT(H66*(1-$L$2))</f>
        <v>14.8895827878707</v>
      </c>
      <c r="J66" s="8" t="n">
        <f aca="false">MAX(0,H66-3*SQRT(H66*(1-$L$2)))</f>
        <v>0</v>
      </c>
    </row>
    <row r="67" customFormat="false" ht="15" hidden="false" customHeight="false" outlineLevel="0" collapsed="false">
      <c r="A67" s="0" t="n">
        <v>66</v>
      </c>
      <c r="B67" s="0" t="n">
        <v>150</v>
      </c>
      <c r="C67" s="0" t="n">
        <v>7</v>
      </c>
      <c r="D67" s="9" t="n">
        <f aca="false">C67/B67</f>
        <v>0.0466666666666667</v>
      </c>
      <c r="E67" s="9" t="n">
        <f aca="false">$L$2+3*SQRT($L$2*(1-$L$2)/B67)</f>
        <v>0.0992638852524712</v>
      </c>
      <c r="F67" s="9" t="n">
        <f aca="false">MAX(0,$L$2-3*SQRT($L$2*(1-$L$2)/B67))</f>
        <v>0</v>
      </c>
      <c r="G67" s="9" t="n">
        <f aca="false">$L$2</f>
        <v>0.0472777777777778</v>
      </c>
      <c r="H67" s="8" t="n">
        <f aca="false">B67*$L$2</f>
        <v>7.09166666666667</v>
      </c>
      <c r="I67" s="8" t="n">
        <f aca="false">H67+3*SQRT(H67*(1-$L$2))</f>
        <v>14.8895827878707</v>
      </c>
      <c r="J67" s="8" t="n">
        <f aca="false">MAX(0,H67-3*SQRT(H67*(1-$L$2)))</f>
        <v>0</v>
      </c>
    </row>
    <row r="68" customFormat="false" ht="15" hidden="false" customHeight="false" outlineLevel="0" collapsed="false">
      <c r="A68" s="0" t="n">
        <v>67</v>
      </c>
      <c r="B68" s="0" t="n">
        <v>150</v>
      </c>
      <c r="C68" s="0" t="n">
        <v>9</v>
      </c>
      <c r="D68" s="9" t="n">
        <f aca="false">C68/B68</f>
        <v>0.06</v>
      </c>
      <c r="E68" s="9" t="n">
        <f aca="false">$L$2+3*SQRT($L$2*(1-$L$2)/B68)</f>
        <v>0.0992638852524712</v>
      </c>
      <c r="F68" s="9" t="n">
        <f aca="false">MAX(0,$L$2-3*SQRT($L$2*(1-$L$2)/B68))</f>
        <v>0</v>
      </c>
      <c r="G68" s="9" t="n">
        <f aca="false">$L$2</f>
        <v>0.0472777777777778</v>
      </c>
      <c r="H68" s="8" t="n">
        <f aca="false">B68*$L$2</f>
        <v>7.09166666666667</v>
      </c>
      <c r="I68" s="8" t="n">
        <f aca="false">H68+3*SQRT(H68*(1-$L$2))</f>
        <v>14.8895827878707</v>
      </c>
      <c r="J68" s="8" t="n">
        <f aca="false">MAX(0,H68-3*SQRT(H68*(1-$L$2)))</f>
        <v>0</v>
      </c>
    </row>
    <row r="69" customFormat="false" ht="15" hidden="false" customHeight="false" outlineLevel="0" collapsed="false">
      <c r="A69" s="0" t="n">
        <v>68</v>
      </c>
      <c r="B69" s="0" t="n">
        <v>150</v>
      </c>
      <c r="C69" s="0" t="n">
        <v>16</v>
      </c>
      <c r="D69" s="9" t="n">
        <f aca="false">C69/B69</f>
        <v>0.106666666666667</v>
      </c>
      <c r="E69" s="9" t="n">
        <f aca="false">$L$2+3*SQRT($L$2*(1-$L$2)/B69)</f>
        <v>0.0992638852524712</v>
      </c>
      <c r="F69" s="9" t="n">
        <f aca="false">MAX(0,$L$2-3*SQRT($L$2*(1-$L$2)/B69))</f>
        <v>0</v>
      </c>
      <c r="G69" s="9" t="n">
        <f aca="false">$L$2</f>
        <v>0.0472777777777778</v>
      </c>
      <c r="H69" s="8" t="n">
        <f aca="false">B69*$L$2</f>
        <v>7.09166666666667</v>
      </c>
      <c r="I69" s="8" t="n">
        <f aca="false">H69+3*SQRT(H69*(1-$L$2))</f>
        <v>14.8895827878707</v>
      </c>
      <c r="J69" s="8" t="n">
        <f aca="false">MAX(0,H69-3*SQRT(H69*(1-$L$2)))</f>
        <v>0</v>
      </c>
    </row>
    <row r="70" customFormat="false" ht="15" hidden="false" customHeight="false" outlineLevel="0" collapsed="false">
      <c r="A70" s="0" t="n">
        <v>69</v>
      </c>
      <c r="B70" s="0" t="n">
        <v>150</v>
      </c>
      <c r="C70" s="0" t="n">
        <v>11</v>
      </c>
      <c r="D70" s="9" t="n">
        <f aca="false">C70/B70</f>
        <v>0.0733333333333333</v>
      </c>
      <c r="E70" s="9" t="n">
        <f aca="false">$L$2+3*SQRT($L$2*(1-$L$2)/B70)</f>
        <v>0.0992638852524712</v>
      </c>
      <c r="F70" s="9" t="n">
        <f aca="false">MAX(0,$L$2-3*SQRT($L$2*(1-$L$2)/B70))</f>
        <v>0</v>
      </c>
      <c r="G70" s="9" t="n">
        <f aca="false">$L$2</f>
        <v>0.0472777777777778</v>
      </c>
      <c r="H70" s="8" t="n">
        <f aca="false">B70*$L$2</f>
        <v>7.09166666666667</v>
      </c>
      <c r="I70" s="8" t="n">
        <f aca="false">H70+3*SQRT(H70*(1-$L$2))</f>
        <v>14.8895827878707</v>
      </c>
      <c r="J70" s="8" t="n">
        <f aca="false">MAX(0,H70-3*SQRT(H70*(1-$L$2)))</f>
        <v>0</v>
      </c>
    </row>
    <row r="71" customFormat="false" ht="15" hidden="false" customHeight="false" outlineLevel="0" collapsed="false">
      <c r="A71" s="0" t="n">
        <v>70</v>
      </c>
      <c r="B71" s="0" t="n">
        <v>150</v>
      </c>
      <c r="C71" s="0" t="n">
        <v>13</v>
      </c>
      <c r="D71" s="9" t="n">
        <f aca="false">C71/B71</f>
        <v>0.0866666666666667</v>
      </c>
      <c r="E71" s="9" t="n">
        <f aca="false">$L$2+3*SQRT($L$2*(1-$L$2)/B71)</f>
        <v>0.0992638852524712</v>
      </c>
      <c r="F71" s="9" t="n">
        <f aca="false">MAX(0,$L$2-3*SQRT($L$2*(1-$L$2)/B71))</f>
        <v>0</v>
      </c>
      <c r="G71" s="9" t="n">
        <f aca="false">$L$2</f>
        <v>0.0472777777777778</v>
      </c>
      <c r="H71" s="8" t="n">
        <f aca="false">B71*$L$2</f>
        <v>7.09166666666667</v>
      </c>
      <c r="I71" s="8" t="n">
        <f aca="false">H71+3*SQRT(H71*(1-$L$2))</f>
        <v>14.8895827878707</v>
      </c>
      <c r="J71" s="8" t="n">
        <f aca="false">MAX(0,H71-3*SQRT(H71*(1-$L$2)))</f>
        <v>0</v>
      </c>
    </row>
    <row r="72" customFormat="false" ht="15" hidden="false" customHeight="false" outlineLevel="0" collapsed="false">
      <c r="A72" s="0" t="n">
        <v>71</v>
      </c>
      <c r="B72" s="0" t="n">
        <v>150</v>
      </c>
      <c r="C72" s="0" t="n">
        <v>3</v>
      </c>
      <c r="D72" s="9" t="n">
        <f aca="false">C72/B72</f>
        <v>0.02</v>
      </c>
      <c r="E72" s="9" t="n">
        <f aca="false">$L$2+3*SQRT($L$2*(1-$L$2)/B72)</f>
        <v>0.0992638852524712</v>
      </c>
      <c r="F72" s="9" t="n">
        <f aca="false">MAX(0,$L$2-3*SQRT($L$2*(1-$L$2)/B72))</f>
        <v>0</v>
      </c>
      <c r="G72" s="9" t="n">
        <f aca="false">$L$2</f>
        <v>0.0472777777777778</v>
      </c>
      <c r="H72" s="8" t="n">
        <f aca="false">B72*$L$2</f>
        <v>7.09166666666667</v>
      </c>
      <c r="I72" s="8" t="n">
        <f aca="false">H72+3*SQRT(H72*(1-$L$2))</f>
        <v>14.8895827878707</v>
      </c>
      <c r="J72" s="8" t="n">
        <f aca="false">MAX(0,H72-3*SQRT(H72*(1-$L$2)))</f>
        <v>0</v>
      </c>
    </row>
    <row r="73" customFormat="false" ht="15" hidden="false" customHeight="false" outlineLevel="0" collapsed="false">
      <c r="A73" s="0" t="n">
        <v>72</v>
      </c>
      <c r="B73" s="0" t="n">
        <v>150</v>
      </c>
      <c r="C73" s="0" t="n">
        <v>13</v>
      </c>
      <c r="D73" s="9" t="n">
        <f aca="false">C73/B73</f>
        <v>0.0866666666666667</v>
      </c>
      <c r="E73" s="9" t="n">
        <f aca="false">$L$2+3*SQRT($L$2*(1-$L$2)/B73)</f>
        <v>0.0992638852524712</v>
      </c>
      <c r="F73" s="9" t="n">
        <f aca="false">MAX(0,$L$2-3*SQRT($L$2*(1-$L$2)/B73))</f>
        <v>0</v>
      </c>
      <c r="G73" s="9" t="n">
        <f aca="false">$L$2</f>
        <v>0.0472777777777778</v>
      </c>
      <c r="H73" s="8" t="n">
        <f aca="false">B73*$L$2</f>
        <v>7.09166666666667</v>
      </c>
      <c r="I73" s="8" t="n">
        <f aca="false">H73+3*SQRT(H73*(1-$L$2))</f>
        <v>14.8895827878707</v>
      </c>
      <c r="J73" s="8" t="n">
        <f aca="false">MAX(0,H73-3*SQRT(H73*(1-$L$2)))</f>
        <v>0</v>
      </c>
    </row>
    <row r="74" customFormat="false" ht="15" hidden="false" customHeight="false" outlineLevel="0" collapsed="false">
      <c r="A74" s="0" t="n">
        <v>73</v>
      </c>
      <c r="B74" s="0" t="n">
        <v>150</v>
      </c>
      <c r="C74" s="0" t="n">
        <v>3</v>
      </c>
      <c r="D74" s="9" t="n">
        <f aca="false">C74/B74</f>
        <v>0.02</v>
      </c>
      <c r="E74" s="9" t="n">
        <f aca="false">$L$2+3*SQRT($L$2*(1-$L$2)/B74)</f>
        <v>0.0992638852524712</v>
      </c>
      <c r="F74" s="9" t="n">
        <f aca="false">MAX(0,$L$2-3*SQRT($L$2*(1-$L$2)/B74))</f>
        <v>0</v>
      </c>
      <c r="G74" s="9" t="n">
        <f aca="false">$L$2</f>
        <v>0.0472777777777778</v>
      </c>
      <c r="H74" s="8" t="n">
        <f aca="false">B74*$L$2</f>
        <v>7.09166666666667</v>
      </c>
      <c r="I74" s="8" t="n">
        <f aca="false">H74+3*SQRT(H74*(1-$L$2))</f>
        <v>14.8895827878707</v>
      </c>
      <c r="J74" s="8" t="n">
        <f aca="false">MAX(0,H74-3*SQRT(H74*(1-$L$2)))</f>
        <v>0</v>
      </c>
    </row>
    <row r="75" customFormat="false" ht="15" hidden="false" customHeight="false" outlineLevel="0" collapsed="false">
      <c r="A75" s="0" t="n">
        <v>74</v>
      </c>
      <c r="B75" s="0" t="n">
        <v>150</v>
      </c>
      <c r="C75" s="0" t="n">
        <v>7</v>
      </c>
      <c r="D75" s="9" t="n">
        <f aca="false">C75/B75</f>
        <v>0.0466666666666667</v>
      </c>
      <c r="E75" s="9" t="n">
        <f aca="false">$L$2+3*SQRT($L$2*(1-$L$2)/B75)</f>
        <v>0.0992638852524712</v>
      </c>
      <c r="F75" s="9" t="n">
        <f aca="false">MAX(0,$L$2-3*SQRT($L$2*(1-$L$2)/B75))</f>
        <v>0</v>
      </c>
      <c r="G75" s="9" t="n">
        <f aca="false">$L$2</f>
        <v>0.0472777777777778</v>
      </c>
      <c r="H75" s="8" t="n">
        <f aca="false">B75*$L$2</f>
        <v>7.09166666666667</v>
      </c>
      <c r="I75" s="8" t="n">
        <f aca="false">H75+3*SQRT(H75*(1-$L$2))</f>
        <v>14.8895827878707</v>
      </c>
      <c r="J75" s="8" t="n">
        <f aca="false">MAX(0,H75-3*SQRT(H75*(1-$L$2)))</f>
        <v>0</v>
      </c>
    </row>
    <row r="76" customFormat="false" ht="15" hidden="false" customHeight="false" outlineLevel="0" collapsed="false">
      <c r="A76" s="0" t="n">
        <v>75</v>
      </c>
      <c r="B76" s="0" t="n">
        <v>150</v>
      </c>
      <c r="C76" s="0" t="n">
        <v>3</v>
      </c>
      <c r="D76" s="9" t="n">
        <f aca="false">C76/B76</f>
        <v>0.02</v>
      </c>
      <c r="E76" s="9" t="n">
        <f aca="false">$L$2+3*SQRT($L$2*(1-$L$2)/B76)</f>
        <v>0.0992638852524712</v>
      </c>
      <c r="F76" s="9" t="n">
        <f aca="false">MAX(0,$L$2-3*SQRT($L$2*(1-$L$2)/B76))</f>
        <v>0</v>
      </c>
      <c r="G76" s="9" t="n">
        <f aca="false">$L$2</f>
        <v>0.0472777777777778</v>
      </c>
      <c r="H76" s="8" t="n">
        <f aca="false">B76*$L$2</f>
        <v>7.09166666666667</v>
      </c>
      <c r="I76" s="8" t="n">
        <f aca="false">H76+3*SQRT(H76*(1-$L$2))</f>
        <v>14.8895827878707</v>
      </c>
      <c r="J76" s="8" t="n">
        <f aca="false">MAX(0,H76-3*SQRT(H76*(1-$L$2)))</f>
        <v>0</v>
      </c>
    </row>
    <row r="77" customFormat="false" ht="15" hidden="false" customHeight="false" outlineLevel="0" collapsed="false">
      <c r="A77" s="0" t="n">
        <v>76</v>
      </c>
      <c r="B77" s="0" t="n">
        <v>150</v>
      </c>
      <c r="C77" s="0" t="n">
        <v>2</v>
      </c>
      <c r="D77" s="9" t="n">
        <f aca="false">C77/B77</f>
        <v>0.0133333333333333</v>
      </c>
      <c r="E77" s="9" t="n">
        <f aca="false">$L$2+3*SQRT($L$2*(1-$L$2)/B77)</f>
        <v>0.0992638852524712</v>
      </c>
      <c r="F77" s="9" t="n">
        <f aca="false">MAX(0,$L$2-3*SQRT($L$2*(1-$L$2)/B77))</f>
        <v>0</v>
      </c>
      <c r="G77" s="9" t="n">
        <f aca="false">$L$2</f>
        <v>0.0472777777777778</v>
      </c>
      <c r="H77" s="8" t="n">
        <f aca="false">B77*$L$2</f>
        <v>7.09166666666667</v>
      </c>
      <c r="I77" s="8" t="n">
        <f aca="false">H77+3*SQRT(H77*(1-$L$2))</f>
        <v>14.8895827878707</v>
      </c>
      <c r="J77" s="8" t="n">
        <f aca="false">MAX(0,H77-3*SQRT(H77*(1-$L$2)))</f>
        <v>0</v>
      </c>
    </row>
    <row r="78" customFormat="false" ht="15" hidden="false" customHeight="false" outlineLevel="0" collapsed="false">
      <c r="A78" s="0" t="n">
        <v>77</v>
      </c>
      <c r="B78" s="0" t="n">
        <v>150</v>
      </c>
      <c r="C78" s="0" t="n">
        <v>9</v>
      </c>
      <c r="D78" s="9" t="n">
        <f aca="false">C78/B78</f>
        <v>0.06</v>
      </c>
      <c r="E78" s="9" t="n">
        <f aca="false">$L$2+3*SQRT($L$2*(1-$L$2)/B78)</f>
        <v>0.0992638852524712</v>
      </c>
      <c r="F78" s="9" t="n">
        <f aca="false">MAX(0,$L$2-3*SQRT($L$2*(1-$L$2)/B78))</f>
        <v>0</v>
      </c>
      <c r="G78" s="9" t="n">
        <f aca="false">$L$2</f>
        <v>0.0472777777777778</v>
      </c>
      <c r="H78" s="8" t="n">
        <f aca="false">B78*$L$2</f>
        <v>7.09166666666667</v>
      </c>
      <c r="I78" s="8" t="n">
        <f aca="false">H78+3*SQRT(H78*(1-$L$2))</f>
        <v>14.8895827878707</v>
      </c>
      <c r="J78" s="8" t="n">
        <f aca="false">MAX(0,H78-3*SQRT(H78*(1-$L$2)))</f>
        <v>0</v>
      </c>
    </row>
    <row r="79" customFormat="false" ht="15" hidden="false" customHeight="false" outlineLevel="0" collapsed="false">
      <c r="A79" s="0" t="n">
        <v>78</v>
      </c>
      <c r="B79" s="0" t="n">
        <v>150</v>
      </c>
      <c r="C79" s="0" t="n">
        <v>4</v>
      </c>
      <c r="D79" s="9" t="n">
        <f aca="false">C79/B79</f>
        <v>0.0266666666666667</v>
      </c>
      <c r="E79" s="9" t="n">
        <f aca="false">$L$2+3*SQRT($L$2*(1-$L$2)/B79)</f>
        <v>0.0992638852524712</v>
      </c>
      <c r="F79" s="9" t="n">
        <f aca="false">MAX(0,$L$2-3*SQRT($L$2*(1-$L$2)/B79))</f>
        <v>0</v>
      </c>
      <c r="G79" s="9" t="n">
        <f aca="false">$L$2</f>
        <v>0.0472777777777778</v>
      </c>
      <c r="H79" s="8" t="n">
        <f aca="false">B79*$L$2</f>
        <v>7.09166666666667</v>
      </c>
      <c r="I79" s="8" t="n">
        <f aca="false">H79+3*SQRT(H79*(1-$L$2))</f>
        <v>14.8895827878707</v>
      </c>
      <c r="J79" s="8" t="n">
        <f aca="false">MAX(0,H79-3*SQRT(H79*(1-$L$2)))</f>
        <v>0</v>
      </c>
    </row>
    <row r="80" customFormat="false" ht="15" hidden="false" customHeight="false" outlineLevel="0" collapsed="false">
      <c r="A80" s="0" t="n">
        <v>79</v>
      </c>
      <c r="B80" s="0" t="n">
        <v>150</v>
      </c>
      <c r="C80" s="0" t="n">
        <v>13</v>
      </c>
      <c r="D80" s="9" t="n">
        <f aca="false">C80/B80</f>
        <v>0.0866666666666667</v>
      </c>
      <c r="E80" s="9" t="n">
        <f aca="false">$L$2+3*SQRT($L$2*(1-$L$2)/B80)</f>
        <v>0.0992638852524712</v>
      </c>
      <c r="F80" s="9" t="n">
        <f aca="false">MAX(0,$L$2-3*SQRT($L$2*(1-$L$2)/B80))</f>
        <v>0</v>
      </c>
      <c r="G80" s="9" t="n">
        <f aca="false">$L$2</f>
        <v>0.0472777777777778</v>
      </c>
      <c r="H80" s="8" t="n">
        <f aca="false">B80*$L$2</f>
        <v>7.09166666666667</v>
      </c>
      <c r="I80" s="8" t="n">
        <f aca="false">H80+3*SQRT(H80*(1-$L$2))</f>
        <v>14.8895827878707</v>
      </c>
      <c r="J80" s="8" t="n">
        <f aca="false">MAX(0,H80-3*SQRT(H80*(1-$L$2)))</f>
        <v>0</v>
      </c>
    </row>
    <row r="81" customFormat="false" ht="15" hidden="false" customHeight="false" outlineLevel="0" collapsed="false">
      <c r="A81" s="0" t="n">
        <v>80</v>
      </c>
      <c r="B81" s="0" t="n">
        <v>150</v>
      </c>
      <c r="C81" s="0" t="n">
        <v>3</v>
      </c>
      <c r="D81" s="9" t="n">
        <f aca="false">C81/B81</f>
        <v>0.02</v>
      </c>
      <c r="E81" s="9" t="n">
        <f aca="false">$L$2+3*SQRT($L$2*(1-$L$2)/B81)</f>
        <v>0.0992638852524712</v>
      </c>
      <c r="F81" s="9" t="n">
        <f aca="false">MAX(0,$L$2-3*SQRT($L$2*(1-$L$2)/B81))</f>
        <v>0</v>
      </c>
      <c r="G81" s="9" t="n">
        <f aca="false">$L$2</f>
        <v>0.0472777777777778</v>
      </c>
      <c r="H81" s="8" t="n">
        <f aca="false">B81*$L$2</f>
        <v>7.09166666666667</v>
      </c>
      <c r="I81" s="8" t="n">
        <f aca="false">H81+3*SQRT(H81*(1-$L$2))</f>
        <v>14.8895827878707</v>
      </c>
      <c r="J81" s="8" t="n">
        <f aca="false">MAX(0,H81-3*SQRT(H81*(1-$L$2)))</f>
        <v>0</v>
      </c>
    </row>
    <row r="82" customFormat="false" ht="15" hidden="false" customHeight="false" outlineLevel="0" collapsed="false">
      <c r="A82" s="0" t="n">
        <v>81</v>
      </c>
      <c r="B82" s="0" t="n">
        <v>150</v>
      </c>
      <c r="C82" s="0" t="n">
        <v>6</v>
      </c>
      <c r="D82" s="9" t="n">
        <f aca="false">C82/B82</f>
        <v>0.04</v>
      </c>
      <c r="E82" s="9" t="n">
        <f aca="false">$L$2+3*SQRT($L$2*(1-$L$2)/B82)</f>
        <v>0.0992638852524712</v>
      </c>
      <c r="F82" s="9" t="n">
        <f aca="false">MAX(0,$L$2-3*SQRT($L$2*(1-$L$2)/B82))</f>
        <v>0</v>
      </c>
      <c r="G82" s="9" t="n">
        <f aca="false">$L$2</f>
        <v>0.0472777777777778</v>
      </c>
      <c r="H82" s="8" t="n">
        <f aca="false">B82*$L$2</f>
        <v>7.09166666666667</v>
      </c>
      <c r="I82" s="8" t="n">
        <f aca="false">H82+3*SQRT(H82*(1-$L$2))</f>
        <v>14.8895827878707</v>
      </c>
      <c r="J82" s="8" t="n">
        <f aca="false">MAX(0,H82-3*SQRT(H82*(1-$L$2)))</f>
        <v>0</v>
      </c>
    </row>
    <row r="83" customFormat="false" ht="15" hidden="false" customHeight="false" outlineLevel="0" collapsed="false">
      <c r="A83" s="0" t="n">
        <v>82</v>
      </c>
      <c r="B83" s="0" t="n">
        <v>150</v>
      </c>
      <c r="C83" s="0" t="n">
        <v>1</v>
      </c>
      <c r="D83" s="9" t="n">
        <f aca="false">C83/B83</f>
        <v>0.00666666666666667</v>
      </c>
      <c r="E83" s="9" t="n">
        <f aca="false">$L$2+3*SQRT($L$2*(1-$L$2)/B83)</f>
        <v>0.0992638852524712</v>
      </c>
      <c r="F83" s="9" t="n">
        <f aca="false">MAX(0,$L$2-3*SQRT($L$2*(1-$L$2)/B83))</f>
        <v>0</v>
      </c>
      <c r="G83" s="9" t="n">
        <f aca="false">$L$2</f>
        <v>0.0472777777777778</v>
      </c>
      <c r="H83" s="8" t="n">
        <f aca="false">B83*$L$2</f>
        <v>7.09166666666667</v>
      </c>
      <c r="I83" s="8" t="n">
        <f aca="false">H83+3*SQRT(H83*(1-$L$2))</f>
        <v>14.8895827878707</v>
      </c>
      <c r="J83" s="8" t="n">
        <f aca="false">MAX(0,H83-3*SQRT(H83*(1-$L$2)))</f>
        <v>0</v>
      </c>
    </row>
    <row r="84" customFormat="false" ht="15" hidden="false" customHeight="false" outlineLevel="0" collapsed="false">
      <c r="A84" s="0" t="n">
        <v>83</v>
      </c>
      <c r="B84" s="0" t="n">
        <v>150</v>
      </c>
      <c r="C84" s="0" t="n">
        <v>4</v>
      </c>
      <c r="D84" s="9" t="n">
        <f aca="false">C84/B84</f>
        <v>0.0266666666666667</v>
      </c>
      <c r="E84" s="9" t="n">
        <f aca="false">$L$2+3*SQRT($L$2*(1-$L$2)/B84)</f>
        <v>0.0992638852524712</v>
      </c>
      <c r="F84" s="9" t="n">
        <f aca="false">MAX(0,$L$2-3*SQRT($L$2*(1-$L$2)/B84))</f>
        <v>0</v>
      </c>
      <c r="G84" s="9" t="n">
        <f aca="false">$L$2</f>
        <v>0.0472777777777778</v>
      </c>
      <c r="H84" s="8" t="n">
        <f aca="false">B84*$L$2</f>
        <v>7.09166666666667</v>
      </c>
      <c r="I84" s="8" t="n">
        <f aca="false">H84+3*SQRT(H84*(1-$L$2))</f>
        <v>14.8895827878707</v>
      </c>
      <c r="J84" s="8" t="n">
        <f aca="false">MAX(0,H84-3*SQRT(H84*(1-$L$2)))</f>
        <v>0</v>
      </c>
    </row>
    <row r="85" customFormat="false" ht="15" hidden="false" customHeight="false" outlineLevel="0" collapsed="false">
      <c r="A85" s="0" t="n">
        <v>84</v>
      </c>
      <c r="B85" s="0" t="n">
        <v>150</v>
      </c>
      <c r="C85" s="0" t="n">
        <v>13</v>
      </c>
      <c r="D85" s="9" t="n">
        <f aca="false">C85/B85</f>
        <v>0.0866666666666667</v>
      </c>
      <c r="E85" s="9" t="n">
        <f aca="false">$L$2+3*SQRT($L$2*(1-$L$2)/B85)</f>
        <v>0.0992638852524712</v>
      </c>
      <c r="F85" s="9" t="n">
        <f aca="false">MAX(0,$L$2-3*SQRT($L$2*(1-$L$2)/B85))</f>
        <v>0</v>
      </c>
      <c r="G85" s="9" t="n">
        <f aca="false">$L$2</f>
        <v>0.0472777777777778</v>
      </c>
      <c r="H85" s="8" t="n">
        <f aca="false">B85*$L$2</f>
        <v>7.09166666666667</v>
      </c>
      <c r="I85" s="8" t="n">
        <f aca="false">H85+3*SQRT(H85*(1-$L$2))</f>
        <v>14.8895827878707</v>
      </c>
      <c r="J85" s="8" t="n">
        <f aca="false">MAX(0,H85-3*SQRT(H85*(1-$L$2)))</f>
        <v>0</v>
      </c>
    </row>
    <row r="86" customFormat="false" ht="15" hidden="false" customHeight="false" outlineLevel="0" collapsed="false">
      <c r="A86" s="0" t="n">
        <v>85</v>
      </c>
      <c r="B86" s="0" t="n">
        <v>150</v>
      </c>
      <c r="C86" s="0" t="n">
        <v>12</v>
      </c>
      <c r="D86" s="9" t="n">
        <f aca="false">C86/B86</f>
        <v>0.08</v>
      </c>
      <c r="E86" s="9" t="n">
        <f aca="false">$L$2+3*SQRT($L$2*(1-$L$2)/B86)</f>
        <v>0.0992638852524712</v>
      </c>
      <c r="F86" s="9" t="n">
        <f aca="false">MAX(0,$L$2-3*SQRT($L$2*(1-$L$2)/B86))</f>
        <v>0</v>
      </c>
      <c r="G86" s="9" t="n">
        <f aca="false">$L$2</f>
        <v>0.0472777777777778</v>
      </c>
      <c r="H86" s="8" t="n">
        <f aca="false">B86*$L$2</f>
        <v>7.09166666666667</v>
      </c>
      <c r="I86" s="8" t="n">
        <f aca="false">H86+3*SQRT(H86*(1-$L$2))</f>
        <v>14.8895827878707</v>
      </c>
      <c r="J86" s="8" t="n">
        <f aca="false">MAX(0,H86-3*SQRT(H86*(1-$L$2)))</f>
        <v>0</v>
      </c>
    </row>
    <row r="87" customFormat="false" ht="15" hidden="false" customHeight="false" outlineLevel="0" collapsed="false">
      <c r="A87" s="0" t="n">
        <v>86</v>
      </c>
      <c r="B87" s="0" t="n">
        <v>150</v>
      </c>
      <c r="C87" s="0" t="n">
        <v>10</v>
      </c>
      <c r="D87" s="9" t="n">
        <f aca="false">C87/B87</f>
        <v>0.0666666666666667</v>
      </c>
      <c r="E87" s="9" t="n">
        <f aca="false">$L$2+3*SQRT($L$2*(1-$L$2)/B87)</f>
        <v>0.0992638852524712</v>
      </c>
      <c r="F87" s="9" t="n">
        <f aca="false">MAX(0,$L$2-3*SQRT($L$2*(1-$L$2)/B87))</f>
        <v>0</v>
      </c>
      <c r="G87" s="9" t="n">
        <f aca="false">$L$2</f>
        <v>0.0472777777777778</v>
      </c>
      <c r="H87" s="8" t="n">
        <f aca="false">B87*$L$2</f>
        <v>7.09166666666667</v>
      </c>
      <c r="I87" s="8" t="n">
        <f aca="false">H87+3*SQRT(H87*(1-$L$2))</f>
        <v>14.8895827878707</v>
      </c>
      <c r="J87" s="8" t="n">
        <f aca="false">MAX(0,H87-3*SQRT(H87*(1-$L$2)))</f>
        <v>0</v>
      </c>
    </row>
    <row r="88" customFormat="false" ht="15" hidden="false" customHeight="false" outlineLevel="0" collapsed="false">
      <c r="A88" s="0" t="n">
        <v>87</v>
      </c>
      <c r="B88" s="0" t="n">
        <v>150</v>
      </c>
      <c r="C88" s="0" t="n">
        <v>2</v>
      </c>
      <c r="D88" s="9" t="n">
        <f aca="false">C88/B88</f>
        <v>0.0133333333333333</v>
      </c>
      <c r="E88" s="9" t="n">
        <f aca="false">$L$2+3*SQRT($L$2*(1-$L$2)/B88)</f>
        <v>0.0992638852524712</v>
      </c>
      <c r="F88" s="9" t="n">
        <f aca="false">MAX(0,$L$2-3*SQRT($L$2*(1-$L$2)/B88))</f>
        <v>0</v>
      </c>
      <c r="G88" s="9" t="n">
        <f aca="false">$L$2</f>
        <v>0.0472777777777778</v>
      </c>
      <c r="H88" s="8" t="n">
        <f aca="false">B88*$L$2</f>
        <v>7.09166666666667</v>
      </c>
      <c r="I88" s="8" t="n">
        <f aca="false">H88+3*SQRT(H88*(1-$L$2))</f>
        <v>14.8895827878707</v>
      </c>
      <c r="J88" s="8" t="n">
        <f aca="false">MAX(0,H88-3*SQRT(H88*(1-$L$2)))</f>
        <v>0</v>
      </c>
    </row>
    <row r="89" customFormat="false" ht="15" hidden="false" customHeight="false" outlineLevel="0" collapsed="false">
      <c r="A89" s="0" t="n">
        <v>88</v>
      </c>
      <c r="B89" s="0" t="n">
        <v>150</v>
      </c>
      <c r="C89" s="0" t="n">
        <v>5</v>
      </c>
      <c r="D89" s="9" t="n">
        <f aca="false">C89/B89</f>
        <v>0.0333333333333333</v>
      </c>
      <c r="E89" s="9" t="n">
        <f aca="false">$L$2+3*SQRT($L$2*(1-$L$2)/B89)</f>
        <v>0.0992638852524712</v>
      </c>
      <c r="F89" s="9" t="n">
        <f aca="false">MAX(0,$L$2-3*SQRT($L$2*(1-$L$2)/B89))</f>
        <v>0</v>
      </c>
      <c r="G89" s="9" t="n">
        <f aca="false">$L$2</f>
        <v>0.0472777777777778</v>
      </c>
      <c r="H89" s="8" t="n">
        <f aca="false">B89*$L$2</f>
        <v>7.09166666666667</v>
      </c>
      <c r="I89" s="8" t="n">
        <f aca="false">H89+3*SQRT(H89*(1-$L$2))</f>
        <v>14.8895827878707</v>
      </c>
      <c r="J89" s="8" t="n">
        <f aca="false">MAX(0,H89-3*SQRT(H89*(1-$L$2)))</f>
        <v>0</v>
      </c>
    </row>
    <row r="90" customFormat="false" ht="15" hidden="false" customHeight="false" outlineLevel="0" collapsed="false">
      <c r="A90" s="0" t="n">
        <v>89</v>
      </c>
      <c r="B90" s="0" t="n">
        <v>150</v>
      </c>
      <c r="C90" s="0" t="n">
        <v>7</v>
      </c>
      <c r="D90" s="9" t="n">
        <f aca="false">C90/B90</f>
        <v>0.0466666666666667</v>
      </c>
      <c r="E90" s="9" t="n">
        <f aca="false">$L$2+3*SQRT($L$2*(1-$L$2)/B90)</f>
        <v>0.0992638852524712</v>
      </c>
      <c r="F90" s="9" t="n">
        <f aca="false">MAX(0,$L$2-3*SQRT($L$2*(1-$L$2)/B90))</f>
        <v>0</v>
      </c>
      <c r="G90" s="9" t="n">
        <f aca="false">$L$2</f>
        <v>0.0472777777777778</v>
      </c>
      <c r="H90" s="8" t="n">
        <f aca="false">B90*$L$2</f>
        <v>7.09166666666667</v>
      </c>
      <c r="I90" s="8" t="n">
        <f aca="false">H90+3*SQRT(H90*(1-$L$2))</f>
        <v>14.8895827878707</v>
      </c>
      <c r="J90" s="8" t="n">
        <f aca="false">MAX(0,H90-3*SQRT(H90*(1-$L$2)))</f>
        <v>0</v>
      </c>
    </row>
    <row r="91" customFormat="false" ht="15" hidden="false" customHeight="false" outlineLevel="0" collapsed="false">
      <c r="A91" s="0" t="n">
        <v>90</v>
      </c>
      <c r="B91" s="0" t="n">
        <v>150</v>
      </c>
      <c r="C91" s="0" t="n">
        <v>10</v>
      </c>
      <c r="D91" s="9" t="n">
        <f aca="false">C91/B91</f>
        <v>0.0666666666666667</v>
      </c>
      <c r="E91" s="9" t="n">
        <f aca="false">$L$2+3*SQRT($L$2*(1-$L$2)/B91)</f>
        <v>0.0992638852524712</v>
      </c>
      <c r="F91" s="9" t="n">
        <f aca="false">MAX(0,$L$2-3*SQRT($L$2*(1-$L$2)/B91))</f>
        <v>0</v>
      </c>
      <c r="G91" s="9" t="n">
        <f aca="false">$L$2</f>
        <v>0.0472777777777778</v>
      </c>
      <c r="H91" s="8" t="n">
        <f aca="false">B91*$L$2</f>
        <v>7.09166666666667</v>
      </c>
      <c r="I91" s="8" t="n">
        <f aca="false">H91+3*SQRT(H91*(1-$L$2))</f>
        <v>14.8895827878707</v>
      </c>
      <c r="J91" s="8" t="n">
        <f aca="false">MAX(0,H91-3*SQRT(H91*(1-$L$2)))</f>
        <v>0</v>
      </c>
    </row>
    <row r="92" customFormat="false" ht="15" hidden="false" customHeight="false" outlineLevel="0" collapsed="false">
      <c r="A92" s="0" t="n">
        <v>91</v>
      </c>
      <c r="B92" s="0" t="n">
        <v>150</v>
      </c>
      <c r="C92" s="0" t="n">
        <v>4</v>
      </c>
      <c r="D92" s="9" t="n">
        <f aca="false">C92/B92</f>
        <v>0.0266666666666667</v>
      </c>
      <c r="E92" s="9" t="n">
        <f aca="false">$L$2+3*SQRT($L$2*(1-$L$2)/B92)</f>
        <v>0.0992638852524712</v>
      </c>
      <c r="F92" s="9" t="n">
        <f aca="false">MAX(0,$L$2-3*SQRT($L$2*(1-$L$2)/B92))</f>
        <v>0</v>
      </c>
      <c r="G92" s="9" t="n">
        <f aca="false">$L$2</f>
        <v>0.0472777777777778</v>
      </c>
      <c r="H92" s="8" t="n">
        <f aca="false">B92*$L$2</f>
        <v>7.09166666666667</v>
      </c>
      <c r="I92" s="8" t="n">
        <f aca="false">H92+3*SQRT(H92*(1-$L$2))</f>
        <v>14.8895827878707</v>
      </c>
      <c r="J92" s="8" t="n">
        <f aca="false">MAX(0,H92-3*SQRT(H92*(1-$L$2)))</f>
        <v>0</v>
      </c>
    </row>
    <row r="93" customFormat="false" ht="15" hidden="false" customHeight="false" outlineLevel="0" collapsed="false">
      <c r="A93" s="0" t="n">
        <v>92</v>
      </c>
      <c r="B93" s="0" t="n">
        <v>150</v>
      </c>
      <c r="C93" s="0" t="n">
        <v>2</v>
      </c>
      <c r="D93" s="9" t="n">
        <f aca="false">C93/B93</f>
        <v>0.0133333333333333</v>
      </c>
      <c r="E93" s="9" t="n">
        <f aca="false">$L$2+3*SQRT($L$2*(1-$L$2)/B93)</f>
        <v>0.0992638852524712</v>
      </c>
      <c r="F93" s="9" t="n">
        <f aca="false">MAX(0,$L$2-3*SQRT($L$2*(1-$L$2)/B93))</f>
        <v>0</v>
      </c>
      <c r="G93" s="9" t="n">
        <f aca="false">$L$2</f>
        <v>0.0472777777777778</v>
      </c>
      <c r="H93" s="8" t="n">
        <f aca="false">B93*$L$2</f>
        <v>7.09166666666667</v>
      </c>
      <c r="I93" s="8" t="n">
        <f aca="false">H93+3*SQRT(H93*(1-$L$2))</f>
        <v>14.8895827878707</v>
      </c>
      <c r="J93" s="8" t="n">
        <f aca="false">MAX(0,H93-3*SQRT(H93*(1-$L$2)))</f>
        <v>0</v>
      </c>
    </row>
    <row r="94" customFormat="false" ht="15" hidden="false" customHeight="false" outlineLevel="0" collapsed="false">
      <c r="A94" s="0" t="n">
        <v>93</v>
      </c>
      <c r="B94" s="0" t="n">
        <v>150</v>
      </c>
      <c r="C94" s="0" t="n">
        <v>2</v>
      </c>
      <c r="D94" s="9" t="n">
        <f aca="false">C94/B94</f>
        <v>0.0133333333333333</v>
      </c>
      <c r="E94" s="9" t="n">
        <f aca="false">$L$2+3*SQRT($L$2*(1-$L$2)/B94)</f>
        <v>0.0992638852524712</v>
      </c>
      <c r="F94" s="9" t="n">
        <f aca="false">MAX(0,$L$2-3*SQRT($L$2*(1-$L$2)/B94))</f>
        <v>0</v>
      </c>
      <c r="G94" s="9" t="n">
        <f aca="false">$L$2</f>
        <v>0.0472777777777778</v>
      </c>
      <c r="H94" s="8" t="n">
        <f aca="false">B94*$L$2</f>
        <v>7.09166666666667</v>
      </c>
      <c r="I94" s="8" t="n">
        <f aca="false">H94+3*SQRT(H94*(1-$L$2))</f>
        <v>14.8895827878707</v>
      </c>
      <c r="J94" s="8" t="n">
        <f aca="false">MAX(0,H94-3*SQRT(H94*(1-$L$2)))</f>
        <v>0</v>
      </c>
    </row>
    <row r="95" customFormat="false" ht="15" hidden="false" customHeight="false" outlineLevel="0" collapsed="false">
      <c r="A95" s="0" t="n">
        <v>94</v>
      </c>
      <c r="B95" s="0" t="n">
        <v>150</v>
      </c>
      <c r="C95" s="0" t="n">
        <v>6</v>
      </c>
      <c r="D95" s="9" t="n">
        <f aca="false">C95/B95</f>
        <v>0.04</v>
      </c>
      <c r="E95" s="9" t="n">
        <f aca="false">$L$2+3*SQRT($L$2*(1-$L$2)/B95)</f>
        <v>0.0992638852524712</v>
      </c>
      <c r="F95" s="9" t="n">
        <f aca="false">MAX(0,$L$2-3*SQRT($L$2*(1-$L$2)/B95))</f>
        <v>0</v>
      </c>
      <c r="G95" s="9" t="n">
        <f aca="false">$L$2</f>
        <v>0.0472777777777778</v>
      </c>
      <c r="H95" s="8" t="n">
        <f aca="false">B95*$L$2</f>
        <v>7.09166666666667</v>
      </c>
      <c r="I95" s="8" t="n">
        <f aca="false">H95+3*SQRT(H95*(1-$L$2))</f>
        <v>14.8895827878707</v>
      </c>
      <c r="J95" s="8" t="n">
        <f aca="false">MAX(0,H95-3*SQRT(H95*(1-$L$2)))</f>
        <v>0</v>
      </c>
    </row>
    <row r="96" customFormat="false" ht="15" hidden="false" customHeight="false" outlineLevel="0" collapsed="false">
      <c r="A96" s="0" t="n">
        <v>95</v>
      </c>
      <c r="B96" s="0" t="n">
        <v>150</v>
      </c>
      <c r="C96" s="0" t="n">
        <v>4</v>
      </c>
      <c r="D96" s="9" t="n">
        <f aca="false">C96/B96</f>
        <v>0.0266666666666667</v>
      </c>
      <c r="E96" s="9" t="n">
        <f aca="false">$L$2+3*SQRT($L$2*(1-$L$2)/B96)</f>
        <v>0.0992638852524712</v>
      </c>
      <c r="F96" s="9" t="n">
        <f aca="false">MAX(0,$L$2-3*SQRT($L$2*(1-$L$2)/B96))</f>
        <v>0</v>
      </c>
      <c r="G96" s="9" t="n">
        <f aca="false">$L$2</f>
        <v>0.0472777777777778</v>
      </c>
      <c r="H96" s="8" t="n">
        <f aca="false">B96*$L$2</f>
        <v>7.09166666666667</v>
      </c>
      <c r="I96" s="8" t="n">
        <f aca="false">H96+3*SQRT(H96*(1-$L$2))</f>
        <v>14.8895827878707</v>
      </c>
      <c r="J96" s="8" t="n">
        <f aca="false">MAX(0,H96-3*SQRT(H96*(1-$L$2)))</f>
        <v>0</v>
      </c>
    </row>
    <row r="97" customFormat="false" ht="15" hidden="false" customHeight="false" outlineLevel="0" collapsed="false">
      <c r="A97" s="0" t="n">
        <v>96</v>
      </c>
      <c r="B97" s="0" t="n">
        <v>150</v>
      </c>
      <c r="C97" s="0" t="n">
        <v>10</v>
      </c>
      <c r="D97" s="9" t="n">
        <f aca="false">C97/B97</f>
        <v>0.0666666666666667</v>
      </c>
      <c r="E97" s="9" t="n">
        <f aca="false">$L$2+3*SQRT($L$2*(1-$L$2)/B97)</f>
        <v>0.0992638852524712</v>
      </c>
      <c r="F97" s="9" t="n">
        <f aca="false">MAX(0,$L$2-3*SQRT($L$2*(1-$L$2)/B97))</f>
        <v>0</v>
      </c>
      <c r="G97" s="9" t="n">
        <f aca="false">$L$2</f>
        <v>0.0472777777777778</v>
      </c>
      <c r="H97" s="8" t="n">
        <f aca="false">B97*$L$2</f>
        <v>7.09166666666667</v>
      </c>
      <c r="I97" s="8" t="n">
        <f aca="false">H97+3*SQRT(H97*(1-$L$2))</f>
        <v>14.8895827878707</v>
      </c>
      <c r="J97" s="8" t="n">
        <f aca="false">MAX(0,H97-3*SQRT(H97*(1-$L$2)))</f>
        <v>0</v>
      </c>
    </row>
    <row r="98" customFormat="false" ht="15" hidden="false" customHeight="false" outlineLevel="0" collapsed="false">
      <c r="A98" s="0" t="n">
        <v>97</v>
      </c>
      <c r="B98" s="0" t="n">
        <v>150</v>
      </c>
      <c r="C98" s="0" t="n">
        <v>8</v>
      </c>
      <c r="D98" s="9" t="n">
        <f aca="false">C98/B98</f>
        <v>0.0533333333333333</v>
      </c>
      <c r="E98" s="9" t="n">
        <f aca="false">$L$2+3*SQRT($L$2*(1-$L$2)/B98)</f>
        <v>0.0992638852524712</v>
      </c>
      <c r="F98" s="9" t="n">
        <f aca="false">MAX(0,$L$2-3*SQRT($L$2*(1-$L$2)/B98))</f>
        <v>0</v>
      </c>
      <c r="G98" s="9" t="n">
        <f aca="false">$L$2</f>
        <v>0.0472777777777778</v>
      </c>
      <c r="H98" s="8" t="n">
        <f aca="false">B98*$L$2</f>
        <v>7.09166666666667</v>
      </c>
      <c r="I98" s="8" t="n">
        <f aca="false">H98+3*SQRT(H98*(1-$L$2))</f>
        <v>14.8895827878707</v>
      </c>
      <c r="J98" s="8" t="n">
        <f aca="false">MAX(0,H98-3*SQRT(H98*(1-$L$2)))</f>
        <v>0</v>
      </c>
    </row>
    <row r="99" customFormat="false" ht="15" hidden="false" customHeight="false" outlineLevel="0" collapsed="false">
      <c r="A99" s="0" t="n">
        <v>98</v>
      </c>
      <c r="B99" s="0" t="n">
        <v>150</v>
      </c>
      <c r="C99" s="0" t="n">
        <v>14</v>
      </c>
      <c r="D99" s="9" t="n">
        <f aca="false">C99/B99</f>
        <v>0.0933333333333333</v>
      </c>
      <c r="E99" s="9" t="n">
        <f aca="false">$L$2+3*SQRT($L$2*(1-$L$2)/B99)</f>
        <v>0.0992638852524712</v>
      </c>
      <c r="F99" s="9" t="n">
        <f aca="false">MAX(0,$L$2-3*SQRT($L$2*(1-$L$2)/B99))</f>
        <v>0</v>
      </c>
      <c r="G99" s="9" t="n">
        <f aca="false">$L$2</f>
        <v>0.0472777777777778</v>
      </c>
      <c r="H99" s="8" t="n">
        <f aca="false">B99*$L$2</f>
        <v>7.09166666666667</v>
      </c>
      <c r="I99" s="8" t="n">
        <f aca="false">H99+3*SQRT(H99*(1-$L$2))</f>
        <v>14.8895827878707</v>
      </c>
      <c r="J99" s="8" t="n">
        <f aca="false">MAX(0,H99-3*SQRT(H99*(1-$L$2)))</f>
        <v>0</v>
      </c>
    </row>
    <row r="100" customFormat="false" ht="15" hidden="false" customHeight="false" outlineLevel="0" collapsed="false">
      <c r="A100" s="0" t="n">
        <v>99</v>
      </c>
      <c r="B100" s="0" t="n">
        <v>150</v>
      </c>
      <c r="C100" s="0" t="n">
        <v>6</v>
      </c>
      <c r="D100" s="9" t="n">
        <f aca="false">C100/B100</f>
        <v>0.04</v>
      </c>
      <c r="E100" s="9" t="n">
        <f aca="false">$L$2+3*SQRT($L$2*(1-$L$2)/B100)</f>
        <v>0.0992638852524712</v>
      </c>
      <c r="F100" s="9" t="n">
        <f aca="false">MAX(0,$L$2-3*SQRT($L$2*(1-$L$2)/B100))</f>
        <v>0</v>
      </c>
      <c r="G100" s="9" t="n">
        <f aca="false">$L$2</f>
        <v>0.0472777777777778</v>
      </c>
      <c r="H100" s="8" t="n">
        <f aca="false">B100*$L$2</f>
        <v>7.09166666666667</v>
      </c>
      <c r="I100" s="8" t="n">
        <f aca="false">H100+3*SQRT(H100*(1-$L$2))</f>
        <v>14.8895827878707</v>
      </c>
      <c r="J100" s="8" t="n">
        <f aca="false">MAX(0,H100-3*SQRT(H100*(1-$L$2)))</f>
        <v>0</v>
      </c>
    </row>
    <row r="101" customFormat="false" ht="15" hidden="false" customHeight="false" outlineLevel="0" collapsed="false">
      <c r="A101" s="0" t="n">
        <v>100</v>
      </c>
      <c r="B101" s="0" t="n">
        <v>150</v>
      </c>
      <c r="C101" s="0" t="n">
        <v>4</v>
      </c>
      <c r="D101" s="9" t="n">
        <f aca="false">C101/B101</f>
        <v>0.0266666666666667</v>
      </c>
      <c r="E101" s="9" t="n">
        <f aca="false">$L$2+3*SQRT($L$2*(1-$L$2)/B101)</f>
        <v>0.0992638852524712</v>
      </c>
      <c r="F101" s="9" t="n">
        <f aca="false">MAX(0,$L$2-3*SQRT($L$2*(1-$L$2)/B101))</f>
        <v>0</v>
      </c>
      <c r="G101" s="9" t="n">
        <f aca="false">$L$2</f>
        <v>0.0472777777777778</v>
      </c>
      <c r="H101" s="8" t="n">
        <f aca="false">B101*$L$2</f>
        <v>7.09166666666667</v>
      </c>
      <c r="I101" s="8" t="n">
        <f aca="false">H101+3*SQRT(H101*(1-$L$2))</f>
        <v>14.8895827878707</v>
      </c>
      <c r="J101" s="8" t="n">
        <f aca="false">MAX(0,H101-3*SQRT(H101*(1-$L$2)))</f>
        <v>0</v>
      </c>
    </row>
    <row r="102" customFormat="false" ht="15" hidden="false" customHeight="false" outlineLevel="0" collapsed="false">
      <c r="A102" s="0" t="n">
        <v>101</v>
      </c>
      <c r="B102" s="0" t="n">
        <v>150</v>
      </c>
      <c r="C102" s="0" t="n">
        <v>7</v>
      </c>
      <c r="D102" s="9" t="n">
        <f aca="false">C102/B102</f>
        <v>0.0466666666666667</v>
      </c>
      <c r="E102" s="9" t="n">
        <f aca="false">$L$2+3*SQRT($L$2*(1-$L$2)/B102)</f>
        <v>0.0992638852524712</v>
      </c>
      <c r="F102" s="9" t="n">
        <f aca="false">MAX(0,$L$2-3*SQRT($L$2*(1-$L$2)/B102))</f>
        <v>0</v>
      </c>
      <c r="G102" s="9" t="n">
        <f aca="false">$L$2</f>
        <v>0.0472777777777778</v>
      </c>
      <c r="H102" s="8" t="n">
        <f aca="false">B102*$L$2</f>
        <v>7.09166666666667</v>
      </c>
      <c r="I102" s="8" t="n">
        <f aca="false">H102+3*SQRT(H102*(1-$L$2))</f>
        <v>14.8895827878707</v>
      </c>
      <c r="J102" s="8" t="n">
        <f aca="false">MAX(0,H102-3*SQRT(H102*(1-$L$2)))</f>
        <v>0</v>
      </c>
    </row>
    <row r="103" customFormat="false" ht="15" hidden="false" customHeight="false" outlineLevel="0" collapsed="false">
      <c r="A103" s="0" t="n">
        <v>102</v>
      </c>
      <c r="B103" s="0" t="n">
        <v>150</v>
      </c>
      <c r="C103" s="0" t="n">
        <v>4</v>
      </c>
      <c r="D103" s="9" t="n">
        <f aca="false">C103/B103</f>
        <v>0.0266666666666667</v>
      </c>
      <c r="E103" s="9" t="n">
        <f aca="false">$L$2+3*SQRT($L$2*(1-$L$2)/B103)</f>
        <v>0.0992638852524712</v>
      </c>
      <c r="F103" s="9" t="n">
        <f aca="false">MAX(0,$L$2-3*SQRT($L$2*(1-$L$2)/B103))</f>
        <v>0</v>
      </c>
      <c r="G103" s="9" t="n">
        <f aca="false">$L$2</f>
        <v>0.0472777777777778</v>
      </c>
      <c r="H103" s="8" t="n">
        <f aca="false">B103*$L$2</f>
        <v>7.09166666666667</v>
      </c>
      <c r="I103" s="8" t="n">
        <f aca="false">H103+3*SQRT(H103*(1-$L$2))</f>
        <v>14.8895827878707</v>
      </c>
      <c r="J103" s="8" t="n">
        <f aca="false">MAX(0,H103-3*SQRT(H103*(1-$L$2)))</f>
        <v>0</v>
      </c>
    </row>
    <row r="104" customFormat="false" ht="15" hidden="false" customHeight="false" outlineLevel="0" collapsed="false">
      <c r="A104" s="0" t="n">
        <v>103</v>
      </c>
      <c r="B104" s="0" t="n">
        <v>150</v>
      </c>
      <c r="C104" s="0" t="n">
        <v>8</v>
      </c>
      <c r="D104" s="9" t="n">
        <f aca="false">C104/B104</f>
        <v>0.0533333333333333</v>
      </c>
      <c r="E104" s="9" t="n">
        <f aca="false">$L$2+3*SQRT($L$2*(1-$L$2)/B104)</f>
        <v>0.0992638852524712</v>
      </c>
      <c r="F104" s="9" t="n">
        <f aca="false">MAX(0,$L$2-3*SQRT($L$2*(1-$L$2)/B104))</f>
        <v>0</v>
      </c>
      <c r="G104" s="9" t="n">
        <f aca="false">$L$2</f>
        <v>0.0472777777777778</v>
      </c>
      <c r="H104" s="8" t="n">
        <f aca="false">B104*$L$2</f>
        <v>7.09166666666667</v>
      </c>
      <c r="I104" s="8" t="n">
        <f aca="false">H104+3*SQRT(H104*(1-$L$2))</f>
        <v>14.8895827878707</v>
      </c>
      <c r="J104" s="8" t="n">
        <f aca="false">MAX(0,H104-3*SQRT(H104*(1-$L$2)))</f>
        <v>0</v>
      </c>
    </row>
    <row r="105" customFormat="false" ht="15" hidden="false" customHeight="false" outlineLevel="0" collapsed="false">
      <c r="A105" s="0" t="n">
        <v>104</v>
      </c>
      <c r="B105" s="0" t="n">
        <v>150</v>
      </c>
      <c r="C105" s="0" t="n">
        <v>7</v>
      </c>
      <c r="D105" s="9" t="n">
        <f aca="false">C105/B105</f>
        <v>0.0466666666666667</v>
      </c>
      <c r="E105" s="9" t="n">
        <f aca="false">$L$2+3*SQRT($L$2*(1-$L$2)/B105)</f>
        <v>0.0992638852524712</v>
      </c>
      <c r="F105" s="9" t="n">
        <f aca="false">MAX(0,$L$2-3*SQRT($L$2*(1-$L$2)/B105))</f>
        <v>0</v>
      </c>
      <c r="G105" s="9" t="n">
        <f aca="false">$L$2</f>
        <v>0.0472777777777778</v>
      </c>
      <c r="H105" s="8" t="n">
        <f aca="false">B105*$L$2</f>
        <v>7.09166666666667</v>
      </c>
      <c r="I105" s="8" t="n">
        <f aca="false">H105+3*SQRT(H105*(1-$L$2))</f>
        <v>14.8895827878707</v>
      </c>
      <c r="J105" s="8" t="n">
        <f aca="false">MAX(0,H105-3*SQRT(H105*(1-$L$2)))</f>
        <v>0</v>
      </c>
    </row>
    <row r="106" customFormat="false" ht="15" hidden="false" customHeight="false" outlineLevel="0" collapsed="false">
      <c r="A106" s="0" t="n">
        <v>105</v>
      </c>
      <c r="B106" s="0" t="n">
        <v>150</v>
      </c>
      <c r="C106" s="0" t="n">
        <v>3</v>
      </c>
      <c r="D106" s="9" t="n">
        <f aca="false">C106/B106</f>
        <v>0.02</v>
      </c>
      <c r="E106" s="9" t="n">
        <f aca="false">$L$2+3*SQRT($L$2*(1-$L$2)/B106)</f>
        <v>0.0992638852524712</v>
      </c>
      <c r="F106" s="9" t="n">
        <f aca="false">MAX(0,$L$2-3*SQRT($L$2*(1-$L$2)/B106))</f>
        <v>0</v>
      </c>
      <c r="G106" s="9" t="n">
        <f aca="false">$L$2</f>
        <v>0.0472777777777778</v>
      </c>
      <c r="H106" s="8" t="n">
        <f aca="false">B106*$L$2</f>
        <v>7.09166666666667</v>
      </c>
      <c r="I106" s="8" t="n">
        <f aca="false">H106+3*SQRT(H106*(1-$L$2))</f>
        <v>14.8895827878707</v>
      </c>
      <c r="J106" s="8" t="n">
        <f aca="false">MAX(0,H106-3*SQRT(H106*(1-$L$2)))</f>
        <v>0</v>
      </c>
    </row>
    <row r="107" customFormat="false" ht="15" hidden="false" customHeight="false" outlineLevel="0" collapsed="false">
      <c r="A107" s="0" t="n">
        <v>106</v>
      </c>
      <c r="B107" s="0" t="n">
        <v>150</v>
      </c>
      <c r="C107" s="0" t="n">
        <v>6</v>
      </c>
      <c r="D107" s="9" t="n">
        <f aca="false">C107/B107</f>
        <v>0.04</v>
      </c>
      <c r="E107" s="9" t="n">
        <f aca="false">$L$2+3*SQRT($L$2*(1-$L$2)/B107)</f>
        <v>0.0992638852524712</v>
      </c>
      <c r="F107" s="9" t="n">
        <f aca="false">MAX(0,$L$2-3*SQRT($L$2*(1-$L$2)/B107))</f>
        <v>0</v>
      </c>
      <c r="G107" s="9" t="n">
        <f aca="false">$L$2</f>
        <v>0.0472777777777778</v>
      </c>
      <c r="H107" s="8" t="n">
        <f aca="false">B107*$L$2</f>
        <v>7.09166666666667</v>
      </c>
      <c r="I107" s="8" t="n">
        <f aca="false">H107+3*SQRT(H107*(1-$L$2))</f>
        <v>14.8895827878707</v>
      </c>
      <c r="J107" s="8" t="n">
        <f aca="false">MAX(0,H107-3*SQRT(H107*(1-$L$2)))</f>
        <v>0</v>
      </c>
    </row>
    <row r="108" customFormat="false" ht="15" hidden="false" customHeight="false" outlineLevel="0" collapsed="false">
      <c r="A108" s="0" t="n">
        <v>107</v>
      </c>
      <c r="B108" s="0" t="n">
        <v>150</v>
      </c>
      <c r="C108" s="0" t="n">
        <v>7</v>
      </c>
      <c r="D108" s="9" t="n">
        <f aca="false">C108/B108</f>
        <v>0.0466666666666667</v>
      </c>
      <c r="E108" s="9" t="n">
        <f aca="false">$L$2+3*SQRT($L$2*(1-$L$2)/B108)</f>
        <v>0.0992638852524712</v>
      </c>
      <c r="F108" s="9" t="n">
        <f aca="false">MAX(0,$L$2-3*SQRT($L$2*(1-$L$2)/B108))</f>
        <v>0</v>
      </c>
      <c r="G108" s="9" t="n">
        <f aca="false">$L$2</f>
        <v>0.0472777777777778</v>
      </c>
      <c r="H108" s="8" t="n">
        <f aca="false">B108*$L$2</f>
        <v>7.09166666666667</v>
      </c>
      <c r="I108" s="8" t="n">
        <f aca="false">H108+3*SQRT(H108*(1-$L$2))</f>
        <v>14.8895827878707</v>
      </c>
      <c r="J108" s="8" t="n">
        <f aca="false">MAX(0,H108-3*SQRT(H108*(1-$L$2)))</f>
        <v>0</v>
      </c>
    </row>
    <row r="109" customFormat="false" ht="15" hidden="false" customHeight="false" outlineLevel="0" collapsed="false">
      <c r="A109" s="0" t="n">
        <v>108</v>
      </c>
      <c r="B109" s="0" t="n">
        <v>150</v>
      </c>
      <c r="C109" s="0" t="n">
        <v>8</v>
      </c>
      <c r="D109" s="9" t="n">
        <f aca="false">C109/B109</f>
        <v>0.0533333333333333</v>
      </c>
      <c r="E109" s="9" t="n">
        <f aca="false">$L$2+3*SQRT($L$2*(1-$L$2)/B109)</f>
        <v>0.0992638852524712</v>
      </c>
      <c r="F109" s="9" t="n">
        <f aca="false">MAX(0,$L$2-3*SQRT($L$2*(1-$L$2)/B109))</f>
        <v>0</v>
      </c>
      <c r="G109" s="9" t="n">
        <f aca="false">$L$2</f>
        <v>0.0472777777777778</v>
      </c>
      <c r="H109" s="8" t="n">
        <f aca="false">B109*$L$2</f>
        <v>7.09166666666667</v>
      </c>
      <c r="I109" s="8" t="n">
        <f aca="false">H109+3*SQRT(H109*(1-$L$2))</f>
        <v>14.8895827878707</v>
      </c>
      <c r="J109" s="8" t="n">
        <f aca="false">MAX(0,H109-3*SQRT(H109*(1-$L$2)))</f>
        <v>0</v>
      </c>
    </row>
    <row r="110" customFormat="false" ht="15" hidden="false" customHeight="false" outlineLevel="0" collapsed="false">
      <c r="A110" s="0" t="n">
        <v>109</v>
      </c>
      <c r="B110" s="0" t="n">
        <v>150</v>
      </c>
      <c r="C110" s="0" t="n">
        <v>4</v>
      </c>
      <c r="D110" s="9" t="n">
        <f aca="false">C110/B110</f>
        <v>0.0266666666666667</v>
      </c>
      <c r="E110" s="9" t="n">
        <f aca="false">$L$2+3*SQRT($L$2*(1-$L$2)/B110)</f>
        <v>0.0992638852524712</v>
      </c>
      <c r="F110" s="9" t="n">
        <f aca="false">MAX(0,$L$2-3*SQRT($L$2*(1-$L$2)/B110))</f>
        <v>0</v>
      </c>
      <c r="G110" s="9" t="n">
        <f aca="false">$L$2</f>
        <v>0.0472777777777778</v>
      </c>
      <c r="H110" s="8" t="n">
        <f aca="false">B110*$L$2</f>
        <v>7.09166666666667</v>
      </c>
      <c r="I110" s="8" t="n">
        <f aca="false">H110+3*SQRT(H110*(1-$L$2))</f>
        <v>14.8895827878707</v>
      </c>
      <c r="J110" s="8" t="n">
        <f aca="false">MAX(0,H110-3*SQRT(H110*(1-$L$2)))</f>
        <v>0</v>
      </c>
    </row>
    <row r="111" customFormat="false" ht="15" hidden="false" customHeight="false" outlineLevel="0" collapsed="false">
      <c r="A111" s="0" t="n">
        <v>110</v>
      </c>
      <c r="B111" s="0" t="n">
        <v>150</v>
      </c>
      <c r="C111" s="0" t="n">
        <v>12</v>
      </c>
      <c r="D111" s="9" t="n">
        <f aca="false">C111/B111</f>
        <v>0.08</v>
      </c>
      <c r="E111" s="9" t="n">
        <f aca="false">$L$2+3*SQRT($L$2*(1-$L$2)/B111)</f>
        <v>0.0992638852524712</v>
      </c>
      <c r="F111" s="9" t="n">
        <f aca="false">MAX(0,$L$2-3*SQRT($L$2*(1-$L$2)/B111))</f>
        <v>0</v>
      </c>
      <c r="G111" s="9" t="n">
        <f aca="false">$L$2</f>
        <v>0.0472777777777778</v>
      </c>
      <c r="H111" s="8" t="n">
        <f aca="false">B111*$L$2</f>
        <v>7.09166666666667</v>
      </c>
      <c r="I111" s="8" t="n">
        <f aca="false">H111+3*SQRT(H111*(1-$L$2))</f>
        <v>14.8895827878707</v>
      </c>
      <c r="J111" s="8" t="n">
        <f aca="false">MAX(0,H111-3*SQRT(H111*(1-$L$2)))</f>
        <v>0</v>
      </c>
    </row>
    <row r="112" customFormat="false" ht="15" hidden="false" customHeight="false" outlineLevel="0" collapsed="false">
      <c r="A112" s="0" t="n">
        <v>111</v>
      </c>
      <c r="B112" s="0" t="n">
        <v>150</v>
      </c>
      <c r="C112" s="0" t="n">
        <v>6</v>
      </c>
      <c r="D112" s="9" t="n">
        <f aca="false">C112/B112</f>
        <v>0.04</v>
      </c>
      <c r="E112" s="9" t="n">
        <f aca="false">$L$2+3*SQRT($L$2*(1-$L$2)/B112)</f>
        <v>0.0992638852524712</v>
      </c>
      <c r="F112" s="9" t="n">
        <f aca="false">MAX(0,$L$2-3*SQRT($L$2*(1-$L$2)/B112))</f>
        <v>0</v>
      </c>
      <c r="G112" s="9" t="n">
        <f aca="false">$L$2</f>
        <v>0.0472777777777778</v>
      </c>
      <c r="H112" s="8" t="n">
        <f aca="false">B112*$L$2</f>
        <v>7.09166666666667</v>
      </c>
      <c r="I112" s="8" t="n">
        <f aca="false">H112+3*SQRT(H112*(1-$L$2))</f>
        <v>14.8895827878707</v>
      </c>
      <c r="J112" s="8" t="n">
        <f aca="false">MAX(0,H112-3*SQRT(H112*(1-$L$2)))</f>
        <v>0</v>
      </c>
    </row>
    <row r="113" customFormat="false" ht="15" hidden="false" customHeight="false" outlineLevel="0" collapsed="false">
      <c r="A113" s="0" t="n">
        <v>112</v>
      </c>
      <c r="B113" s="0" t="n">
        <v>150</v>
      </c>
      <c r="C113" s="0" t="n">
        <v>17</v>
      </c>
      <c r="D113" s="9" t="n">
        <f aca="false">C113/B113</f>
        <v>0.113333333333333</v>
      </c>
      <c r="E113" s="9" t="n">
        <f aca="false">$L$2+3*SQRT($L$2*(1-$L$2)/B113)</f>
        <v>0.0992638852524712</v>
      </c>
      <c r="F113" s="9" t="n">
        <f aca="false">MAX(0,$L$2-3*SQRT($L$2*(1-$L$2)/B113))</f>
        <v>0</v>
      </c>
      <c r="G113" s="9" t="n">
        <f aca="false">$L$2</f>
        <v>0.0472777777777778</v>
      </c>
      <c r="H113" s="8" t="n">
        <f aca="false">B113*$L$2</f>
        <v>7.09166666666667</v>
      </c>
      <c r="I113" s="8" t="n">
        <f aca="false">H113+3*SQRT(H113*(1-$L$2))</f>
        <v>14.8895827878707</v>
      </c>
      <c r="J113" s="8" t="n">
        <f aca="false">MAX(0,H113-3*SQRT(H113*(1-$L$2)))</f>
        <v>0</v>
      </c>
    </row>
    <row r="114" customFormat="false" ht="15" hidden="false" customHeight="false" outlineLevel="0" collapsed="false">
      <c r="A114" s="0" t="n">
        <v>113</v>
      </c>
      <c r="B114" s="0" t="n">
        <v>150</v>
      </c>
      <c r="C114" s="0" t="n">
        <v>5</v>
      </c>
      <c r="D114" s="9" t="n">
        <f aca="false">C114/B114</f>
        <v>0.0333333333333333</v>
      </c>
      <c r="E114" s="9" t="n">
        <f aca="false">$L$2+3*SQRT($L$2*(1-$L$2)/B114)</f>
        <v>0.0992638852524712</v>
      </c>
      <c r="F114" s="9" t="n">
        <f aca="false">MAX(0,$L$2-3*SQRT($L$2*(1-$L$2)/B114))</f>
        <v>0</v>
      </c>
      <c r="G114" s="9" t="n">
        <f aca="false">$L$2</f>
        <v>0.0472777777777778</v>
      </c>
      <c r="H114" s="8" t="n">
        <f aca="false">B114*$L$2</f>
        <v>7.09166666666667</v>
      </c>
      <c r="I114" s="8" t="n">
        <f aca="false">H114+3*SQRT(H114*(1-$L$2))</f>
        <v>14.8895827878707</v>
      </c>
      <c r="J114" s="8" t="n">
        <f aca="false">MAX(0,H114-3*SQRT(H114*(1-$L$2)))</f>
        <v>0</v>
      </c>
    </row>
    <row r="115" customFormat="false" ht="15" hidden="false" customHeight="false" outlineLevel="0" collapsed="false">
      <c r="A115" s="0" t="n">
        <v>114</v>
      </c>
      <c r="B115" s="0" t="n">
        <v>150</v>
      </c>
      <c r="C115" s="0" t="n">
        <v>10</v>
      </c>
      <c r="D115" s="9" t="n">
        <f aca="false">C115/B115</f>
        <v>0.0666666666666667</v>
      </c>
      <c r="E115" s="9" t="n">
        <f aca="false">$L$2+3*SQRT($L$2*(1-$L$2)/B115)</f>
        <v>0.0992638852524712</v>
      </c>
      <c r="F115" s="9" t="n">
        <f aca="false">MAX(0,$L$2-3*SQRT($L$2*(1-$L$2)/B115))</f>
        <v>0</v>
      </c>
      <c r="G115" s="9" t="n">
        <f aca="false">$L$2</f>
        <v>0.0472777777777778</v>
      </c>
      <c r="H115" s="8" t="n">
        <f aca="false">B115*$L$2</f>
        <v>7.09166666666667</v>
      </c>
      <c r="I115" s="8" t="n">
        <f aca="false">H115+3*SQRT(H115*(1-$L$2))</f>
        <v>14.8895827878707</v>
      </c>
      <c r="J115" s="8" t="n">
        <f aca="false">MAX(0,H115-3*SQRT(H115*(1-$L$2)))</f>
        <v>0</v>
      </c>
    </row>
    <row r="116" customFormat="false" ht="15" hidden="false" customHeight="false" outlineLevel="0" collapsed="false">
      <c r="A116" s="0" t="n">
        <v>115</v>
      </c>
      <c r="B116" s="0" t="n">
        <v>150</v>
      </c>
      <c r="C116" s="0" t="n">
        <v>8</v>
      </c>
      <c r="D116" s="9" t="n">
        <f aca="false">C116/B116</f>
        <v>0.0533333333333333</v>
      </c>
      <c r="E116" s="9" t="n">
        <f aca="false">$L$2+3*SQRT($L$2*(1-$L$2)/B116)</f>
        <v>0.0992638852524712</v>
      </c>
      <c r="F116" s="9" t="n">
        <f aca="false">MAX(0,$L$2-3*SQRT($L$2*(1-$L$2)/B116))</f>
        <v>0</v>
      </c>
      <c r="G116" s="9" t="n">
        <f aca="false">$L$2</f>
        <v>0.0472777777777778</v>
      </c>
      <c r="H116" s="8" t="n">
        <f aca="false">B116*$L$2</f>
        <v>7.09166666666667</v>
      </c>
      <c r="I116" s="8" t="n">
        <f aca="false">H116+3*SQRT(H116*(1-$L$2))</f>
        <v>14.8895827878707</v>
      </c>
      <c r="J116" s="8" t="n">
        <f aca="false">MAX(0,H116-3*SQRT(H116*(1-$L$2)))</f>
        <v>0</v>
      </c>
    </row>
    <row r="117" customFormat="false" ht="15" hidden="false" customHeight="false" outlineLevel="0" collapsed="false">
      <c r="A117" s="0" t="n">
        <v>116</v>
      </c>
      <c r="B117" s="0" t="n">
        <v>150</v>
      </c>
      <c r="C117" s="0" t="n">
        <v>9</v>
      </c>
      <c r="D117" s="9" t="n">
        <f aca="false">C117/B117</f>
        <v>0.06</v>
      </c>
      <c r="E117" s="9" t="n">
        <f aca="false">$L$2+3*SQRT($L$2*(1-$L$2)/B117)</f>
        <v>0.0992638852524712</v>
      </c>
      <c r="F117" s="9" t="n">
        <f aca="false">MAX(0,$L$2-3*SQRT($L$2*(1-$L$2)/B117))</f>
        <v>0</v>
      </c>
      <c r="G117" s="9" t="n">
        <f aca="false">$L$2</f>
        <v>0.0472777777777778</v>
      </c>
      <c r="H117" s="8" t="n">
        <f aca="false">B117*$L$2</f>
        <v>7.09166666666667</v>
      </c>
      <c r="I117" s="8" t="n">
        <f aca="false">H117+3*SQRT(H117*(1-$L$2))</f>
        <v>14.8895827878707</v>
      </c>
      <c r="J117" s="8" t="n">
        <f aca="false">MAX(0,H117-3*SQRT(H117*(1-$L$2)))</f>
        <v>0</v>
      </c>
    </row>
    <row r="118" customFormat="false" ht="15" hidden="false" customHeight="false" outlineLevel="0" collapsed="false">
      <c r="A118" s="0" t="n">
        <v>117</v>
      </c>
      <c r="B118" s="0" t="n">
        <v>150</v>
      </c>
      <c r="C118" s="0" t="n">
        <v>11</v>
      </c>
      <c r="D118" s="9" t="n">
        <f aca="false">C118/B118</f>
        <v>0.0733333333333333</v>
      </c>
      <c r="E118" s="9" t="n">
        <f aca="false">$L$2+3*SQRT($L$2*(1-$L$2)/B118)</f>
        <v>0.0992638852524712</v>
      </c>
      <c r="F118" s="9" t="n">
        <f aca="false">MAX(0,$L$2-3*SQRT($L$2*(1-$L$2)/B118))</f>
        <v>0</v>
      </c>
      <c r="G118" s="9" t="n">
        <f aca="false">$L$2</f>
        <v>0.0472777777777778</v>
      </c>
      <c r="H118" s="8" t="n">
        <f aca="false">B118*$L$2</f>
        <v>7.09166666666667</v>
      </c>
      <c r="I118" s="8" t="n">
        <f aca="false">H118+3*SQRT(H118*(1-$L$2))</f>
        <v>14.8895827878707</v>
      </c>
      <c r="J118" s="8" t="n">
        <f aca="false">MAX(0,H118-3*SQRT(H118*(1-$L$2)))</f>
        <v>0</v>
      </c>
    </row>
    <row r="119" customFormat="false" ht="15" hidden="false" customHeight="false" outlineLevel="0" collapsed="false">
      <c r="A119" s="0" t="n">
        <v>118</v>
      </c>
      <c r="B119" s="0" t="n">
        <v>150</v>
      </c>
      <c r="C119" s="0" t="n">
        <v>7</v>
      </c>
      <c r="D119" s="9" t="n">
        <f aca="false">C119/B119</f>
        <v>0.0466666666666667</v>
      </c>
      <c r="E119" s="9" t="n">
        <f aca="false">$L$2+3*SQRT($L$2*(1-$L$2)/B119)</f>
        <v>0.0992638852524712</v>
      </c>
      <c r="F119" s="9" t="n">
        <f aca="false">MAX(0,$L$2-3*SQRT($L$2*(1-$L$2)/B119))</f>
        <v>0</v>
      </c>
      <c r="G119" s="9" t="n">
        <f aca="false">$L$2</f>
        <v>0.0472777777777778</v>
      </c>
      <c r="H119" s="8" t="n">
        <f aca="false">B119*$L$2</f>
        <v>7.09166666666667</v>
      </c>
      <c r="I119" s="8" t="n">
        <f aca="false">H119+3*SQRT(H119*(1-$L$2))</f>
        <v>14.8895827878707</v>
      </c>
      <c r="J119" s="8" t="n">
        <f aca="false">MAX(0,H119-3*SQRT(H119*(1-$L$2)))</f>
        <v>0</v>
      </c>
    </row>
    <row r="120" customFormat="false" ht="15" hidden="false" customHeight="false" outlineLevel="0" collapsed="false">
      <c r="A120" s="0" t="n">
        <v>119</v>
      </c>
      <c r="B120" s="0" t="n">
        <v>150</v>
      </c>
      <c r="C120" s="0" t="n">
        <v>2</v>
      </c>
      <c r="D120" s="9" t="n">
        <f aca="false">C120/B120</f>
        <v>0.0133333333333333</v>
      </c>
      <c r="E120" s="9" t="n">
        <f aca="false">$L$2+3*SQRT($L$2*(1-$L$2)/B120)</f>
        <v>0.0992638852524712</v>
      </c>
      <c r="F120" s="9" t="n">
        <f aca="false">MAX(0,$L$2-3*SQRT($L$2*(1-$L$2)/B120))</f>
        <v>0</v>
      </c>
      <c r="G120" s="9" t="n">
        <f aca="false">$L$2</f>
        <v>0.0472777777777778</v>
      </c>
      <c r="H120" s="8" t="n">
        <f aca="false">B120*$L$2</f>
        <v>7.09166666666667</v>
      </c>
      <c r="I120" s="8" t="n">
        <f aca="false">H120+3*SQRT(H120*(1-$L$2))</f>
        <v>14.8895827878707</v>
      </c>
      <c r="J120" s="8" t="n">
        <f aca="false">MAX(0,H120-3*SQRT(H120*(1-$L$2)))</f>
        <v>0</v>
      </c>
    </row>
    <row r="121" customFormat="false" ht="15" hidden="false" customHeight="false" outlineLevel="0" collapsed="false">
      <c r="A121" s="0" t="n">
        <v>120</v>
      </c>
      <c r="B121" s="0" t="n">
        <v>150</v>
      </c>
      <c r="C121" s="0" t="n">
        <v>8</v>
      </c>
      <c r="D121" s="9" t="n">
        <f aca="false">C121/B121</f>
        <v>0.0533333333333333</v>
      </c>
      <c r="E121" s="9" t="n">
        <f aca="false">$L$2+3*SQRT($L$2*(1-$L$2)/B121)</f>
        <v>0.0992638852524712</v>
      </c>
      <c r="F121" s="9" t="n">
        <f aca="false">MAX(0,$L$2-3*SQRT($L$2*(1-$L$2)/B121))</f>
        <v>0</v>
      </c>
      <c r="G121" s="9" t="n">
        <f aca="false">$L$2</f>
        <v>0.0472777777777778</v>
      </c>
      <c r="H121" s="8" t="n">
        <f aca="false">B121*$L$2</f>
        <v>7.09166666666667</v>
      </c>
      <c r="I121" s="8" t="n">
        <f aca="false">H121+3*SQRT(H121*(1-$L$2))</f>
        <v>14.8895827878707</v>
      </c>
      <c r="J121" s="8" t="n">
        <f aca="false">MAX(0,H121-3*SQRT(H121*(1-$L$2)))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5" min="3" style="0" width="12"/>
  </cols>
  <sheetData>
    <row r="1" customFormat="false" ht="15" hidden="false" customHeight="false" outlineLevel="0" collapsed="false">
      <c r="A1" s="1" t="s">
        <v>83</v>
      </c>
      <c r="B1" s="1" t="s">
        <v>84</v>
      </c>
      <c r="C1" s="1" t="s">
        <v>9</v>
      </c>
      <c r="D1" s="1" t="s">
        <v>10</v>
      </c>
      <c r="E1" s="1" t="s">
        <v>11</v>
      </c>
    </row>
    <row r="2" customFormat="false" ht="15" hidden="false" customHeight="false" outlineLevel="0" collapsed="false">
      <c r="A2" s="0" t="s">
        <v>74</v>
      </c>
      <c r="B2" s="0" t="s">
        <v>85</v>
      </c>
      <c r="C2" s="2" t="n">
        <f aca="false">0.05</f>
        <v>0.05</v>
      </c>
      <c r="D2" s="2" t="n">
        <f aca="false">0.05+3*SQRT(0.05*0.95/100)</f>
        <v>0.11538348415311</v>
      </c>
      <c r="E2" s="2" t="n">
        <f aca="false">MAX(0,0.05-3*SQRT(0.05*0.95/100))</f>
        <v>0</v>
      </c>
    </row>
    <row r="3" customFormat="false" ht="15" hidden="false" customHeight="false" outlineLevel="0" collapsed="false">
      <c r="A3" s="0" t="s">
        <v>86</v>
      </c>
      <c r="B3" s="0" t="s">
        <v>87</v>
      </c>
      <c r="C3" s="8" t="n">
        <f aca="false">150*0.07</f>
        <v>10.5</v>
      </c>
      <c r="D3" s="8" t="n">
        <f aca="false">150*0.07+3*SQRT(150*0.07*0.93)</f>
        <v>19.8746999951998</v>
      </c>
      <c r="E3" s="8" t="n">
        <f aca="false">MAX(0,150*0.07-3*SQRT(150*0.07*0.93))</f>
        <v>1.12530000480015</v>
      </c>
    </row>
    <row r="4" customFormat="false" ht="15" hidden="false" customHeight="false" outlineLevel="0" collapsed="false">
      <c r="A4" s="0" t="s">
        <v>88</v>
      </c>
      <c r="B4" s="0" t="s">
        <v>89</v>
      </c>
      <c r="C4" s="8" t="n">
        <f aca="false">4</f>
        <v>4</v>
      </c>
      <c r="D4" s="8" t="n">
        <f aca="false">4+3*SQRT(4)</f>
        <v>10</v>
      </c>
      <c r="E4" s="8" t="n">
        <f aca="false">MAX(0,4-3*SQRT(4))</f>
        <v>0</v>
      </c>
    </row>
    <row r="5" customFormat="false" ht="15" hidden="false" customHeight="false" outlineLevel="0" collapsed="false">
      <c r="A5" s="0" t="s">
        <v>90</v>
      </c>
      <c r="B5" s="0" t="s">
        <v>91</v>
      </c>
      <c r="C5" s="2" t="n">
        <f aca="false">15</f>
        <v>15</v>
      </c>
      <c r="D5" s="2" t="n">
        <f aca="false">15+0.729*6</f>
        <v>19.374</v>
      </c>
      <c r="E5" s="2" t="n">
        <f aca="false">15-0.729*6</f>
        <v>10.626</v>
      </c>
    </row>
    <row r="6" customFormat="false" ht="15" hidden="false" customHeight="false" outlineLevel="0" collapsed="false">
      <c r="A6" s="0" t="s">
        <v>92</v>
      </c>
      <c r="B6" s="0" t="s">
        <v>93</v>
      </c>
      <c r="C6" s="8" t="n">
        <f aca="false">35</f>
        <v>35</v>
      </c>
      <c r="D6" s="8" t="n">
        <f aca="false">35+2.66*5.5</f>
        <v>49.63</v>
      </c>
      <c r="E6" s="8" t="n">
        <f aca="false">35-2.66*5.5</f>
        <v>20.37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2026-10-02T05:50:20Z</dcterms:created>
  <dc:creator>openpyxl</dc:creator>
  <dc:description/>
  <dc:language>en-US</dc:language>
  <cp:lastModifiedBy/>
  <dcterms:modified xsi:type="dcterms:W3CDTF">2026-10-02T07:50:27Z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