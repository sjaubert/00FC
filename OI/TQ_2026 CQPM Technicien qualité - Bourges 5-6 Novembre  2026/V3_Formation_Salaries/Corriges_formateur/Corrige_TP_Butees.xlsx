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TQ_2026 CQPM Technicien qualité - Bourges 5-6 Novembre  2026/V3_Formation_Salaries/Corriges_formateur/"/>
    </mc:Choice>
  </mc:AlternateContent>
  <xr:revisionPtr revIDLastSave="2" documentId="11_49EC4FF6939E90A8F426FE790D5E9CB4454E3E11" xr6:coauthVersionLast="47" xr6:coauthVersionMax="47" xr10:uidLastSave="{C239590E-EADD-4A0F-851F-05DB0CE96565}"/>
  <bookViews>
    <workbookView xWindow="-120" yWindow="-120" windowWidth="29040" windowHeight="15720" tabRatio="500" activeTab="1" xr2:uid="{00000000-000D-0000-FFFF-FFFF00000000}"/>
  </bookViews>
  <sheets>
    <sheet name="Lot" sheetId="1" r:id="rId1"/>
    <sheet name="Hen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  <c r="L13" i="1"/>
  <c r="K13" i="1"/>
  <c r="H11" i="1"/>
  <c r="G11" i="1"/>
  <c r="H10" i="1"/>
  <c r="G10" i="1"/>
  <c r="H9" i="1"/>
  <c r="G9" i="1"/>
  <c r="K8" i="1"/>
  <c r="H8" i="1"/>
  <c r="G8" i="1"/>
  <c r="K7" i="1"/>
  <c r="H7" i="1"/>
  <c r="G7" i="1"/>
  <c r="K6" i="1"/>
  <c r="H6" i="1"/>
  <c r="G6" i="1"/>
  <c r="K5" i="1"/>
  <c r="N9" i="1" s="1"/>
  <c r="H5" i="1"/>
  <c r="G5" i="1"/>
  <c r="K4" i="1"/>
  <c r="H4" i="1"/>
  <c r="G4" i="1"/>
  <c r="N3" i="1"/>
  <c r="H3" i="1"/>
  <c r="G3" i="1"/>
  <c r="H2" i="1"/>
  <c r="G2" i="1"/>
  <c r="N2" i="1" s="1"/>
  <c r="K14" i="1" l="1"/>
  <c r="J15" i="1" s="1"/>
  <c r="L14" i="1"/>
  <c r="K9" i="1"/>
  <c r="N8" i="1"/>
  <c r="D51" i="2"/>
  <c r="C51" i="2"/>
  <c r="B51" i="2"/>
  <c r="D50" i="2"/>
  <c r="C50" i="2"/>
  <c r="B50" i="2"/>
  <c r="D49" i="2"/>
  <c r="C49" i="2"/>
  <c r="B49" i="2"/>
  <c r="D48" i="2"/>
  <c r="C48" i="2"/>
  <c r="B48" i="2"/>
  <c r="D47" i="2"/>
  <c r="C47" i="2"/>
  <c r="B47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B2" i="2"/>
  <c r="B4" i="2"/>
  <c r="C42" i="2"/>
  <c r="B42" i="2"/>
  <c r="D41" i="2"/>
  <c r="C41" i="2"/>
  <c r="B41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B22" i="2"/>
  <c r="B21" i="2"/>
  <c r="B20" i="2"/>
  <c r="C19" i="2"/>
  <c r="D19" i="2" s="1"/>
  <c r="B18" i="2"/>
  <c r="C17" i="2"/>
  <c r="B16" i="2"/>
  <c r="C15" i="2"/>
  <c r="B14" i="2"/>
  <c r="D32" i="2"/>
  <c r="C32" i="2"/>
  <c r="B32" i="2"/>
  <c r="C31" i="2"/>
  <c r="D31" i="2" s="1"/>
  <c r="B31" i="2"/>
  <c r="C30" i="2"/>
  <c r="D30" i="2" s="1"/>
  <c r="B30" i="2"/>
  <c r="C29" i="2"/>
  <c r="D29" i="2" s="1"/>
  <c r="B29" i="2"/>
  <c r="C28" i="2"/>
  <c r="D28" i="2" s="1"/>
  <c r="B28" i="2"/>
  <c r="C27" i="2"/>
  <c r="D27" i="2" s="1"/>
  <c r="B27" i="2"/>
  <c r="C26" i="2"/>
  <c r="D26" i="2" s="1"/>
  <c r="B26" i="2"/>
  <c r="D25" i="2"/>
  <c r="C25" i="2"/>
  <c r="B25" i="2"/>
  <c r="D24" i="2"/>
  <c r="C24" i="2"/>
  <c r="B24" i="2"/>
  <c r="C23" i="2"/>
  <c r="D23" i="2" s="1"/>
  <c r="C22" i="2"/>
  <c r="D22" i="2" s="1"/>
  <c r="C21" i="2"/>
  <c r="D21" i="2" s="1"/>
  <c r="C20" i="2"/>
  <c r="D20" i="2" s="1"/>
  <c r="B19" i="2"/>
  <c r="C18" i="2"/>
  <c r="D18" i="2" s="1"/>
  <c r="D17" i="2"/>
  <c r="B17" i="2"/>
  <c r="C16" i="2"/>
  <c r="D16" i="2" s="1"/>
  <c r="D15" i="2"/>
  <c r="B15" i="2"/>
  <c r="C14" i="2"/>
  <c r="D14" i="2" s="1"/>
  <c r="B23" i="2"/>
  <c r="D13" i="2"/>
  <c r="C13" i="2"/>
  <c r="B13" i="2"/>
  <c r="C12" i="2"/>
  <c r="D12" i="2" s="1"/>
  <c r="B12" i="2"/>
  <c r="C11" i="2"/>
  <c r="D11" i="2" s="1"/>
  <c r="B11" i="2"/>
  <c r="C10" i="2"/>
  <c r="D10" i="2" s="1"/>
  <c r="B10" i="2"/>
  <c r="C9" i="2"/>
  <c r="D9" i="2" s="1"/>
  <c r="B9" i="2"/>
  <c r="C8" i="2"/>
  <c r="D8" i="2" s="1"/>
  <c r="B8" i="2"/>
  <c r="C7" i="2"/>
  <c r="D7" i="2" s="1"/>
  <c r="B7" i="2"/>
  <c r="C6" i="2"/>
  <c r="D6" i="2" s="1"/>
  <c r="B6" i="2"/>
  <c r="C5" i="2"/>
  <c r="D5" i="2" s="1"/>
  <c r="B5" i="2"/>
  <c r="C4" i="2"/>
  <c r="D4" i="2" s="1"/>
  <c r="C3" i="2"/>
  <c r="D3" i="2" s="1"/>
  <c r="B3" i="2"/>
  <c r="C2" i="2"/>
  <c r="D2" i="2" s="1"/>
  <c r="Z10" i="1"/>
  <c r="Y10" i="1"/>
  <c r="W11" i="1"/>
  <c r="Z6" i="1"/>
  <c r="Y6" i="1"/>
  <c r="X6" i="1"/>
  <c r="Z5" i="1"/>
  <c r="Y5" i="1"/>
  <c r="X5" i="1"/>
  <c r="W5" i="1"/>
  <c r="N5" i="1"/>
  <c r="X11" i="1"/>
  <c r="Y11" i="1"/>
  <c r="Z8" i="1"/>
  <c r="Y8" i="1"/>
  <c r="X8" i="1"/>
  <c r="Z11" i="1"/>
  <c r="W8" i="1"/>
  <c r="Z9" i="1"/>
  <c r="Y9" i="1"/>
  <c r="Z4" i="1"/>
  <c r="Y4" i="1"/>
  <c r="X4" i="1"/>
  <c r="W4" i="1"/>
  <c r="Z3" i="1"/>
  <c r="Y3" i="1"/>
  <c r="X3" i="1"/>
  <c r="W3" i="1"/>
  <c r="W6" i="1"/>
  <c r="Z7" i="1"/>
  <c r="Z2" i="1"/>
  <c r="Y2" i="1"/>
  <c r="X2" i="1"/>
  <c r="W2" i="1"/>
  <c r="X9" i="1"/>
  <c r="W9" i="1"/>
  <c r="W10" i="1"/>
  <c r="X10" i="1"/>
  <c r="Y7" i="1"/>
  <c r="X7" i="1"/>
  <c r="W7" i="1"/>
  <c r="P2" i="1"/>
  <c r="Q2" i="1"/>
  <c r="R2" i="1"/>
  <c r="S2" i="1"/>
  <c r="T2" i="1"/>
  <c r="U2" i="1"/>
  <c r="V2" i="1"/>
  <c r="T10" i="1"/>
  <c r="P3" i="1"/>
  <c r="Q3" i="1"/>
  <c r="R3" i="1"/>
  <c r="S3" i="1"/>
  <c r="T3" i="1"/>
  <c r="U3" i="1"/>
  <c r="V3" i="1"/>
  <c r="P4" i="1"/>
  <c r="Q4" i="1"/>
  <c r="R4" i="1"/>
  <c r="S4" i="1"/>
  <c r="T4" i="1"/>
  <c r="U4" i="1"/>
  <c r="V4" i="1"/>
  <c r="P5" i="1"/>
  <c r="Q5" i="1"/>
  <c r="R5" i="1"/>
  <c r="S5" i="1"/>
  <c r="T5" i="1"/>
  <c r="U5" i="1"/>
  <c r="V5" i="1"/>
  <c r="Q6" i="1"/>
  <c r="R6" i="1"/>
  <c r="S6" i="1"/>
  <c r="U6" i="1"/>
  <c r="V6" i="1"/>
  <c r="P8" i="1"/>
  <c r="Q8" i="1"/>
  <c r="R8" i="1"/>
  <c r="S8" i="1"/>
  <c r="T8" i="1"/>
  <c r="U8" i="1"/>
  <c r="V8" i="1"/>
  <c r="P11" i="1"/>
  <c r="R11" i="1"/>
  <c r="S11" i="1"/>
  <c r="U11" i="1"/>
  <c r="Q11" i="1"/>
  <c r="T11" i="1"/>
  <c r="V11" i="1"/>
  <c r="P6" i="1"/>
  <c r="T6" i="1"/>
  <c r="P10" i="1"/>
  <c r="Q10" i="1"/>
  <c r="R10" i="1"/>
  <c r="S10" i="1"/>
  <c r="U10" i="1"/>
  <c r="V10" i="1"/>
  <c r="P7" i="1"/>
  <c r="Q7" i="1"/>
  <c r="R7" i="1"/>
  <c r="S7" i="1"/>
  <c r="T7" i="1"/>
  <c r="U7" i="1"/>
  <c r="V7" i="1"/>
  <c r="P9" i="1"/>
  <c r="Q9" i="1"/>
  <c r="R9" i="1"/>
  <c r="S9" i="1"/>
  <c r="T9" i="1"/>
  <c r="U9" i="1"/>
  <c r="V9" i="1"/>
  <c r="K15" i="1" l="1"/>
  <c r="J16" i="1" s="1"/>
  <c r="L15" i="1"/>
  <c r="N6" i="1"/>
  <c r="N7" i="1"/>
  <c r="K16" i="1" l="1"/>
  <c r="J17" i="1" s="1"/>
  <c r="L16" i="1"/>
  <c r="K17" i="1" l="1"/>
  <c r="J18" i="1" s="1"/>
  <c r="L17" i="1"/>
  <c r="K18" i="1" l="1"/>
  <c r="J19" i="1" l="1"/>
  <c r="L18" i="1"/>
  <c r="L19" i="1" l="1"/>
  <c r="K19" i="1"/>
  <c r="J20" i="1" s="1"/>
  <c r="K20" i="1" l="1"/>
  <c r="J21" i="1" s="1"/>
  <c r="L20" i="1"/>
  <c r="K21" i="1" l="1"/>
  <c r="J22" i="1" s="1"/>
  <c r="L21" i="1"/>
  <c r="K22" i="1" l="1"/>
  <c r="J23" i="1" l="1"/>
  <c r="L22" i="1"/>
  <c r="K23" i="1" l="1"/>
  <c r="J24" i="1" s="1"/>
  <c r="L23" i="1"/>
  <c r="K24" i="1" l="1"/>
  <c r="J25" i="1" l="1"/>
  <c r="L24" i="1"/>
  <c r="K25" i="1" l="1"/>
  <c r="J26" i="1" l="1"/>
  <c r="L25" i="1"/>
  <c r="K26" i="1" l="1"/>
  <c r="J27" i="1" l="1"/>
  <c r="L26" i="1"/>
  <c r="K27" i="1" l="1"/>
  <c r="J28" i="1" s="1"/>
  <c r="L27" i="1"/>
  <c r="K28" i="1" l="1"/>
  <c r="J29" i="1" l="1"/>
  <c r="L28" i="1"/>
  <c r="L29" i="1" l="1"/>
  <c r="L30" i="1" s="1"/>
  <c r="K29" i="1"/>
</calcChain>
</file>

<file path=xl/sharedStrings.xml><?xml version="1.0" encoding="utf-8"?>
<sst xmlns="http://schemas.openxmlformats.org/spreadsheetml/2006/main" count="51" uniqueCount="49">
  <si>
    <t>Echantillon</t>
  </si>
  <si>
    <t>P1</t>
  </si>
  <si>
    <t>P2</t>
  </si>
  <si>
    <t>P3</t>
  </si>
  <si>
    <t>P4</t>
  </si>
  <si>
    <t>P5</t>
  </si>
  <si>
    <t>Moyenne</t>
  </si>
  <si>
    <t>Etendue</t>
  </si>
  <si>
    <t>LC</t>
  </si>
  <si>
    <t>LCS AFNOR</t>
  </si>
  <si>
    <t>LCI AFNOR</t>
  </si>
  <si>
    <t>LSS AFNOR</t>
  </si>
  <si>
    <t>LSI AFNOR</t>
  </si>
  <si>
    <t>LCS 3σ</t>
  </si>
  <si>
    <t>LCI 3σ</t>
  </si>
  <si>
    <t>R barre</t>
  </si>
  <si>
    <t>LC2 AFNOR</t>
  </si>
  <si>
    <t>LS2 AFNOR</t>
  </si>
  <si>
    <t>LCS R 3σ</t>
  </si>
  <si>
    <t>TI</t>
  </si>
  <si>
    <t>X double barre</t>
  </si>
  <si>
    <t>TS</t>
  </si>
  <si>
    <t>Nombre de mesures</t>
  </si>
  <si>
    <t>d2 (n = 5)</t>
  </si>
  <si>
    <t>σ instantané</t>
  </si>
  <si>
    <t>Écart-type s</t>
  </si>
  <si>
    <t>Cp</t>
  </si>
  <si>
    <t>Plus petite</t>
  </si>
  <si>
    <t>Cpk</t>
  </si>
  <si>
    <t>Plus grande</t>
  </si>
  <si>
    <t>Pp</t>
  </si>
  <si>
    <t>6 s</t>
  </si>
  <si>
    <t>Ppk</t>
  </si>
  <si>
    <t>Coefficients n = 5</t>
  </si>
  <si>
    <t>Borne basse</t>
  </si>
  <si>
    <t>Borne haute</t>
  </si>
  <si>
    <t>Effectif</t>
  </si>
  <si>
    <t>A'c</t>
  </si>
  <si>
    <t>Corrigé formateur. Lignes 8 à 11 (orange) : saisir les mesures des butées 1 à 20 du jour. Tant qu'une ligne est incomplète, ses moyenne et étendue affichent #N/A, ignorées par les calculs (AGREGAT).</t>
  </si>
  <si>
    <t>A's</t>
  </si>
  <si>
    <t>D'c2</t>
  </si>
  <si>
    <t>D's2</t>
  </si>
  <si>
    <t>A2</t>
  </si>
  <si>
    <t>D4</t>
  </si>
  <si>
    <t>Total</t>
  </si>
  <si>
    <t>Rang</t>
  </si>
  <si>
    <t>Valeur triée</t>
  </si>
  <si>
    <t>Fréquence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</si>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</sst>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11"/>
      <color rgb="FF1F4E9E"/>
      <name val="Cambria"/>
      <charset val="1"/>
    </font>
    <font>
      <b/>
      <sz val="1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4F81BD"/>
      </patternFill>
    </fill>
    <fill>
      <patternFill patternType="solid">
        <fgColor rgb="FFFFF4E5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 applyAlignment="1">
      <alignment vertical="top" wrapText="1"/>
    </xf>
    <xf numFmtId="0" fontId="1" fillId="2" borderId="0" xfId="0" applyFont="1" applyFill="1" applyAlignment="1">
      <alignment horizontal="center" wrapText="1"/>
    </xf>
    <xf numFmtId="164" fontId="0" fillId="0" borderId="0" xfId="0" applyNumberFormat="1"/>
    <xf numFmtId="165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2E7D32"/>
      <rgbColor rgb="FF003300"/>
      <rgbColor rgb="FF333300"/>
      <rgbColor rgb="FF993300"/>
      <rgbColor rgb="FF993366"/>
      <rgbColor rgb="FF1F4E9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Carte X barre (AFNOR et 3 sigmas)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Lot!$G$1</c:f>
              <c:strCache>
                <c:ptCount val="1"/>
                <c:pt idx="0">
                  <c:v>Moyenne</c:v>
                </c:pt>
              </c:strCache>
            </c:strRef>
          </c:tx>
          <c:spPr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Lot!$A$2:$A$11</c:f>
              <c:numCache>
                <c:formatCode>0.000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Lot!$G$2:$G$11</c:f>
              <c:numCache>
                <c:formatCode>0.0000</c:formatCode>
                <c:ptCount val="10"/>
                <c:pt idx="0">
                  <c:v>11.863999999999999</c:v>
                </c:pt>
                <c:pt idx="1">
                  <c:v>11.862</c:v>
                </c:pt>
                <c:pt idx="2">
                  <c:v>11.884</c:v>
                </c:pt>
                <c:pt idx="3">
                  <c:v>11.898</c:v>
                </c:pt>
                <c:pt idx="4">
                  <c:v>11.91</c:v>
                </c:pt>
                <c:pt idx="5">
                  <c:v>11.901999999999999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3C-4541-A0C0-A7F19223C277}"/>
            </c:ext>
          </c:extLst>
        </c:ser>
        <c:ser>
          <c:idx val="1"/>
          <c:order val="1"/>
          <c:tx>
            <c:strRef>
              <c:f>Lot!$P$1</c:f>
              <c:strCache>
                <c:ptCount val="1"/>
                <c:pt idx="0">
                  <c:v>LC</c:v>
                </c:pt>
              </c:strCache>
            </c:strRef>
          </c:tx>
          <c:spPr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Lot!$A$2:$A$11</c:f>
              <c:numCache>
                <c:formatCode>0.000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Lot!$P$2:$P$11</c:f>
              <c:numCache>
                <c:formatCode>0.0000</c:formatCode>
                <c:ptCount val="10"/>
                <c:pt idx="0">
                  <c:v>11.886666666666665</c:v>
                </c:pt>
                <c:pt idx="1">
                  <c:v>11.886666666666665</c:v>
                </c:pt>
                <c:pt idx="2">
                  <c:v>11.886666666666665</c:v>
                </c:pt>
                <c:pt idx="3">
                  <c:v>11.886666666666665</c:v>
                </c:pt>
                <c:pt idx="4">
                  <c:v>11.886666666666665</c:v>
                </c:pt>
                <c:pt idx="5">
                  <c:v>11.886666666666665</c:v>
                </c:pt>
                <c:pt idx="6">
                  <c:v>11.886666666666665</c:v>
                </c:pt>
                <c:pt idx="7">
                  <c:v>11.886666666666665</c:v>
                </c:pt>
                <c:pt idx="8">
                  <c:v>11.886666666666665</c:v>
                </c:pt>
                <c:pt idx="9">
                  <c:v>11.886666666666665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3C-4541-A0C0-A7F19223C277}"/>
            </c:ext>
          </c:extLst>
        </c:ser>
        <c:ser>
          <c:idx val="2"/>
          <c:order val="2"/>
          <c:tx>
            <c:strRef>
              <c:f>Lot!$Q$1</c:f>
              <c:strCache>
                <c:ptCount val="1"/>
                <c:pt idx="0">
                  <c:v>LCS AFNOR</c:v>
                </c:pt>
              </c:strCache>
            </c:strRef>
          </c:tx>
          <c:spPr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Lot!$A$2:$A$11</c:f>
              <c:numCache>
                <c:formatCode>0.000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Lot!$Q$2:$Q$11</c:f>
              <c:numCache>
                <c:formatCode>0.0000</c:formatCode>
                <c:ptCount val="10"/>
                <c:pt idx="0">
                  <c:v>11.916366666666665</c:v>
                </c:pt>
                <c:pt idx="1">
                  <c:v>11.916366666666665</c:v>
                </c:pt>
                <c:pt idx="2">
                  <c:v>11.916366666666665</c:v>
                </c:pt>
                <c:pt idx="3">
                  <c:v>11.916366666666665</c:v>
                </c:pt>
                <c:pt idx="4">
                  <c:v>11.916366666666665</c:v>
                </c:pt>
                <c:pt idx="5">
                  <c:v>11.916366666666665</c:v>
                </c:pt>
                <c:pt idx="6">
                  <c:v>11.916366666666665</c:v>
                </c:pt>
                <c:pt idx="7">
                  <c:v>11.916366666666665</c:v>
                </c:pt>
                <c:pt idx="8">
                  <c:v>11.916366666666665</c:v>
                </c:pt>
                <c:pt idx="9">
                  <c:v>11.916366666666665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3C-4541-A0C0-A7F19223C277}"/>
            </c:ext>
          </c:extLst>
        </c:ser>
        <c:ser>
          <c:idx val="3"/>
          <c:order val="3"/>
          <c:tx>
            <c:strRef>
              <c:f>Lot!$R$1</c:f>
              <c:strCache>
                <c:ptCount val="1"/>
                <c:pt idx="0">
                  <c:v>LCI AFNOR</c:v>
                </c:pt>
              </c:strCache>
            </c:strRef>
          </c:tx>
          <c:spPr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Lot!$A$2:$A$11</c:f>
              <c:numCache>
                <c:formatCode>0.000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Lot!$R$2:$R$11</c:f>
              <c:numCache>
                <c:formatCode>0.0000</c:formatCode>
                <c:ptCount val="10"/>
                <c:pt idx="0">
                  <c:v>11.856966666666665</c:v>
                </c:pt>
                <c:pt idx="1">
                  <c:v>11.856966666666665</c:v>
                </c:pt>
                <c:pt idx="2">
                  <c:v>11.856966666666665</c:v>
                </c:pt>
                <c:pt idx="3">
                  <c:v>11.856966666666665</c:v>
                </c:pt>
                <c:pt idx="4">
                  <c:v>11.856966666666665</c:v>
                </c:pt>
                <c:pt idx="5">
                  <c:v>11.856966666666665</c:v>
                </c:pt>
                <c:pt idx="6">
                  <c:v>11.856966666666665</c:v>
                </c:pt>
                <c:pt idx="7">
                  <c:v>11.856966666666665</c:v>
                </c:pt>
                <c:pt idx="8">
                  <c:v>11.856966666666665</c:v>
                </c:pt>
                <c:pt idx="9">
                  <c:v>11.856966666666665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3C-4541-A0C0-A7F19223C277}"/>
            </c:ext>
          </c:extLst>
        </c:ser>
        <c:ser>
          <c:idx val="4"/>
          <c:order val="4"/>
          <c:tx>
            <c:strRef>
              <c:f>Lot!$S$1</c:f>
              <c:strCache>
                <c:ptCount val="1"/>
                <c:pt idx="0">
                  <c:v>LSS AFNOR</c:v>
                </c:pt>
              </c:strCache>
            </c:strRef>
          </c:tx>
          <c:spPr>
            <a:ln w="15840">
              <a:solidFill>
                <a:srgbClr val="2E7D32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Lot!$A$2:$A$11</c:f>
              <c:numCache>
                <c:formatCode>0.000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Lot!$S$2:$S$11</c:f>
              <c:numCache>
                <c:formatCode>0.0000</c:formatCode>
                <c:ptCount val="10"/>
                <c:pt idx="0">
                  <c:v>11.905516666666665</c:v>
                </c:pt>
                <c:pt idx="1">
                  <c:v>11.905516666666665</c:v>
                </c:pt>
                <c:pt idx="2">
                  <c:v>11.905516666666665</c:v>
                </c:pt>
                <c:pt idx="3">
                  <c:v>11.905516666666665</c:v>
                </c:pt>
                <c:pt idx="4">
                  <c:v>11.905516666666665</c:v>
                </c:pt>
                <c:pt idx="5">
                  <c:v>11.905516666666665</c:v>
                </c:pt>
                <c:pt idx="6">
                  <c:v>11.905516666666665</c:v>
                </c:pt>
                <c:pt idx="7">
                  <c:v>11.905516666666665</c:v>
                </c:pt>
                <c:pt idx="8">
                  <c:v>11.905516666666665</c:v>
                </c:pt>
                <c:pt idx="9">
                  <c:v>11.905516666666665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3C-4541-A0C0-A7F19223C277}"/>
            </c:ext>
          </c:extLst>
        </c:ser>
        <c:ser>
          <c:idx val="5"/>
          <c:order val="5"/>
          <c:tx>
            <c:strRef>
              <c:f>Lot!$T$1</c:f>
              <c:strCache>
                <c:ptCount val="1"/>
                <c:pt idx="0">
                  <c:v>LSI AFNOR</c:v>
                </c:pt>
              </c:strCache>
            </c:strRef>
          </c:tx>
          <c:spPr>
            <a:ln w="15840">
              <a:solidFill>
                <a:srgbClr val="2E7D32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Lot!$A$2:$A$11</c:f>
              <c:numCache>
                <c:formatCode>0.000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Lot!$T$2:$T$11</c:f>
              <c:numCache>
                <c:formatCode>0.0000</c:formatCode>
                <c:ptCount val="10"/>
                <c:pt idx="0">
                  <c:v>11.867816666666664</c:v>
                </c:pt>
                <c:pt idx="1">
                  <c:v>11.867816666666664</c:v>
                </c:pt>
                <c:pt idx="2">
                  <c:v>11.867816666666664</c:v>
                </c:pt>
                <c:pt idx="3">
                  <c:v>11.867816666666664</c:v>
                </c:pt>
                <c:pt idx="4">
                  <c:v>11.867816666666664</c:v>
                </c:pt>
                <c:pt idx="5">
                  <c:v>11.867816666666664</c:v>
                </c:pt>
                <c:pt idx="6">
                  <c:v>11.867816666666664</c:v>
                </c:pt>
                <c:pt idx="7">
                  <c:v>11.867816666666664</c:v>
                </c:pt>
                <c:pt idx="8">
                  <c:v>11.867816666666664</c:v>
                </c:pt>
                <c:pt idx="9">
                  <c:v>11.867816666666664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3C-4541-A0C0-A7F19223C277}"/>
            </c:ext>
          </c:extLst>
        </c:ser>
        <c:ser>
          <c:idx val="6"/>
          <c:order val="6"/>
          <c:tx>
            <c:strRef>
              <c:f>Lot!$U$1</c:f>
              <c:strCache>
                <c:ptCount val="1"/>
                <c:pt idx="0">
                  <c:v>LCS 3σ</c:v>
                </c:pt>
              </c:strCache>
            </c:strRef>
          </c:tx>
          <c:spPr>
            <a:ln w="15840">
              <a:solidFill>
                <a:srgbClr val="80808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Lot!$A$2:$A$11</c:f>
              <c:numCache>
                <c:formatCode>0.000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Lot!$U$2:$U$11</c:f>
              <c:numCache>
                <c:formatCode>0.0000</c:formatCode>
                <c:ptCount val="10"/>
                <c:pt idx="0">
                  <c:v>11.915516666666665</c:v>
                </c:pt>
                <c:pt idx="1">
                  <c:v>11.915516666666665</c:v>
                </c:pt>
                <c:pt idx="2">
                  <c:v>11.915516666666665</c:v>
                </c:pt>
                <c:pt idx="3">
                  <c:v>11.915516666666665</c:v>
                </c:pt>
                <c:pt idx="4">
                  <c:v>11.915516666666665</c:v>
                </c:pt>
                <c:pt idx="5">
                  <c:v>11.915516666666665</c:v>
                </c:pt>
                <c:pt idx="6">
                  <c:v>11.915516666666665</c:v>
                </c:pt>
                <c:pt idx="7">
                  <c:v>11.915516666666665</c:v>
                </c:pt>
                <c:pt idx="8">
                  <c:v>11.915516666666665</c:v>
                </c:pt>
                <c:pt idx="9">
                  <c:v>11.915516666666665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3C-4541-A0C0-A7F19223C277}"/>
            </c:ext>
          </c:extLst>
        </c:ser>
        <c:ser>
          <c:idx val="7"/>
          <c:order val="7"/>
          <c:tx>
            <c:strRef>
              <c:f>Lot!$V$1</c:f>
              <c:strCache>
                <c:ptCount val="1"/>
                <c:pt idx="0">
                  <c:v>LCI 3σ</c:v>
                </c:pt>
              </c:strCache>
            </c:strRef>
          </c:tx>
          <c:spPr>
            <a:ln w="15840">
              <a:solidFill>
                <a:srgbClr val="80808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Lot!$A$2:$A$11</c:f>
              <c:numCache>
                <c:formatCode>0.000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Lot!$V$2:$V$11</c:f>
              <c:numCache>
                <c:formatCode>0.0000</c:formatCode>
                <c:ptCount val="10"/>
                <c:pt idx="0">
                  <c:v>11.857816666666665</c:v>
                </c:pt>
                <c:pt idx="1">
                  <c:v>11.857816666666665</c:v>
                </c:pt>
                <c:pt idx="2">
                  <c:v>11.857816666666665</c:v>
                </c:pt>
                <c:pt idx="3">
                  <c:v>11.857816666666665</c:v>
                </c:pt>
                <c:pt idx="4">
                  <c:v>11.857816666666665</c:v>
                </c:pt>
                <c:pt idx="5">
                  <c:v>11.857816666666665</c:v>
                </c:pt>
                <c:pt idx="6">
                  <c:v>11.857816666666665</c:v>
                </c:pt>
                <c:pt idx="7">
                  <c:v>11.857816666666665</c:v>
                </c:pt>
                <c:pt idx="8">
                  <c:v>11.857816666666665</c:v>
                </c:pt>
                <c:pt idx="9">
                  <c:v>11.857816666666665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3C-4541-A0C0-A7F19223C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8243291"/>
        <c:axId val="18517867"/>
      </c:lineChart>
      <c:catAx>
        <c:axId val="48243291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8517867"/>
        <c:crosses val="autoZero"/>
        <c:auto val="1"/>
        <c:lblAlgn val="ctr"/>
        <c:lblOffset val="100"/>
        <c:noMultiLvlLbl val="0"/>
      </c:catAx>
      <c:valAx>
        <c:axId val="18517867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82432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Carte R (AFNOR et 3 sigmas)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Lot!$H$1</c:f>
              <c:strCache>
                <c:ptCount val="1"/>
                <c:pt idx="0">
                  <c:v>Etendue</c:v>
                </c:pt>
              </c:strCache>
            </c:strRef>
          </c:tx>
          <c:spPr>
            <a:ln w="19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Lot!$A$2:$A$11</c:f>
              <c:numCache>
                <c:formatCode>0.000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Lot!$H$2:$H$11</c:f>
              <c:numCache>
                <c:formatCode>0.000</c:formatCode>
                <c:ptCount val="10"/>
                <c:pt idx="0">
                  <c:v>4.0000000000000924E-2</c:v>
                </c:pt>
                <c:pt idx="1">
                  <c:v>5.0000000000000711E-2</c:v>
                </c:pt>
                <c:pt idx="2">
                  <c:v>5.0000000000000711E-2</c:v>
                </c:pt>
                <c:pt idx="3">
                  <c:v>3.9999999999999147E-2</c:v>
                </c:pt>
                <c:pt idx="4">
                  <c:v>3.9999999999999147E-2</c:v>
                </c:pt>
                <c:pt idx="5">
                  <c:v>8.0000000000000071E-2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7-41CE-A915-991AFDFF4C33}"/>
            </c:ext>
          </c:extLst>
        </c:ser>
        <c:ser>
          <c:idx val="1"/>
          <c:order val="1"/>
          <c:tx>
            <c:strRef>
              <c:f>Lot!$W$1</c:f>
              <c:strCache>
                <c:ptCount val="1"/>
                <c:pt idx="0">
                  <c:v>R barre</c:v>
                </c:pt>
              </c:strCache>
            </c:strRef>
          </c:tx>
          <c:spPr>
            <a:ln w="15840">
              <a:solidFill>
                <a:srgbClr val="1F3864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Lot!$A$2:$A$11</c:f>
              <c:numCache>
                <c:formatCode>0.000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Lot!$W$2:$W$11</c:f>
              <c:numCache>
                <c:formatCode>0.0000</c:formatCode>
                <c:ptCount val="10"/>
                <c:pt idx="0">
                  <c:v>5.0000000000000121E-2</c:v>
                </c:pt>
                <c:pt idx="1">
                  <c:v>5.0000000000000121E-2</c:v>
                </c:pt>
                <c:pt idx="2">
                  <c:v>5.0000000000000121E-2</c:v>
                </c:pt>
                <c:pt idx="3">
                  <c:v>5.0000000000000121E-2</c:v>
                </c:pt>
                <c:pt idx="4">
                  <c:v>5.0000000000000121E-2</c:v>
                </c:pt>
                <c:pt idx="5">
                  <c:v>5.0000000000000121E-2</c:v>
                </c:pt>
                <c:pt idx="6">
                  <c:v>5.0000000000000121E-2</c:v>
                </c:pt>
                <c:pt idx="7">
                  <c:v>5.0000000000000121E-2</c:v>
                </c:pt>
                <c:pt idx="8">
                  <c:v>5.0000000000000121E-2</c:v>
                </c:pt>
                <c:pt idx="9">
                  <c:v>5.0000000000000121E-2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27-41CE-A915-991AFDFF4C33}"/>
            </c:ext>
          </c:extLst>
        </c:ser>
        <c:ser>
          <c:idx val="2"/>
          <c:order val="2"/>
          <c:tx>
            <c:strRef>
              <c:f>Lot!$X$1</c:f>
              <c:strCache>
                <c:ptCount val="1"/>
                <c:pt idx="0">
                  <c:v>LC2 AFNOR</c:v>
                </c:pt>
              </c:strCache>
            </c:strRef>
          </c:tx>
          <c:spPr>
            <a:ln w="15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Lot!$A$2:$A$11</c:f>
              <c:numCache>
                <c:formatCode>0.000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Lot!$X$2:$X$11</c:f>
              <c:numCache>
                <c:formatCode>0.0000</c:formatCode>
                <c:ptCount val="10"/>
                <c:pt idx="0">
                  <c:v>0.11800000000000029</c:v>
                </c:pt>
                <c:pt idx="1">
                  <c:v>0.11800000000000029</c:v>
                </c:pt>
                <c:pt idx="2">
                  <c:v>0.11800000000000029</c:v>
                </c:pt>
                <c:pt idx="3">
                  <c:v>0.11800000000000029</c:v>
                </c:pt>
                <c:pt idx="4">
                  <c:v>0.11800000000000029</c:v>
                </c:pt>
                <c:pt idx="5">
                  <c:v>0.11800000000000029</c:v>
                </c:pt>
                <c:pt idx="6">
                  <c:v>0.11800000000000029</c:v>
                </c:pt>
                <c:pt idx="7">
                  <c:v>0.11800000000000029</c:v>
                </c:pt>
                <c:pt idx="8">
                  <c:v>0.11800000000000029</c:v>
                </c:pt>
                <c:pt idx="9">
                  <c:v>0.11800000000000029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27-41CE-A915-991AFDFF4C33}"/>
            </c:ext>
          </c:extLst>
        </c:ser>
        <c:ser>
          <c:idx val="3"/>
          <c:order val="3"/>
          <c:tx>
            <c:strRef>
              <c:f>Lot!$Y$1</c:f>
              <c:strCache>
                <c:ptCount val="1"/>
                <c:pt idx="0">
                  <c:v>LS2 AFNOR</c:v>
                </c:pt>
              </c:strCache>
            </c:strRef>
          </c:tx>
          <c:spPr>
            <a:ln w="15840">
              <a:solidFill>
                <a:srgbClr val="2E7D32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Lot!$A$2:$A$11</c:f>
              <c:numCache>
                <c:formatCode>0.000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Lot!$Y$2:$Y$11</c:f>
              <c:numCache>
                <c:formatCode>0.0000</c:formatCode>
                <c:ptCount val="10"/>
                <c:pt idx="0">
                  <c:v>9.0500000000000219E-2</c:v>
                </c:pt>
                <c:pt idx="1">
                  <c:v>9.0500000000000219E-2</c:v>
                </c:pt>
                <c:pt idx="2">
                  <c:v>9.0500000000000219E-2</c:v>
                </c:pt>
                <c:pt idx="3">
                  <c:v>9.0500000000000219E-2</c:v>
                </c:pt>
                <c:pt idx="4">
                  <c:v>9.0500000000000219E-2</c:v>
                </c:pt>
                <c:pt idx="5">
                  <c:v>9.0500000000000219E-2</c:v>
                </c:pt>
                <c:pt idx="6">
                  <c:v>9.0500000000000219E-2</c:v>
                </c:pt>
                <c:pt idx="7">
                  <c:v>9.0500000000000219E-2</c:v>
                </c:pt>
                <c:pt idx="8">
                  <c:v>9.0500000000000219E-2</c:v>
                </c:pt>
                <c:pt idx="9">
                  <c:v>9.0500000000000219E-2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27-41CE-A915-991AFDFF4C33}"/>
            </c:ext>
          </c:extLst>
        </c:ser>
        <c:ser>
          <c:idx val="4"/>
          <c:order val="4"/>
          <c:tx>
            <c:strRef>
              <c:f>Lot!$Z$1</c:f>
              <c:strCache>
                <c:ptCount val="1"/>
                <c:pt idx="0">
                  <c:v>LCS R 3σ</c:v>
                </c:pt>
              </c:strCache>
            </c:strRef>
          </c:tx>
          <c:spPr>
            <a:ln w="15840">
              <a:solidFill>
                <a:srgbClr val="80808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Lot!$A$2:$A$11</c:f>
              <c:numCache>
                <c:formatCode>0.000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Lot!$Z$2:$Z$11</c:f>
              <c:numCache>
                <c:formatCode>0.0000</c:formatCode>
                <c:ptCount val="10"/>
                <c:pt idx="0">
                  <c:v>0.10570000000000025</c:v>
                </c:pt>
                <c:pt idx="1">
                  <c:v>0.10570000000000025</c:v>
                </c:pt>
                <c:pt idx="2">
                  <c:v>0.10570000000000025</c:v>
                </c:pt>
                <c:pt idx="3">
                  <c:v>0.10570000000000025</c:v>
                </c:pt>
                <c:pt idx="4">
                  <c:v>0.10570000000000025</c:v>
                </c:pt>
                <c:pt idx="5">
                  <c:v>0.10570000000000025</c:v>
                </c:pt>
                <c:pt idx="6">
                  <c:v>0.10570000000000025</c:v>
                </c:pt>
                <c:pt idx="7">
                  <c:v>0.10570000000000025</c:v>
                </c:pt>
                <c:pt idx="8">
                  <c:v>0.10570000000000025</c:v>
                </c:pt>
                <c:pt idx="9">
                  <c:v>0.10570000000000025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27-41CE-A915-991AFDFF4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2095888"/>
        <c:axId val="60374515"/>
      </c:lineChart>
      <c:catAx>
        <c:axId val="22095888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0374515"/>
        <c:crosses val="autoZero"/>
        <c:auto val="1"/>
        <c:lblAlgn val="ctr"/>
        <c:lblOffset val="100"/>
        <c:noMultiLvlLbl val="0"/>
      </c:catAx>
      <c:valAx>
        <c:axId val="60374515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20958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Histogramme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Lot!$L$12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Lot!$J$13:$J$29</c:f>
              <c:numCache>
                <c:formatCode>0.000</c:formatCode>
                <c:ptCount val="17"/>
                <c:pt idx="0">
                  <c:v>11.824999999999999</c:v>
                </c:pt>
                <c:pt idx="1">
                  <c:v>11.834999999999999</c:v>
                </c:pt>
                <c:pt idx="2">
                  <c:v>11.844999999999999</c:v>
                </c:pt>
                <c:pt idx="3">
                  <c:v>11.854999999999999</c:v>
                </c:pt>
                <c:pt idx="4">
                  <c:v>11.864999999999998</c:v>
                </c:pt>
                <c:pt idx="5">
                  <c:v>11.874999999999998</c:v>
                </c:pt>
                <c:pt idx="6">
                  <c:v>11.884999999999998</c:v>
                </c:pt>
                <c:pt idx="7">
                  <c:v>11.894999999999998</c:v>
                </c:pt>
                <c:pt idx="8">
                  <c:v>11.904999999999998</c:v>
                </c:pt>
                <c:pt idx="9">
                  <c:v>11.914999999999997</c:v>
                </c:pt>
                <c:pt idx="10">
                  <c:v>11.924999999999997</c:v>
                </c:pt>
                <c:pt idx="11">
                  <c:v>11.934999999999997</c:v>
                </c:pt>
                <c:pt idx="12">
                  <c:v>11.944999999999997</c:v>
                </c:pt>
                <c:pt idx="13">
                  <c:v>11.954999999999997</c:v>
                </c:pt>
                <c:pt idx="14">
                  <c:v>11.964999999999996</c:v>
                </c:pt>
                <c:pt idx="15">
                  <c:v>11.974999999999996</c:v>
                </c:pt>
                <c:pt idx="16">
                  <c:v>11.984999999999996</c:v>
                </c:pt>
              </c:numCache>
            </c:numRef>
          </c:cat>
          <c:val>
            <c:numRef>
              <c:f>Lot!$L$13:$L$29</c:f>
              <c:numCache>
                <c:formatCode>0</c:formatCode>
                <c:ptCount val="17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F-4B27-9787-7F067F2D8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axId val="74015222"/>
        <c:axId val="91888679"/>
      </c:barChart>
      <c:catAx>
        <c:axId val="74015222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1888679"/>
        <c:crosses val="autoZero"/>
        <c:auto val="1"/>
        <c:lblAlgn val="ctr"/>
        <c:lblOffset val="100"/>
        <c:noMultiLvlLbl val="0"/>
      </c:catAx>
      <c:valAx>
        <c:axId val="91888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40152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Droite de Henry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Mesures</c:v>
          </c:tx>
          <c:spPr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Henry!$B$2:$B$51</c:f>
              <c:numCache>
                <c:formatCode>0.000</c:formatCode>
                <c:ptCount val="50"/>
                <c:pt idx="0">
                  <c:v>11.84</c:v>
                </c:pt>
                <c:pt idx="1">
                  <c:v>11.84</c:v>
                </c:pt>
                <c:pt idx="2">
                  <c:v>11.85</c:v>
                </c:pt>
                <c:pt idx="3">
                  <c:v>11.85</c:v>
                </c:pt>
                <c:pt idx="4">
                  <c:v>11.86</c:v>
                </c:pt>
                <c:pt idx="5">
                  <c:v>11.86</c:v>
                </c:pt>
                <c:pt idx="6">
                  <c:v>11.86</c:v>
                </c:pt>
                <c:pt idx="7">
                  <c:v>11.87</c:v>
                </c:pt>
                <c:pt idx="8">
                  <c:v>11.87</c:v>
                </c:pt>
                <c:pt idx="9">
                  <c:v>11.87</c:v>
                </c:pt>
                <c:pt idx="10">
                  <c:v>11.87</c:v>
                </c:pt>
                <c:pt idx="11">
                  <c:v>11.88</c:v>
                </c:pt>
                <c:pt idx="12">
                  <c:v>11.88</c:v>
                </c:pt>
                <c:pt idx="13">
                  <c:v>11.88</c:v>
                </c:pt>
                <c:pt idx="14">
                  <c:v>11.89</c:v>
                </c:pt>
                <c:pt idx="15">
                  <c:v>11.89</c:v>
                </c:pt>
                <c:pt idx="16">
                  <c:v>11.89</c:v>
                </c:pt>
                <c:pt idx="17">
                  <c:v>11.89</c:v>
                </c:pt>
                <c:pt idx="18">
                  <c:v>11.9</c:v>
                </c:pt>
                <c:pt idx="19">
                  <c:v>11.9</c:v>
                </c:pt>
                <c:pt idx="20">
                  <c:v>11.9</c:v>
                </c:pt>
                <c:pt idx="21">
                  <c:v>11.91</c:v>
                </c:pt>
                <c:pt idx="22">
                  <c:v>11.91</c:v>
                </c:pt>
                <c:pt idx="23">
                  <c:v>11.91</c:v>
                </c:pt>
                <c:pt idx="24">
                  <c:v>11.91</c:v>
                </c:pt>
                <c:pt idx="25">
                  <c:v>11.92</c:v>
                </c:pt>
                <c:pt idx="26">
                  <c:v>11.92</c:v>
                </c:pt>
                <c:pt idx="27">
                  <c:v>11.92</c:v>
                </c:pt>
                <c:pt idx="28">
                  <c:v>11.93</c:v>
                </c:pt>
                <c:pt idx="29">
                  <c:v>11.93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xVal>
          <c:yVal>
            <c:numRef>
              <c:f>Henry!$D$2:$D$51</c:f>
              <c:numCache>
                <c:formatCode>0.000</c:formatCode>
                <c:ptCount val="50"/>
                <c:pt idx="0">
                  <c:v>-2.128045234184984</c:v>
                </c:pt>
                <c:pt idx="1">
                  <c:v>-1.6448536269514726</c:v>
                </c:pt>
                <c:pt idx="2">
                  <c:v>-1.3829941271006392</c:v>
                </c:pt>
                <c:pt idx="3">
                  <c:v>-1.1918161716813944</c:v>
                </c:pt>
                <c:pt idx="4">
                  <c:v>-1.0364333894937898</c:v>
                </c:pt>
                <c:pt idx="5">
                  <c:v>-0.90273479164386372</c:v>
                </c:pt>
                <c:pt idx="6">
                  <c:v>-0.78350037538977446</c:v>
                </c:pt>
                <c:pt idx="7">
                  <c:v>-0.67448975019608193</c:v>
                </c:pt>
                <c:pt idx="8">
                  <c:v>-0.57296754849546372</c:v>
                </c:pt>
                <c:pt idx="9">
                  <c:v>-0.47704042848944361</c:v>
                </c:pt>
                <c:pt idx="10">
                  <c:v>-0.38532046640756784</c:v>
                </c:pt>
                <c:pt idx="11">
                  <c:v>-0.29673783825989802</c:v>
                </c:pt>
                <c:pt idx="12">
                  <c:v>-0.21042839424792467</c:v>
                </c:pt>
                <c:pt idx="13">
                  <c:v>-0.12566134685507402</c:v>
                </c:pt>
                <c:pt idx="14">
                  <c:v>-4.178929781645381E-2</c:v>
                </c:pt>
                <c:pt idx="15">
                  <c:v>4.1789297816453949E-2</c:v>
                </c:pt>
                <c:pt idx="16">
                  <c:v>0.12566134685507416</c:v>
                </c:pt>
                <c:pt idx="17">
                  <c:v>0.21042839424792484</c:v>
                </c:pt>
                <c:pt idx="18">
                  <c:v>0.29673783825989819</c:v>
                </c:pt>
                <c:pt idx="19">
                  <c:v>0.38532046640756784</c:v>
                </c:pt>
                <c:pt idx="20">
                  <c:v>0.47704042848944361</c:v>
                </c:pt>
                <c:pt idx="21">
                  <c:v>0.57296754849546372</c:v>
                </c:pt>
                <c:pt idx="22">
                  <c:v>0.67448975019608193</c:v>
                </c:pt>
                <c:pt idx="23">
                  <c:v>0.78350037538977446</c:v>
                </c:pt>
                <c:pt idx="24">
                  <c:v>0.90273479164386372</c:v>
                </c:pt>
                <c:pt idx="25">
                  <c:v>1.0364333894937898</c:v>
                </c:pt>
                <c:pt idx="26">
                  <c:v>1.1918161716813944</c:v>
                </c:pt>
                <c:pt idx="27">
                  <c:v>1.3829941271006372</c:v>
                </c:pt>
                <c:pt idx="28">
                  <c:v>1.6448536269514715</c:v>
                </c:pt>
                <c:pt idx="29">
                  <c:v>2.128045234184984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D7-4E44-BF6D-C49FD055E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9227"/>
        <c:axId val="74074771"/>
      </c:scatterChart>
      <c:valAx>
        <c:axId val="1833922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Diamètre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4074771"/>
        <c:crosses val="autoZero"/>
        <c:crossBetween val="midCat"/>
      </c:valAx>
      <c:valAx>
        <c:axId val="74074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Score 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833922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41760</xdr:rowOff>
    </xdr:from>
    <xdr:to>
      <xdr:col>10</xdr:col>
      <xdr:colOff>147240</xdr:colOff>
      <xdr:row>47</xdr:row>
      <xdr:rowOff>42840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30</xdr:row>
      <xdr:rowOff>41760</xdr:rowOff>
    </xdr:from>
    <xdr:to>
      <xdr:col>17</xdr:col>
      <xdr:colOff>354600</xdr:colOff>
      <xdr:row>47</xdr:row>
      <xdr:rowOff>42840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49</xdr:row>
      <xdr:rowOff>42120</xdr:rowOff>
    </xdr:from>
    <xdr:to>
      <xdr:col>8</xdr:col>
      <xdr:colOff>587520</xdr:colOff>
      <xdr:row>63</xdr:row>
      <xdr:rowOff>74880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190440</xdr:rowOff>
    </xdr:from>
    <xdr:to>
      <xdr:col>14</xdr:col>
      <xdr:colOff>255960</xdr:colOff>
      <xdr:row>17</xdr:row>
      <xdr:rowOff>21960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opLeftCell="A32" zoomScaleNormal="100" workbookViewId="0">
      <selection activeCell="K64" sqref="K64"/>
    </sheetView>
  </sheetViews>
  <sheetFormatPr baseColWidth="10" defaultColWidth="8.7109375" defaultRowHeight="15" x14ac:dyDescent="0.25"/>
  <cols>
    <col min="1" max="1" width="11" customWidth="1"/>
    <col min="7" max="7" width="10" customWidth="1"/>
    <col min="8" max="8" width="9" customWidth="1"/>
    <col min="10" max="10" width="18" customWidth="1"/>
    <col min="11" max="11" width="11" customWidth="1"/>
    <col min="12" max="12" width="9" customWidth="1"/>
    <col min="13" max="13" width="17" customWidth="1"/>
    <col min="14" max="14" width="10" customWidth="1"/>
    <col min="16" max="26" width="10.5703125" customWidth="1"/>
  </cols>
  <sheetData>
    <row r="1" spans="1:26" ht="29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</row>
    <row r="2" spans="1:26" x14ac:dyDescent="0.25">
      <c r="A2" s="3">
        <v>1</v>
      </c>
      <c r="B2" s="3">
        <v>11.87</v>
      </c>
      <c r="C2" s="3">
        <v>11.86</v>
      </c>
      <c r="D2" s="3">
        <v>11.84</v>
      </c>
      <c r="E2" s="3">
        <v>11.88</v>
      </c>
      <c r="F2" s="3">
        <v>11.87</v>
      </c>
      <c r="G2" s="4">
        <f t="shared" ref="G2:G11" si="0">IF(COUNT(B2:F2)&lt;5,NA(),AVERAGE(B2:F2))</f>
        <v>11.863999999999999</v>
      </c>
      <c r="H2" s="5">
        <f t="shared" ref="H2:H11" si="1">IF(COUNT(B2:F2)&lt;5,NA(),MAX(B2:F2)-MIN(B2:F2))</f>
        <v>4.0000000000000924E-2</v>
      </c>
      <c r="J2" t="s">
        <v>19</v>
      </c>
      <c r="K2">
        <v>11.85</v>
      </c>
      <c r="M2" t="s">
        <v>20</v>
      </c>
      <c r="N2" s="4">
        <f>_xlfn.AGGREGATE(1,6,G2:G11)</f>
        <v>11.886666666666665</v>
      </c>
      <c r="P2" s="4">
        <f t="shared" ref="P2:P11" si="2">$N$2</f>
        <v>11.886666666666665</v>
      </c>
      <c r="Q2" s="4">
        <f t="shared" ref="Q2:Q11" si="3">$N$2+$N$12*$N$3</f>
        <v>11.916366666666665</v>
      </c>
      <c r="R2" s="4">
        <f t="shared" ref="R2:R11" si="4">$N$2-$N$12*$N$3</f>
        <v>11.856966666666665</v>
      </c>
      <c r="S2" s="4">
        <f t="shared" ref="S2:S11" si="5">$N$2+$N$13*$N$3</f>
        <v>11.905516666666665</v>
      </c>
      <c r="T2" s="4">
        <f t="shared" ref="T2:T11" si="6">$N$2-$N$13*$N$3</f>
        <v>11.867816666666664</v>
      </c>
      <c r="U2" s="4">
        <f t="shared" ref="U2:U11" si="7">$N$2+$N$16*$N$3</f>
        <v>11.915516666666665</v>
      </c>
      <c r="V2" s="4">
        <f t="shared" ref="V2:V11" si="8">$N$2-$N$16*$N$3</f>
        <v>11.857816666666665</v>
      </c>
      <c r="W2" s="4">
        <f t="shared" ref="W2:W11" si="9">$N$3</f>
        <v>5.0000000000000121E-2</v>
      </c>
      <c r="X2" s="4">
        <f t="shared" ref="X2:X11" si="10">$N$14*$N$3</f>
        <v>0.11800000000000029</v>
      </c>
      <c r="Y2" s="4">
        <f t="shared" ref="Y2:Y11" si="11">$N$15*$N$3</f>
        <v>9.0500000000000219E-2</v>
      </c>
      <c r="Z2" s="4">
        <f t="shared" ref="Z2:Z11" si="12">$N$17*$N$3</f>
        <v>0.10570000000000025</v>
      </c>
    </row>
    <row r="3" spans="1:26" x14ac:dyDescent="0.25">
      <c r="A3" s="3">
        <v>2</v>
      </c>
      <c r="B3" s="3">
        <v>11.87</v>
      </c>
      <c r="C3" s="3">
        <v>11.85</v>
      </c>
      <c r="D3" s="3">
        <v>11.86</v>
      </c>
      <c r="E3" s="3">
        <v>11.84</v>
      </c>
      <c r="F3" s="3">
        <v>11.89</v>
      </c>
      <c r="G3" s="4">
        <f t="shared" si="0"/>
        <v>11.862</v>
      </c>
      <c r="H3" s="5">
        <f t="shared" si="1"/>
        <v>5.0000000000000711E-2</v>
      </c>
      <c r="J3" t="s">
        <v>21</v>
      </c>
      <c r="K3">
        <v>12</v>
      </c>
      <c r="M3" t="s">
        <v>15</v>
      </c>
      <c r="N3" s="4">
        <f>_xlfn.AGGREGATE(1,6,H2:H11)</f>
        <v>5.0000000000000121E-2</v>
      </c>
      <c r="P3" s="4">
        <f t="shared" si="2"/>
        <v>11.886666666666665</v>
      </c>
      <c r="Q3" s="4">
        <f t="shared" si="3"/>
        <v>11.916366666666665</v>
      </c>
      <c r="R3" s="4">
        <f t="shared" si="4"/>
        <v>11.856966666666665</v>
      </c>
      <c r="S3" s="4">
        <f t="shared" si="5"/>
        <v>11.905516666666665</v>
      </c>
      <c r="T3" s="4">
        <f t="shared" si="6"/>
        <v>11.867816666666664</v>
      </c>
      <c r="U3" s="4">
        <f t="shared" si="7"/>
        <v>11.915516666666665</v>
      </c>
      <c r="V3" s="4">
        <f t="shared" si="8"/>
        <v>11.857816666666665</v>
      </c>
      <c r="W3" s="4">
        <f t="shared" si="9"/>
        <v>5.0000000000000121E-2</v>
      </c>
      <c r="X3" s="4">
        <f t="shared" si="10"/>
        <v>0.11800000000000029</v>
      </c>
      <c r="Y3" s="4">
        <f t="shared" si="11"/>
        <v>9.0500000000000219E-2</v>
      </c>
      <c r="Z3" s="4">
        <f t="shared" si="12"/>
        <v>0.10570000000000025</v>
      </c>
    </row>
    <row r="4" spans="1:26" x14ac:dyDescent="0.25">
      <c r="A4" s="3">
        <v>3</v>
      </c>
      <c r="B4" s="3">
        <v>11.91</v>
      </c>
      <c r="C4" s="3">
        <v>11.9</v>
      </c>
      <c r="D4" s="3">
        <v>11.86</v>
      </c>
      <c r="E4" s="3">
        <v>11.88</v>
      </c>
      <c r="F4" s="3">
        <v>11.87</v>
      </c>
      <c r="G4" s="4">
        <f t="shared" si="0"/>
        <v>11.884</v>
      </c>
      <c r="H4" s="5">
        <f t="shared" si="1"/>
        <v>5.0000000000000711E-2</v>
      </c>
      <c r="J4" t="s">
        <v>22</v>
      </c>
      <c r="K4" s="6">
        <f>COUNT(B2:F11)</f>
        <v>30</v>
      </c>
      <c r="M4" t="s">
        <v>23</v>
      </c>
      <c r="N4">
        <v>2.3260000000000001</v>
      </c>
      <c r="P4" s="4">
        <f t="shared" si="2"/>
        <v>11.886666666666665</v>
      </c>
      <c r="Q4" s="4">
        <f t="shared" si="3"/>
        <v>11.916366666666665</v>
      </c>
      <c r="R4" s="4">
        <f t="shared" si="4"/>
        <v>11.856966666666665</v>
      </c>
      <c r="S4" s="4">
        <f t="shared" si="5"/>
        <v>11.905516666666665</v>
      </c>
      <c r="T4" s="4">
        <f t="shared" si="6"/>
        <v>11.867816666666664</v>
      </c>
      <c r="U4" s="4">
        <f t="shared" si="7"/>
        <v>11.915516666666665</v>
      </c>
      <c r="V4" s="4">
        <f t="shared" si="8"/>
        <v>11.857816666666665</v>
      </c>
      <c r="W4" s="4">
        <f t="shared" si="9"/>
        <v>5.0000000000000121E-2</v>
      </c>
      <c r="X4" s="4">
        <f t="shared" si="10"/>
        <v>0.11800000000000029</v>
      </c>
      <c r="Y4" s="4">
        <f t="shared" si="11"/>
        <v>9.0500000000000219E-2</v>
      </c>
      <c r="Z4" s="4">
        <f t="shared" si="12"/>
        <v>0.10570000000000025</v>
      </c>
    </row>
    <row r="5" spans="1:26" x14ac:dyDescent="0.25">
      <c r="A5" s="3">
        <v>4</v>
      </c>
      <c r="B5" s="3">
        <v>11.89</v>
      </c>
      <c r="C5" s="3">
        <v>11.91</v>
      </c>
      <c r="D5" s="3">
        <v>11.89</v>
      </c>
      <c r="E5" s="3">
        <v>11.88</v>
      </c>
      <c r="F5" s="3">
        <v>11.92</v>
      </c>
      <c r="G5" s="4">
        <f t="shared" si="0"/>
        <v>11.898</v>
      </c>
      <c r="H5" s="5">
        <f t="shared" si="1"/>
        <v>3.9999999999999147E-2</v>
      </c>
      <c r="J5" t="s">
        <v>6</v>
      </c>
      <c r="K5" s="4">
        <f>AVERAGE(B2:F11)</f>
        <v>11.886666666666667</v>
      </c>
      <c r="M5" t="s">
        <v>24</v>
      </c>
      <c r="N5" s="4">
        <f>N3/N4</f>
        <v>2.1496130696474686E-2</v>
      </c>
      <c r="P5" s="4">
        <f t="shared" si="2"/>
        <v>11.886666666666665</v>
      </c>
      <c r="Q5" s="4">
        <f t="shared" si="3"/>
        <v>11.916366666666665</v>
      </c>
      <c r="R5" s="4">
        <f t="shared" si="4"/>
        <v>11.856966666666665</v>
      </c>
      <c r="S5" s="4">
        <f t="shared" si="5"/>
        <v>11.905516666666665</v>
      </c>
      <c r="T5" s="4">
        <f t="shared" si="6"/>
        <v>11.867816666666664</v>
      </c>
      <c r="U5" s="4">
        <f t="shared" si="7"/>
        <v>11.915516666666665</v>
      </c>
      <c r="V5" s="4">
        <f t="shared" si="8"/>
        <v>11.857816666666665</v>
      </c>
      <c r="W5" s="4">
        <f t="shared" si="9"/>
        <v>5.0000000000000121E-2</v>
      </c>
      <c r="X5" s="4">
        <f t="shared" si="10"/>
        <v>0.11800000000000029</v>
      </c>
      <c r="Y5" s="4">
        <f t="shared" si="11"/>
        <v>9.0500000000000219E-2</v>
      </c>
      <c r="Z5" s="4">
        <f t="shared" si="12"/>
        <v>0.10570000000000025</v>
      </c>
    </row>
    <row r="6" spans="1:26" x14ac:dyDescent="0.25">
      <c r="A6" s="3">
        <v>5</v>
      </c>
      <c r="B6" s="3">
        <v>11.91</v>
      </c>
      <c r="C6" s="3">
        <v>11.92</v>
      </c>
      <c r="D6" s="3">
        <v>11.93</v>
      </c>
      <c r="E6" s="3">
        <v>11.89</v>
      </c>
      <c r="F6" s="3">
        <v>11.9</v>
      </c>
      <c r="G6" s="4">
        <f t="shared" si="0"/>
        <v>11.91</v>
      </c>
      <c r="H6" s="5">
        <f t="shared" si="1"/>
        <v>3.9999999999999147E-2</v>
      </c>
      <c r="J6" t="s">
        <v>25</v>
      </c>
      <c r="K6" s="4">
        <f>_xlfn.STDEV.S(B2:F11)</f>
        <v>2.6435782090050829E-2</v>
      </c>
      <c r="M6" t="s">
        <v>26</v>
      </c>
      <c r="N6" s="7">
        <f>($K$3-$K$2)/(6*N5)</f>
        <v>1.163</v>
      </c>
      <c r="P6" s="4">
        <f t="shared" si="2"/>
        <v>11.886666666666665</v>
      </c>
      <c r="Q6" s="4">
        <f t="shared" si="3"/>
        <v>11.916366666666665</v>
      </c>
      <c r="R6" s="4">
        <f t="shared" si="4"/>
        <v>11.856966666666665</v>
      </c>
      <c r="S6" s="4">
        <f t="shared" si="5"/>
        <v>11.905516666666665</v>
      </c>
      <c r="T6" s="4">
        <f t="shared" si="6"/>
        <v>11.867816666666664</v>
      </c>
      <c r="U6" s="4">
        <f t="shared" si="7"/>
        <v>11.915516666666665</v>
      </c>
      <c r="V6" s="4">
        <f t="shared" si="8"/>
        <v>11.857816666666665</v>
      </c>
      <c r="W6" s="4">
        <f t="shared" si="9"/>
        <v>5.0000000000000121E-2</v>
      </c>
      <c r="X6" s="4">
        <f t="shared" si="10"/>
        <v>0.11800000000000029</v>
      </c>
      <c r="Y6" s="4">
        <f t="shared" si="11"/>
        <v>9.0500000000000219E-2</v>
      </c>
      <c r="Z6" s="4">
        <f t="shared" si="12"/>
        <v>0.10570000000000025</v>
      </c>
    </row>
    <row r="7" spans="1:26" x14ac:dyDescent="0.25">
      <c r="A7" s="3">
        <v>6</v>
      </c>
      <c r="B7" s="3">
        <v>11.85</v>
      </c>
      <c r="C7" s="3">
        <v>11.91</v>
      </c>
      <c r="D7" s="3">
        <v>11.92</v>
      </c>
      <c r="E7" s="3">
        <v>11.93</v>
      </c>
      <c r="F7" s="3">
        <v>11.9</v>
      </c>
      <c r="G7" s="4">
        <f t="shared" si="0"/>
        <v>11.901999999999999</v>
      </c>
      <c r="H7" s="5">
        <f t="shared" si="1"/>
        <v>8.0000000000000071E-2</v>
      </c>
      <c r="J7" t="s">
        <v>27</v>
      </c>
      <c r="K7" s="5">
        <f>MIN(B2:F11)</f>
        <v>11.84</v>
      </c>
      <c r="M7" t="s">
        <v>28</v>
      </c>
      <c r="N7" s="7">
        <f>MIN($K$3-N2,N2-$K$2)/(3*N5)</f>
        <v>0.56857777777775509</v>
      </c>
      <c r="P7" s="4">
        <f t="shared" si="2"/>
        <v>11.886666666666665</v>
      </c>
      <c r="Q7" s="4">
        <f t="shared" si="3"/>
        <v>11.916366666666665</v>
      </c>
      <c r="R7" s="4">
        <f t="shared" si="4"/>
        <v>11.856966666666665</v>
      </c>
      <c r="S7" s="4">
        <f t="shared" si="5"/>
        <v>11.905516666666665</v>
      </c>
      <c r="T7" s="4">
        <f t="shared" si="6"/>
        <v>11.867816666666664</v>
      </c>
      <c r="U7" s="4">
        <f t="shared" si="7"/>
        <v>11.915516666666665</v>
      </c>
      <c r="V7" s="4">
        <f t="shared" si="8"/>
        <v>11.857816666666665</v>
      </c>
      <c r="W7" s="4">
        <f t="shared" si="9"/>
        <v>5.0000000000000121E-2</v>
      </c>
      <c r="X7" s="4">
        <f t="shared" si="10"/>
        <v>0.11800000000000029</v>
      </c>
      <c r="Y7" s="4">
        <f t="shared" si="11"/>
        <v>9.0500000000000219E-2</v>
      </c>
      <c r="Z7" s="4">
        <f t="shared" si="12"/>
        <v>0.10570000000000025</v>
      </c>
    </row>
    <row r="8" spans="1:26" x14ac:dyDescent="0.25">
      <c r="A8" s="3">
        <v>7</v>
      </c>
      <c r="B8" s="8"/>
      <c r="C8" s="8"/>
      <c r="D8" s="8"/>
      <c r="E8" s="8"/>
      <c r="F8" s="8"/>
      <c r="G8" s="4" t="e">
        <f t="shared" si="0"/>
        <v>#N/A</v>
      </c>
      <c r="H8" s="5" t="e">
        <f t="shared" si="1"/>
        <v>#N/A</v>
      </c>
      <c r="J8" t="s">
        <v>29</v>
      </c>
      <c r="K8" s="5">
        <f>MAX(B2:F11)</f>
        <v>11.93</v>
      </c>
      <c r="M8" t="s">
        <v>30</v>
      </c>
      <c r="N8" s="7">
        <f>($K$3-$K$2)/(6*K6)</f>
        <v>0.94568792838585514</v>
      </c>
      <c r="P8" s="4">
        <f t="shared" si="2"/>
        <v>11.886666666666665</v>
      </c>
      <c r="Q8" s="4">
        <f t="shared" si="3"/>
        <v>11.916366666666665</v>
      </c>
      <c r="R8" s="4">
        <f t="shared" si="4"/>
        <v>11.856966666666665</v>
      </c>
      <c r="S8" s="4">
        <f t="shared" si="5"/>
        <v>11.905516666666665</v>
      </c>
      <c r="T8" s="4">
        <f t="shared" si="6"/>
        <v>11.867816666666664</v>
      </c>
      <c r="U8" s="4">
        <f t="shared" si="7"/>
        <v>11.915516666666665</v>
      </c>
      <c r="V8" s="4">
        <f t="shared" si="8"/>
        <v>11.857816666666665</v>
      </c>
      <c r="W8" s="4">
        <f t="shared" si="9"/>
        <v>5.0000000000000121E-2</v>
      </c>
      <c r="X8" s="4">
        <f t="shared" si="10"/>
        <v>0.11800000000000029</v>
      </c>
      <c r="Y8" s="4">
        <f t="shared" si="11"/>
        <v>9.0500000000000219E-2</v>
      </c>
      <c r="Z8" s="4">
        <f t="shared" si="12"/>
        <v>0.10570000000000025</v>
      </c>
    </row>
    <row r="9" spans="1:26" x14ac:dyDescent="0.25">
      <c r="A9" s="3">
        <v>8</v>
      </c>
      <c r="B9" s="8"/>
      <c r="C9" s="8"/>
      <c r="D9" s="8"/>
      <c r="E9" s="8"/>
      <c r="F9" s="8"/>
      <c r="G9" s="4" t="e">
        <f t="shared" si="0"/>
        <v>#N/A</v>
      </c>
      <c r="H9" s="5" t="e">
        <f t="shared" si="1"/>
        <v>#N/A</v>
      </c>
      <c r="J9" t="s">
        <v>31</v>
      </c>
      <c r="K9" s="4">
        <f>6*K6</f>
        <v>0.15861469254030497</v>
      </c>
      <c r="M9" t="s">
        <v>32</v>
      </c>
      <c r="N9" s="7">
        <f>MIN($K$3-K5,K5-$K$2)/(3*K6)</f>
        <v>0.46233632054419982</v>
      </c>
      <c r="P9" s="4">
        <f t="shared" si="2"/>
        <v>11.886666666666665</v>
      </c>
      <c r="Q9" s="4">
        <f t="shared" si="3"/>
        <v>11.916366666666665</v>
      </c>
      <c r="R9" s="4">
        <f t="shared" si="4"/>
        <v>11.856966666666665</v>
      </c>
      <c r="S9" s="4">
        <f t="shared" si="5"/>
        <v>11.905516666666665</v>
      </c>
      <c r="T9" s="4">
        <f t="shared" si="6"/>
        <v>11.867816666666664</v>
      </c>
      <c r="U9" s="4">
        <f t="shared" si="7"/>
        <v>11.915516666666665</v>
      </c>
      <c r="V9" s="4">
        <f t="shared" si="8"/>
        <v>11.857816666666665</v>
      </c>
      <c r="W9" s="4">
        <f t="shared" si="9"/>
        <v>5.0000000000000121E-2</v>
      </c>
      <c r="X9" s="4">
        <f t="shared" si="10"/>
        <v>0.11800000000000029</v>
      </c>
      <c r="Y9" s="4">
        <f t="shared" si="11"/>
        <v>9.0500000000000219E-2</v>
      </c>
      <c r="Z9" s="4">
        <f t="shared" si="12"/>
        <v>0.10570000000000025</v>
      </c>
    </row>
    <row r="10" spans="1:26" x14ac:dyDescent="0.25">
      <c r="A10" s="3">
        <v>9</v>
      </c>
      <c r="B10" s="8"/>
      <c r="C10" s="8"/>
      <c r="D10" s="8"/>
      <c r="E10" s="8"/>
      <c r="F10" s="8"/>
      <c r="G10" s="4" t="e">
        <f t="shared" si="0"/>
        <v>#N/A</v>
      </c>
      <c r="H10" s="5" t="e">
        <f t="shared" si="1"/>
        <v>#N/A</v>
      </c>
      <c r="P10" s="4">
        <f t="shared" si="2"/>
        <v>11.886666666666665</v>
      </c>
      <c r="Q10" s="4">
        <f t="shared" si="3"/>
        <v>11.916366666666665</v>
      </c>
      <c r="R10" s="4">
        <f t="shared" si="4"/>
        <v>11.856966666666665</v>
      </c>
      <c r="S10" s="4">
        <f t="shared" si="5"/>
        <v>11.905516666666665</v>
      </c>
      <c r="T10" s="4">
        <f t="shared" si="6"/>
        <v>11.867816666666664</v>
      </c>
      <c r="U10" s="4">
        <f t="shared" si="7"/>
        <v>11.915516666666665</v>
      </c>
      <c r="V10" s="4">
        <f t="shared" si="8"/>
        <v>11.857816666666665</v>
      </c>
      <c r="W10" s="4">
        <f t="shared" si="9"/>
        <v>5.0000000000000121E-2</v>
      </c>
      <c r="X10" s="4">
        <f t="shared" si="10"/>
        <v>0.11800000000000029</v>
      </c>
      <c r="Y10" s="4">
        <f t="shared" si="11"/>
        <v>9.0500000000000219E-2</v>
      </c>
      <c r="Z10" s="4">
        <f t="shared" si="12"/>
        <v>0.10570000000000025</v>
      </c>
    </row>
    <row r="11" spans="1:26" x14ac:dyDescent="0.25">
      <c r="A11" s="3">
        <v>10</v>
      </c>
      <c r="B11" s="8"/>
      <c r="C11" s="8"/>
      <c r="D11" s="8"/>
      <c r="E11" s="8"/>
      <c r="F11" s="8"/>
      <c r="G11" s="4" t="e">
        <f t="shared" si="0"/>
        <v>#N/A</v>
      </c>
      <c r="H11" s="5" t="e">
        <f t="shared" si="1"/>
        <v>#N/A</v>
      </c>
      <c r="M11" s="9" t="s">
        <v>33</v>
      </c>
      <c r="P11" s="4">
        <f t="shared" si="2"/>
        <v>11.886666666666665</v>
      </c>
      <c r="Q11" s="4">
        <f t="shared" si="3"/>
        <v>11.916366666666665</v>
      </c>
      <c r="R11" s="4">
        <f t="shared" si="4"/>
        <v>11.856966666666665</v>
      </c>
      <c r="S11" s="4">
        <f t="shared" si="5"/>
        <v>11.905516666666665</v>
      </c>
      <c r="T11" s="4">
        <f t="shared" si="6"/>
        <v>11.867816666666664</v>
      </c>
      <c r="U11" s="4">
        <f t="shared" si="7"/>
        <v>11.915516666666665</v>
      </c>
      <c r="V11" s="4">
        <f t="shared" si="8"/>
        <v>11.857816666666665</v>
      </c>
      <c r="W11" s="4">
        <f t="shared" si="9"/>
        <v>5.0000000000000121E-2</v>
      </c>
      <c r="X11" s="4">
        <f t="shared" si="10"/>
        <v>0.11800000000000029</v>
      </c>
      <c r="Y11" s="4">
        <f t="shared" si="11"/>
        <v>9.0500000000000219E-2</v>
      </c>
      <c r="Z11" s="4">
        <f t="shared" si="12"/>
        <v>0.10570000000000025</v>
      </c>
    </row>
    <row r="12" spans="1:26" ht="29.25" x14ac:dyDescent="0.25">
      <c r="J12" s="2" t="s">
        <v>34</v>
      </c>
      <c r="K12" s="2" t="s">
        <v>35</v>
      </c>
      <c r="L12" s="2" t="s">
        <v>36</v>
      </c>
      <c r="M12" t="s">
        <v>37</v>
      </c>
      <c r="N12">
        <v>0.59399999999999997</v>
      </c>
    </row>
    <row r="13" spans="1:26" ht="15" customHeight="1" x14ac:dyDescent="0.25">
      <c r="A13" s="1" t="s">
        <v>38</v>
      </c>
      <c r="B13" s="1"/>
      <c r="C13" s="1"/>
      <c r="D13" s="1"/>
      <c r="E13" s="1"/>
      <c r="F13" s="1"/>
      <c r="G13" s="1"/>
      <c r="H13" s="1"/>
      <c r="J13" s="3">
        <v>11.824999999999999</v>
      </c>
      <c r="K13" s="5">
        <f t="shared" ref="K13:K29" si="13">J13+0.01</f>
        <v>11.834999999999999</v>
      </c>
      <c r="L13" s="6">
        <f t="shared" ref="L13:L29" si="14">COUNTIFS($B$2:$F$11,"&gt;="&amp;J13,$B$2:$F$11,"&lt;"&amp;K13)</f>
        <v>0</v>
      </c>
      <c r="M13" t="s">
        <v>39</v>
      </c>
      <c r="N13">
        <v>0.377</v>
      </c>
    </row>
    <row r="14" spans="1:26" x14ac:dyDescent="0.25">
      <c r="A14" s="1"/>
      <c r="B14" s="1"/>
      <c r="C14" s="1"/>
      <c r="D14" s="1"/>
      <c r="E14" s="1"/>
      <c r="F14" s="1"/>
      <c r="G14" s="1"/>
      <c r="H14" s="1"/>
      <c r="J14" s="5">
        <f t="shared" ref="J14:J29" si="15">K13</f>
        <v>11.834999999999999</v>
      </c>
      <c r="K14" s="5">
        <f t="shared" si="13"/>
        <v>11.844999999999999</v>
      </c>
      <c r="L14" s="6">
        <f t="shared" si="14"/>
        <v>2</v>
      </c>
      <c r="M14" t="s">
        <v>40</v>
      </c>
      <c r="N14">
        <v>2.36</v>
      </c>
    </row>
    <row r="15" spans="1:26" x14ac:dyDescent="0.25">
      <c r="A15" s="1"/>
      <c r="B15" s="1"/>
      <c r="C15" s="1"/>
      <c r="D15" s="1"/>
      <c r="E15" s="1"/>
      <c r="F15" s="1"/>
      <c r="G15" s="1"/>
      <c r="H15" s="1"/>
      <c r="J15" s="5">
        <f t="shared" si="15"/>
        <v>11.844999999999999</v>
      </c>
      <c r="K15" s="5">
        <f t="shared" si="13"/>
        <v>11.854999999999999</v>
      </c>
      <c r="L15" s="6">
        <f t="shared" si="14"/>
        <v>2</v>
      </c>
      <c r="M15" t="s">
        <v>41</v>
      </c>
      <c r="N15">
        <v>1.81</v>
      </c>
    </row>
    <row r="16" spans="1:26" x14ac:dyDescent="0.25">
      <c r="A16" s="1"/>
      <c r="B16" s="1"/>
      <c r="C16" s="1"/>
      <c r="D16" s="1"/>
      <c r="E16" s="1"/>
      <c r="F16" s="1"/>
      <c r="G16" s="1"/>
      <c r="H16" s="1"/>
      <c r="J16" s="5">
        <f t="shared" si="15"/>
        <v>11.854999999999999</v>
      </c>
      <c r="K16" s="5">
        <f t="shared" si="13"/>
        <v>11.864999999999998</v>
      </c>
      <c r="L16" s="6">
        <f t="shared" si="14"/>
        <v>3</v>
      </c>
      <c r="M16" t="s">
        <v>42</v>
      </c>
      <c r="N16">
        <v>0.57699999999999996</v>
      </c>
    </row>
    <row r="17" spans="1:14" x14ac:dyDescent="0.25">
      <c r="A17" s="1"/>
      <c r="B17" s="1"/>
      <c r="C17" s="1"/>
      <c r="D17" s="1"/>
      <c r="E17" s="1"/>
      <c r="F17" s="1"/>
      <c r="G17" s="1"/>
      <c r="H17" s="1"/>
      <c r="J17" s="5">
        <f t="shared" si="15"/>
        <v>11.864999999999998</v>
      </c>
      <c r="K17" s="5">
        <f t="shared" si="13"/>
        <v>11.874999999999998</v>
      </c>
      <c r="L17" s="6">
        <f t="shared" si="14"/>
        <v>4</v>
      </c>
      <c r="M17" t="s">
        <v>43</v>
      </c>
      <c r="N17">
        <v>2.1139999999999999</v>
      </c>
    </row>
    <row r="18" spans="1:14" x14ac:dyDescent="0.25">
      <c r="J18" s="5">
        <f t="shared" si="15"/>
        <v>11.874999999999998</v>
      </c>
      <c r="K18" s="5">
        <f t="shared" si="13"/>
        <v>11.884999999999998</v>
      </c>
      <c r="L18" s="6">
        <f t="shared" si="14"/>
        <v>3</v>
      </c>
    </row>
    <row r="19" spans="1:14" x14ac:dyDescent="0.25">
      <c r="J19" s="5">
        <f t="shared" si="15"/>
        <v>11.884999999999998</v>
      </c>
      <c r="K19" s="5">
        <f t="shared" si="13"/>
        <v>11.894999999999998</v>
      </c>
      <c r="L19" s="6">
        <f t="shared" si="14"/>
        <v>4</v>
      </c>
    </row>
    <row r="20" spans="1:14" x14ac:dyDescent="0.25">
      <c r="J20" s="5">
        <f t="shared" si="15"/>
        <v>11.894999999999998</v>
      </c>
      <c r="K20" s="5">
        <f t="shared" si="13"/>
        <v>11.904999999999998</v>
      </c>
      <c r="L20" s="6">
        <f t="shared" si="14"/>
        <v>3</v>
      </c>
    </row>
    <row r="21" spans="1:14" x14ac:dyDescent="0.25">
      <c r="J21" s="5">
        <f t="shared" si="15"/>
        <v>11.904999999999998</v>
      </c>
      <c r="K21" s="5">
        <f t="shared" si="13"/>
        <v>11.914999999999997</v>
      </c>
      <c r="L21" s="6">
        <f t="shared" si="14"/>
        <v>4</v>
      </c>
    </row>
    <row r="22" spans="1:14" x14ac:dyDescent="0.25">
      <c r="J22" s="5">
        <f t="shared" si="15"/>
        <v>11.914999999999997</v>
      </c>
      <c r="K22" s="5">
        <f t="shared" si="13"/>
        <v>11.924999999999997</v>
      </c>
      <c r="L22" s="6">
        <f t="shared" si="14"/>
        <v>3</v>
      </c>
    </row>
    <row r="23" spans="1:14" x14ac:dyDescent="0.25">
      <c r="J23" s="5">
        <f t="shared" si="15"/>
        <v>11.924999999999997</v>
      </c>
      <c r="K23" s="5">
        <f t="shared" si="13"/>
        <v>11.934999999999997</v>
      </c>
      <c r="L23" s="6">
        <f t="shared" si="14"/>
        <v>2</v>
      </c>
    </row>
    <row r="24" spans="1:14" x14ac:dyDescent="0.25">
      <c r="J24" s="5">
        <f t="shared" si="15"/>
        <v>11.934999999999997</v>
      </c>
      <c r="K24" s="5">
        <f t="shared" si="13"/>
        <v>11.944999999999997</v>
      </c>
      <c r="L24" s="6">
        <f t="shared" si="14"/>
        <v>0</v>
      </c>
    </row>
    <row r="25" spans="1:14" x14ac:dyDescent="0.25">
      <c r="J25" s="5">
        <f t="shared" si="15"/>
        <v>11.944999999999997</v>
      </c>
      <c r="K25" s="5">
        <f t="shared" si="13"/>
        <v>11.954999999999997</v>
      </c>
      <c r="L25" s="6">
        <f t="shared" si="14"/>
        <v>0</v>
      </c>
    </row>
    <row r="26" spans="1:14" x14ac:dyDescent="0.25">
      <c r="J26" s="5">
        <f t="shared" si="15"/>
        <v>11.954999999999997</v>
      </c>
      <c r="K26" s="5">
        <f t="shared" si="13"/>
        <v>11.964999999999996</v>
      </c>
      <c r="L26" s="6">
        <f t="shared" si="14"/>
        <v>0</v>
      </c>
    </row>
    <row r="27" spans="1:14" x14ac:dyDescent="0.25">
      <c r="J27" s="5">
        <f t="shared" si="15"/>
        <v>11.964999999999996</v>
      </c>
      <c r="K27" s="5">
        <f t="shared" si="13"/>
        <v>11.974999999999996</v>
      </c>
      <c r="L27" s="6">
        <f t="shared" si="14"/>
        <v>0</v>
      </c>
    </row>
    <row r="28" spans="1:14" x14ac:dyDescent="0.25">
      <c r="J28" s="5">
        <f t="shared" si="15"/>
        <v>11.974999999999996</v>
      </c>
      <c r="K28" s="5">
        <f t="shared" si="13"/>
        <v>11.984999999999996</v>
      </c>
      <c r="L28" s="6">
        <f t="shared" si="14"/>
        <v>0</v>
      </c>
    </row>
    <row r="29" spans="1:14" x14ac:dyDescent="0.25">
      <c r="J29" s="5">
        <f t="shared" si="15"/>
        <v>11.984999999999996</v>
      </c>
      <c r="K29" s="5">
        <f t="shared" si="13"/>
        <v>11.994999999999996</v>
      </c>
      <c r="L29" s="6">
        <f t="shared" si="14"/>
        <v>0</v>
      </c>
    </row>
    <row r="30" spans="1:14" x14ac:dyDescent="0.25">
      <c r="K30" t="s">
        <v>44</v>
      </c>
      <c r="L30" s="6">
        <f>SUM(L13:L29)</f>
        <v>30</v>
      </c>
    </row>
  </sheetData>
  <mergeCells count="1">
    <mergeCell ref="A13:H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abSelected="1" topLeftCell="A15" zoomScaleNormal="100" workbookViewId="0"/>
  </sheetViews>
  <sheetFormatPr baseColWidth="10" defaultColWidth="8.7109375" defaultRowHeight="15" x14ac:dyDescent="0.25"/>
  <sheetData>
    <row r="1" spans="1:4" ht="29.25" x14ac:dyDescent="0.25">
      <c r="A1" s="2" t="s">
        <v>45</v>
      </c>
      <c r="B1" s="2" t="s">
        <v>46</v>
      </c>
      <c r="C1" s="2" t="s">
        <v>47</v>
      </c>
      <c r="D1" s="2" t="s">
        <v>48</v>
      </c>
    </row>
    <row r="2" spans="1:4" x14ac:dyDescent="0.25">
      <c r="A2">
        <v>1</v>
      </c>
      <c r="B2" s="5">
        <f>IF(A2&gt;Lot!$K$4,NA(),SMALL(Lot!$B$2:$F$11,A2))</f>
        <v>11.84</v>
      </c>
      <c r="C2" s="5">
        <f>IF(A2&gt;Lot!$K$4,NA(),(A2-0.5)/Lot!$K$4)</f>
        <v>1.6666666666666666E-2</v>
      </c>
      <c r="D2" s="5">
        <f>IF(A2&gt;Lot!$K$4,NA(),_xlfn.NORM.S.INV(C2))</f>
        <v>-2.128045234184984</v>
      </c>
    </row>
    <row r="3" spans="1:4" x14ac:dyDescent="0.25">
      <c r="A3">
        <v>2</v>
      </c>
      <c r="B3" s="5">
        <f>IF(A3&gt;Lot!$K$4,NA(),SMALL(Lot!$B$2:$F$11,A3))</f>
        <v>11.84</v>
      </c>
      <c r="C3" s="5">
        <f>IF(A3&gt;Lot!$K$4,NA(),(A3-0.5)/Lot!$K$4)</f>
        <v>0.05</v>
      </c>
      <c r="D3" s="5">
        <f>IF(A3&gt;Lot!$K$4,NA(),_xlfn.NORM.S.INV(C3))</f>
        <v>-1.6448536269514726</v>
      </c>
    </row>
    <row r="4" spans="1:4" x14ac:dyDescent="0.25">
      <c r="A4">
        <v>3</v>
      </c>
      <c r="B4" s="5">
        <f>IF(A4&gt;Lot!$K$4,NA(),SMALL(Lot!$B$2:$F$11,A4))</f>
        <v>11.85</v>
      </c>
      <c r="C4" s="5">
        <f>IF(A4&gt;Lot!$K$4,NA(),(A4-0.5)/Lot!$K$4)</f>
        <v>8.3333333333333329E-2</v>
      </c>
      <c r="D4" s="5">
        <f>IF(A4&gt;Lot!$K$4,NA(),_xlfn.NORM.S.INV(C4))</f>
        <v>-1.3829941271006392</v>
      </c>
    </row>
    <row r="5" spans="1:4" x14ac:dyDescent="0.25">
      <c r="A5">
        <v>4</v>
      </c>
      <c r="B5" s="5">
        <f>IF(A5&gt;Lot!$K$4,NA(),SMALL(Lot!$B$2:$F$11,A5))</f>
        <v>11.85</v>
      </c>
      <c r="C5" s="5">
        <f>IF(A5&gt;Lot!$K$4,NA(),(A5-0.5)/Lot!$K$4)</f>
        <v>0.11666666666666667</v>
      </c>
      <c r="D5" s="5">
        <f>IF(A5&gt;Lot!$K$4,NA(),_xlfn.NORM.S.INV(C5))</f>
        <v>-1.1918161716813944</v>
      </c>
    </row>
    <row r="6" spans="1:4" x14ac:dyDescent="0.25">
      <c r="A6">
        <v>5</v>
      </c>
      <c r="B6" s="5">
        <f>IF(A6&gt;Lot!$K$4,NA(),SMALL(Lot!$B$2:$F$11,A6))</f>
        <v>11.86</v>
      </c>
      <c r="C6" s="5">
        <f>IF(A6&gt;Lot!$K$4,NA(),(A6-0.5)/Lot!$K$4)</f>
        <v>0.15</v>
      </c>
      <c r="D6" s="5">
        <f>IF(A6&gt;Lot!$K$4,NA(),_xlfn.NORM.S.INV(C6))</f>
        <v>-1.0364333894937898</v>
      </c>
    </row>
    <row r="7" spans="1:4" x14ac:dyDescent="0.25">
      <c r="A7">
        <v>6</v>
      </c>
      <c r="B7" s="5">
        <f>IF(A7&gt;Lot!$K$4,NA(),SMALL(Lot!$B$2:$F$11,A7))</f>
        <v>11.86</v>
      </c>
      <c r="C7" s="5">
        <f>IF(A7&gt;Lot!$K$4,NA(),(A7-0.5)/Lot!$K$4)</f>
        <v>0.18333333333333332</v>
      </c>
      <c r="D7" s="5">
        <f>IF(A7&gt;Lot!$K$4,NA(),_xlfn.NORM.S.INV(C7))</f>
        <v>-0.90273479164386372</v>
      </c>
    </row>
    <row r="8" spans="1:4" x14ac:dyDescent="0.25">
      <c r="A8">
        <v>7</v>
      </c>
      <c r="B8" s="5">
        <f>IF(A8&gt;Lot!$K$4,NA(),SMALL(Lot!$B$2:$F$11,A8))</f>
        <v>11.86</v>
      </c>
      <c r="C8" s="5">
        <f>IF(A8&gt;Lot!$K$4,NA(),(A8-0.5)/Lot!$K$4)</f>
        <v>0.21666666666666667</v>
      </c>
      <c r="D8" s="5">
        <f>IF(A8&gt;Lot!$K$4,NA(),_xlfn.NORM.S.INV(C8))</f>
        <v>-0.78350037538977446</v>
      </c>
    </row>
    <row r="9" spans="1:4" x14ac:dyDescent="0.25">
      <c r="A9">
        <v>8</v>
      </c>
      <c r="B9" s="5">
        <f>IF(A9&gt;Lot!$K$4,NA(),SMALL(Lot!$B$2:$F$11,A9))</f>
        <v>11.87</v>
      </c>
      <c r="C9" s="5">
        <f>IF(A9&gt;Lot!$K$4,NA(),(A9-0.5)/Lot!$K$4)</f>
        <v>0.25</v>
      </c>
      <c r="D9" s="5">
        <f>IF(A9&gt;Lot!$K$4,NA(),_xlfn.NORM.S.INV(C9))</f>
        <v>-0.67448975019608193</v>
      </c>
    </row>
    <row r="10" spans="1:4" x14ac:dyDescent="0.25">
      <c r="A10">
        <v>9</v>
      </c>
      <c r="B10" s="5">
        <f>IF(A10&gt;Lot!$K$4,NA(),SMALL(Lot!$B$2:$F$11,A10))</f>
        <v>11.87</v>
      </c>
      <c r="C10" s="5">
        <f>IF(A10&gt;Lot!$K$4,NA(),(A10-0.5)/Lot!$K$4)</f>
        <v>0.28333333333333333</v>
      </c>
      <c r="D10" s="5">
        <f>IF(A10&gt;Lot!$K$4,NA(),_xlfn.NORM.S.INV(C10))</f>
        <v>-0.57296754849546372</v>
      </c>
    </row>
    <row r="11" spans="1:4" x14ac:dyDescent="0.25">
      <c r="A11">
        <v>10</v>
      </c>
      <c r="B11" s="5">
        <f>IF(A11&gt;Lot!$K$4,NA(),SMALL(Lot!$B$2:$F$11,A11))</f>
        <v>11.87</v>
      </c>
      <c r="C11" s="5">
        <f>IF(A11&gt;Lot!$K$4,NA(),(A11-0.5)/Lot!$K$4)</f>
        <v>0.31666666666666665</v>
      </c>
      <c r="D11" s="5">
        <f>IF(A11&gt;Lot!$K$4,NA(),_xlfn.NORM.S.INV(C11))</f>
        <v>-0.47704042848944361</v>
      </c>
    </row>
    <row r="12" spans="1:4" x14ac:dyDescent="0.25">
      <c r="A12">
        <v>11</v>
      </c>
      <c r="B12" s="5">
        <f>IF(A12&gt;Lot!$K$4,NA(),SMALL(Lot!$B$2:$F$11,A12))</f>
        <v>11.87</v>
      </c>
      <c r="C12" s="5">
        <f>IF(A12&gt;Lot!$K$4,NA(),(A12-0.5)/Lot!$K$4)</f>
        <v>0.35</v>
      </c>
      <c r="D12" s="5">
        <f>IF(A12&gt;Lot!$K$4,NA(),_xlfn.NORM.S.INV(C12))</f>
        <v>-0.38532046640756784</v>
      </c>
    </row>
    <row r="13" spans="1:4" x14ac:dyDescent="0.25">
      <c r="A13">
        <v>12</v>
      </c>
      <c r="B13" s="5">
        <f>IF(A13&gt;Lot!$K$4,NA(),SMALL(Lot!$B$2:$F$11,A13))</f>
        <v>11.88</v>
      </c>
      <c r="C13" s="5">
        <f>IF(A13&gt;Lot!$K$4,NA(),(A13-0.5)/Lot!$K$4)</f>
        <v>0.38333333333333336</v>
      </c>
      <c r="D13" s="5">
        <f>IF(A13&gt;Lot!$K$4,NA(),_xlfn.NORM.S.INV(C13))</f>
        <v>-0.29673783825989802</v>
      </c>
    </row>
    <row r="14" spans="1:4" x14ac:dyDescent="0.25">
      <c r="A14">
        <v>13</v>
      </c>
      <c r="B14" s="5">
        <f>IF(A14&gt;Lot!$K$4,NA(),SMALL(Lot!$B$2:$F$11,A14))</f>
        <v>11.88</v>
      </c>
      <c r="C14" s="5">
        <f>IF(A14&gt;Lot!$K$4,NA(),(A14-0.5)/Lot!$K$4)</f>
        <v>0.41666666666666669</v>
      </c>
      <c r="D14" s="5">
        <f>IF(A14&gt;Lot!$K$4,NA(),_xlfn.NORM.S.INV(C14))</f>
        <v>-0.21042839424792467</v>
      </c>
    </row>
    <row r="15" spans="1:4" x14ac:dyDescent="0.25">
      <c r="A15">
        <v>14</v>
      </c>
      <c r="B15" s="5">
        <f>IF(A15&gt;Lot!$K$4,NA(),SMALL(Lot!$B$2:$F$11,A15))</f>
        <v>11.88</v>
      </c>
      <c r="C15" s="5">
        <f>IF(A15&gt;Lot!$K$4,NA(),(A15-0.5)/Lot!$K$4)</f>
        <v>0.45</v>
      </c>
      <c r="D15" s="5">
        <f>IF(A15&gt;Lot!$K$4,NA(),_xlfn.NORM.S.INV(C15))</f>
        <v>-0.12566134685507402</v>
      </c>
    </row>
    <row r="16" spans="1:4" x14ac:dyDescent="0.25">
      <c r="A16">
        <v>15</v>
      </c>
      <c r="B16" s="5">
        <f>IF(A16&gt;Lot!$K$4,NA(),SMALL(Lot!$B$2:$F$11,A16))</f>
        <v>11.89</v>
      </c>
      <c r="C16" s="5">
        <f>IF(A16&gt;Lot!$K$4,NA(),(A16-0.5)/Lot!$K$4)</f>
        <v>0.48333333333333334</v>
      </c>
      <c r="D16" s="5">
        <f>IF(A16&gt;Lot!$K$4,NA(),_xlfn.NORM.S.INV(C16))</f>
        <v>-4.178929781645381E-2</v>
      </c>
    </row>
    <row r="17" spans="1:4" x14ac:dyDescent="0.25">
      <c r="A17">
        <v>16</v>
      </c>
      <c r="B17" s="5">
        <f>IF(A17&gt;Lot!$K$4,NA(),SMALL(Lot!$B$2:$F$11,A17))</f>
        <v>11.89</v>
      </c>
      <c r="C17" s="5">
        <f>IF(A17&gt;Lot!$K$4,NA(),(A17-0.5)/Lot!$K$4)</f>
        <v>0.51666666666666672</v>
      </c>
      <c r="D17" s="5">
        <f>IF(A17&gt;Lot!$K$4,NA(),_xlfn.NORM.S.INV(C17))</f>
        <v>4.1789297816453949E-2</v>
      </c>
    </row>
    <row r="18" spans="1:4" x14ac:dyDescent="0.25">
      <c r="A18">
        <v>17</v>
      </c>
      <c r="B18" s="5">
        <f>IF(A18&gt;Lot!$K$4,NA(),SMALL(Lot!$B$2:$F$11,A18))</f>
        <v>11.89</v>
      </c>
      <c r="C18" s="5">
        <f>IF(A18&gt;Lot!$K$4,NA(),(A18-0.5)/Lot!$K$4)</f>
        <v>0.55000000000000004</v>
      </c>
      <c r="D18" s="5">
        <f>IF(A18&gt;Lot!$K$4,NA(),_xlfn.NORM.S.INV(C18))</f>
        <v>0.12566134685507416</v>
      </c>
    </row>
    <row r="19" spans="1:4" x14ac:dyDescent="0.25">
      <c r="A19">
        <v>18</v>
      </c>
      <c r="B19" s="5">
        <f>IF(A19&gt;Lot!$K$4,NA(),SMALL(Lot!$B$2:$F$11,A19))</f>
        <v>11.89</v>
      </c>
      <c r="C19" s="5">
        <f>IF(A19&gt;Lot!$K$4,NA(),(A19-0.5)/Lot!$K$4)</f>
        <v>0.58333333333333337</v>
      </c>
      <c r="D19" s="5">
        <f>IF(A19&gt;Lot!$K$4,NA(),_xlfn.NORM.S.INV(C19))</f>
        <v>0.21042839424792484</v>
      </c>
    </row>
    <row r="20" spans="1:4" x14ac:dyDescent="0.25">
      <c r="A20">
        <v>19</v>
      </c>
      <c r="B20" s="5">
        <f>IF(A20&gt;Lot!$K$4,NA(),SMALL(Lot!$B$2:$F$11,A20))</f>
        <v>11.9</v>
      </c>
      <c r="C20" s="5">
        <f>IF(A20&gt;Lot!$K$4,NA(),(A20-0.5)/Lot!$K$4)</f>
        <v>0.6166666666666667</v>
      </c>
      <c r="D20" s="5">
        <f>IF(A20&gt;Lot!$K$4,NA(),_xlfn.NORM.S.INV(C20))</f>
        <v>0.29673783825989819</v>
      </c>
    </row>
    <row r="21" spans="1:4" x14ac:dyDescent="0.25">
      <c r="A21">
        <v>20</v>
      </c>
      <c r="B21" s="5">
        <f>IF(A21&gt;Lot!$K$4,NA(),SMALL(Lot!$B$2:$F$11,A21))</f>
        <v>11.9</v>
      </c>
      <c r="C21" s="5">
        <f>IF(A21&gt;Lot!$K$4,NA(),(A21-0.5)/Lot!$K$4)</f>
        <v>0.65</v>
      </c>
      <c r="D21" s="5">
        <f>IF(A21&gt;Lot!$K$4,NA(),_xlfn.NORM.S.INV(C21))</f>
        <v>0.38532046640756784</v>
      </c>
    </row>
    <row r="22" spans="1:4" x14ac:dyDescent="0.25">
      <c r="A22">
        <v>21</v>
      </c>
      <c r="B22" s="5">
        <f>IF(A22&gt;Lot!$K$4,NA(),SMALL(Lot!$B$2:$F$11,A22))</f>
        <v>11.9</v>
      </c>
      <c r="C22" s="5">
        <f>IF(A22&gt;Lot!$K$4,NA(),(A22-0.5)/Lot!$K$4)</f>
        <v>0.68333333333333335</v>
      </c>
      <c r="D22" s="5">
        <f>IF(A22&gt;Lot!$K$4,NA(),_xlfn.NORM.S.INV(C22))</f>
        <v>0.47704042848944361</v>
      </c>
    </row>
    <row r="23" spans="1:4" x14ac:dyDescent="0.25">
      <c r="A23">
        <v>22</v>
      </c>
      <c r="B23" s="5">
        <f>IF(A23&gt;Lot!$K$4,NA(),SMALL(Lot!$B$2:$F$11,A23))</f>
        <v>11.91</v>
      </c>
      <c r="C23" s="5">
        <f>IF(A23&gt;Lot!$K$4,NA(),(A23-0.5)/Lot!$K$4)</f>
        <v>0.71666666666666667</v>
      </c>
      <c r="D23" s="5">
        <f>IF(A23&gt;Lot!$K$4,NA(),_xlfn.NORM.S.INV(C23))</f>
        <v>0.57296754849546372</v>
      </c>
    </row>
    <row r="24" spans="1:4" x14ac:dyDescent="0.25">
      <c r="A24">
        <v>23</v>
      </c>
      <c r="B24" s="5">
        <f>IF(A24&gt;Lot!$K$4,NA(),SMALL(Lot!$B$2:$F$11,A24))</f>
        <v>11.91</v>
      </c>
      <c r="C24" s="5">
        <f>IF(A24&gt;Lot!$K$4,NA(),(A24-0.5)/Lot!$K$4)</f>
        <v>0.75</v>
      </c>
      <c r="D24" s="5">
        <f>IF(A24&gt;Lot!$K$4,NA(),_xlfn.NORM.S.INV(C24))</f>
        <v>0.67448975019608193</v>
      </c>
    </row>
    <row r="25" spans="1:4" x14ac:dyDescent="0.25">
      <c r="A25">
        <v>24</v>
      </c>
      <c r="B25" s="5">
        <f>IF(A25&gt;Lot!$K$4,NA(),SMALL(Lot!$B$2:$F$11,A25))</f>
        <v>11.91</v>
      </c>
      <c r="C25" s="5">
        <f>IF(A25&gt;Lot!$K$4,NA(),(A25-0.5)/Lot!$K$4)</f>
        <v>0.78333333333333333</v>
      </c>
      <c r="D25" s="5">
        <f>IF(A25&gt;Lot!$K$4,NA(),_xlfn.NORM.S.INV(C25))</f>
        <v>0.78350037538977446</v>
      </c>
    </row>
    <row r="26" spans="1:4" x14ac:dyDescent="0.25">
      <c r="A26">
        <v>25</v>
      </c>
      <c r="B26" s="5">
        <f>IF(A26&gt;Lot!$K$4,NA(),SMALL(Lot!$B$2:$F$11,A26))</f>
        <v>11.91</v>
      </c>
      <c r="C26" s="5">
        <f>IF(A26&gt;Lot!$K$4,NA(),(A26-0.5)/Lot!$K$4)</f>
        <v>0.81666666666666665</v>
      </c>
      <c r="D26" s="5">
        <f>IF(A26&gt;Lot!$K$4,NA(),_xlfn.NORM.S.INV(C26))</f>
        <v>0.90273479164386372</v>
      </c>
    </row>
    <row r="27" spans="1:4" x14ac:dyDescent="0.25">
      <c r="A27">
        <v>26</v>
      </c>
      <c r="B27" s="5">
        <f>IF(A27&gt;Lot!$K$4,NA(),SMALL(Lot!$B$2:$F$11,A27))</f>
        <v>11.92</v>
      </c>
      <c r="C27" s="5">
        <f>IF(A27&gt;Lot!$K$4,NA(),(A27-0.5)/Lot!$K$4)</f>
        <v>0.85</v>
      </c>
      <c r="D27" s="5">
        <f>IF(A27&gt;Lot!$K$4,NA(),_xlfn.NORM.S.INV(C27))</f>
        <v>1.0364333894937898</v>
      </c>
    </row>
    <row r="28" spans="1:4" x14ac:dyDescent="0.25">
      <c r="A28">
        <v>27</v>
      </c>
      <c r="B28" s="5">
        <f>IF(A28&gt;Lot!$K$4,NA(),SMALL(Lot!$B$2:$F$11,A28))</f>
        <v>11.92</v>
      </c>
      <c r="C28" s="5">
        <f>IF(A28&gt;Lot!$K$4,NA(),(A28-0.5)/Lot!$K$4)</f>
        <v>0.8833333333333333</v>
      </c>
      <c r="D28" s="5">
        <f>IF(A28&gt;Lot!$K$4,NA(),_xlfn.NORM.S.INV(C28))</f>
        <v>1.1918161716813944</v>
      </c>
    </row>
    <row r="29" spans="1:4" x14ac:dyDescent="0.25">
      <c r="A29">
        <v>28</v>
      </c>
      <c r="B29" s="5">
        <f>IF(A29&gt;Lot!$K$4,NA(),SMALL(Lot!$B$2:$F$11,A29))</f>
        <v>11.92</v>
      </c>
      <c r="C29" s="5">
        <f>IF(A29&gt;Lot!$K$4,NA(),(A29-0.5)/Lot!$K$4)</f>
        <v>0.91666666666666663</v>
      </c>
      <c r="D29" s="5">
        <f>IF(A29&gt;Lot!$K$4,NA(),_xlfn.NORM.S.INV(C29))</f>
        <v>1.3829941271006372</v>
      </c>
    </row>
    <row r="30" spans="1:4" x14ac:dyDescent="0.25">
      <c r="A30">
        <v>29</v>
      </c>
      <c r="B30" s="5">
        <f>IF(A30&gt;Lot!$K$4,NA(),SMALL(Lot!$B$2:$F$11,A30))</f>
        <v>11.93</v>
      </c>
      <c r="C30" s="5">
        <f>IF(A30&gt;Lot!$K$4,NA(),(A30-0.5)/Lot!$K$4)</f>
        <v>0.95</v>
      </c>
      <c r="D30" s="5">
        <f>IF(A30&gt;Lot!$K$4,NA(),_xlfn.NORM.S.INV(C30))</f>
        <v>1.6448536269514715</v>
      </c>
    </row>
    <row r="31" spans="1:4" x14ac:dyDescent="0.25">
      <c r="A31">
        <v>30</v>
      </c>
      <c r="B31" s="5">
        <f>IF(A31&gt;Lot!$K$4,NA(),SMALL(Lot!$B$2:$F$11,A31))</f>
        <v>11.93</v>
      </c>
      <c r="C31" s="5">
        <f>IF(A31&gt;Lot!$K$4,NA(),(A31-0.5)/Lot!$K$4)</f>
        <v>0.98333333333333328</v>
      </c>
      <c r="D31" s="5">
        <f>IF(A31&gt;Lot!$K$4,NA(),_xlfn.NORM.S.INV(C31))</f>
        <v>2.128045234184984</v>
      </c>
    </row>
    <row r="32" spans="1:4" x14ac:dyDescent="0.25">
      <c r="A32">
        <v>31</v>
      </c>
      <c r="B32" s="5" t="e">
        <f>IF(A32&gt;Lot!$K$4,NA(),SMALL(Lot!$B$2:$F$11,A32))</f>
        <v>#N/A</v>
      </c>
      <c r="C32" s="5" t="e">
        <f>IF(A32&gt;Lot!$K$4,NA(),(A32-0.5)/Lot!$K$4)</f>
        <v>#N/A</v>
      </c>
      <c r="D32" s="5" t="e">
        <f>IF(A32&gt;Lot!$K$4,NA(),_xlfn.NORM.S.INV(C32))</f>
        <v>#N/A</v>
      </c>
    </row>
    <row r="33" spans="1:4" x14ac:dyDescent="0.25">
      <c r="A33">
        <v>32</v>
      </c>
      <c r="B33" s="5" t="e">
        <f>IF(A33&gt;Lot!$K$4,NA(),SMALL(Lot!$B$2:$F$11,A33))</f>
        <v>#N/A</v>
      </c>
      <c r="C33" s="5" t="e">
        <f>IF(A33&gt;Lot!$K$4,NA(),(A33-0.5)/Lot!$K$4)</f>
        <v>#N/A</v>
      </c>
      <c r="D33" s="5" t="e">
        <f>IF(A33&gt;Lot!$K$4,NA(),_xlfn.NORM.S.INV(C33))</f>
        <v>#N/A</v>
      </c>
    </row>
    <row r="34" spans="1:4" x14ac:dyDescent="0.25">
      <c r="A34">
        <v>33</v>
      </c>
      <c r="B34" s="5" t="e">
        <f>IF(A34&gt;Lot!$K$4,NA(),SMALL(Lot!$B$2:$F$11,A34))</f>
        <v>#N/A</v>
      </c>
      <c r="C34" s="5" t="e">
        <f>IF(A34&gt;Lot!$K$4,NA(),(A34-0.5)/Lot!$K$4)</f>
        <v>#N/A</v>
      </c>
      <c r="D34" s="5" t="e">
        <f>IF(A34&gt;Lot!$K$4,NA(),_xlfn.NORM.S.INV(C34))</f>
        <v>#N/A</v>
      </c>
    </row>
    <row r="35" spans="1:4" x14ac:dyDescent="0.25">
      <c r="A35">
        <v>34</v>
      </c>
      <c r="B35" s="5" t="e">
        <f>IF(A35&gt;Lot!$K$4,NA(),SMALL(Lot!$B$2:$F$11,A35))</f>
        <v>#N/A</v>
      </c>
      <c r="C35" s="5" t="e">
        <f>IF(A35&gt;Lot!$K$4,NA(),(A35-0.5)/Lot!$K$4)</f>
        <v>#N/A</v>
      </c>
      <c r="D35" s="5" t="e">
        <f>IF(A35&gt;Lot!$K$4,NA(),_xlfn.NORM.S.INV(C35))</f>
        <v>#N/A</v>
      </c>
    </row>
    <row r="36" spans="1:4" x14ac:dyDescent="0.25">
      <c r="A36">
        <v>35</v>
      </c>
      <c r="B36" s="5" t="e">
        <f>IF(A36&gt;Lot!$K$4,NA(),SMALL(Lot!$B$2:$F$11,A36))</f>
        <v>#N/A</v>
      </c>
      <c r="C36" s="5" t="e">
        <f>IF(A36&gt;Lot!$K$4,NA(),(A36-0.5)/Lot!$K$4)</f>
        <v>#N/A</v>
      </c>
      <c r="D36" s="5" t="e">
        <f>IF(A36&gt;Lot!$K$4,NA(),_xlfn.NORM.S.INV(C36))</f>
        <v>#N/A</v>
      </c>
    </row>
    <row r="37" spans="1:4" x14ac:dyDescent="0.25">
      <c r="A37">
        <v>36</v>
      </c>
      <c r="B37" s="5" t="e">
        <f>IF(A37&gt;Lot!$K$4,NA(),SMALL(Lot!$B$2:$F$11,A37))</f>
        <v>#N/A</v>
      </c>
      <c r="C37" s="5" t="e">
        <f>IF(A37&gt;Lot!$K$4,NA(),(A37-0.5)/Lot!$K$4)</f>
        <v>#N/A</v>
      </c>
      <c r="D37" s="5" t="e">
        <f>IF(A37&gt;Lot!$K$4,NA(),_xlfn.NORM.S.INV(C37))</f>
        <v>#N/A</v>
      </c>
    </row>
    <row r="38" spans="1:4" x14ac:dyDescent="0.25">
      <c r="A38">
        <v>37</v>
      </c>
      <c r="B38" s="5" t="e">
        <f>IF(A38&gt;Lot!$K$4,NA(),SMALL(Lot!$B$2:$F$11,A38))</f>
        <v>#N/A</v>
      </c>
      <c r="C38" s="5" t="e">
        <f>IF(A38&gt;Lot!$K$4,NA(),(A38-0.5)/Lot!$K$4)</f>
        <v>#N/A</v>
      </c>
      <c r="D38" s="5" t="e">
        <f>IF(A38&gt;Lot!$K$4,NA(),_xlfn.NORM.S.INV(C38))</f>
        <v>#N/A</v>
      </c>
    </row>
    <row r="39" spans="1:4" x14ac:dyDescent="0.25">
      <c r="A39">
        <v>38</v>
      </c>
      <c r="B39" s="5" t="e">
        <f>IF(A39&gt;Lot!$K$4,NA(),SMALL(Lot!$B$2:$F$11,A39))</f>
        <v>#N/A</v>
      </c>
      <c r="C39" s="5" t="e">
        <f>IF(A39&gt;Lot!$K$4,NA(),(A39-0.5)/Lot!$K$4)</f>
        <v>#N/A</v>
      </c>
      <c r="D39" s="5" t="e">
        <f>IF(A39&gt;Lot!$K$4,NA(),_xlfn.NORM.S.INV(C39))</f>
        <v>#N/A</v>
      </c>
    </row>
    <row r="40" spans="1:4" x14ac:dyDescent="0.25">
      <c r="A40">
        <v>39</v>
      </c>
      <c r="B40" s="5" t="e">
        <f>IF(A40&gt;Lot!$K$4,NA(),SMALL(Lot!$B$2:$F$11,A40))</f>
        <v>#N/A</v>
      </c>
      <c r="C40" s="5" t="e">
        <f>IF(A40&gt;Lot!$K$4,NA(),(A40-0.5)/Lot!$K$4)</f>
        <v>#N/A</v>
      </c>
      <c r="D40" s="5" t="e">
        <f>IF(A40&gt;Lot!$K$4,NA(),_xlfn.NORM.S.INV(C40))</f>
        <v>#N/A</v>
      </c>
    </row>
    <row r="41" spans="1:4" x14ac:dyDescent="0.25">
      <c r="A41">
        <v>40</v>
      </c>
      <c r="B41" s="5" t="e">
        <f>IF(A41&gt;Lot!$K$4,NA(),SMALL(Lot!$B$2:$F$11,A41))</f>
        <v>#N/A</v>
      </c>
      <c r="C41" s="5" t="e">
        <f>IF(A41&gt;Lot!$K$4,NA(),(A41-0.5)/Lot!$K$4)</f>
        <v>#N/A</v>
      </c>
      <c r="D41" s="5" t="e">
        <f>IF(A41&gt;Lot!$K$4,NA(),_xlfn.NORM.S.INV(C41))</f>
        <v>#N/A</v>
      </c>
    </row>
    <row r="42" spans="1:4" x14ac:dyDescent="0.25">
      <c r="A42">
        <v>41</v>
      </c>
      <c r="B42" s="5" t="e">
        <f>IF(A42&gt;Lot!$K$4,NA(),SMALL(Lot!$B$2:$F$11,A42))</f>
        <v>#N/A</v>
      </c>
      <c r="C42" s="5" t="e">
        <f>IF(A42&gt;Lot!$K$4,NA(),(A42-0.5)/Lot!$K$4)</f>
        <v>#N/A</v>
      </c>
      <c r="D42" s="5" t="e">
        <f>IF(A42&gt;Lot!$K$4,NA(),_xlfn.NORM.S.INV(C42))</f>
        <v>#N/A</v>
      </c>
    </row>
    <row r="43" spans="1:4" x14ac:dyDescent="0.25">
      <c r="A43">
        <v>42</v>
      </c>
      <c r="B43" s="5" t="e">
        <f>IF(A43&gt;Lot!$K$4,NA(),SMALL(Lot!$B$2:$F$11,A43))</f>
        <v>#N/A</v>
      </c>
      <c r="C43" s="5" t="e">
        <f>IF(A43&gt;Lot!$K$4,NA(),(A43-0.5)/Lot!$K$4)</f>
        <v>#N/A</v>
      </c>
      <c r="D43" s="5" t="e">
        <f>IF(A43&gt;Lot!$K$4,NA(),_xlfn.NORM.S.INV(C43))</f>
        <v>#N/A</v>
      </c>
    </row>
    <row r="44" spans="1:4" x14ac:dyDescent="0.25">
      <c r="A44">
        <v>43</v>
      </c>
      <c r="B44" s="5" t="e">
        <f>IF(A44&gt;Lot!$K$4,NA(),SMALL(Lot!$B$2:$F$11,A44))</f>
        <v>#N/A</v>
      </c>
      <c r="C44" s="5" t="e">
        <f>IF(A44&gt;Lot!$K$4,NA(),(A44-0.5)/Lot!$K$4)</f>
        <v>#N/A</v>
      </c>
      <c r="D44" s="5" t="e">
        <f>IF(A44&gt;Lot!$K$4,NA(),_xlfn.NORM.S.INV(C44))</f>
        <v>#N/A</v>
      </c>
    </row>
    <row r="45" spans="1:4" x14ac:dyDescent="0.25">
      <c r="A45">
        <v>44</v>
      </c>
      <c r="B45" s="5" t="e">
        <f>IF(A45&gt;Lot!$K$4,NA(),SMALL(Lot!$B$2:$F$11,A45))</f>
        <v>#N/A</v>
      </c>
      <c r="C45" s="5" t="e">
        <f>IF(A45&gt;Lot!$K$4,NA(),(A45-0.5)/Lot!$K$4)</f>
        <v>#N/A</v>
      </c>
      <c r="D45" s="5" t="e">
        <f>IF(A45&gt;Lot!$K$4,NA(),_xlfn.NORM.S.INV(C45))</f>
        <v>#N/A</v>
      </c>
    </row>
    <row r="46" spans="1:4" x14ac:dyDescent="0.25">
      <c r="A46">
        <v>45</v>
      </c>
      <c r="B46" s="5" t="e">
        <f>IF(A46&gt;Lot!$K$4,NA(),SMALL(Lot!$B$2:$F$11,A46))</f>
        <v>#N/A</v>
      </c>
      <c r="C46" s="5" t="e">
        <f>IF(A46&gt;Lot!$K$4,NA(),(A46-0.5)/Lot!$K$4)</f>
        <v>#N/A</v>
      </c>
      <c r="D46" s="5" t="e">
        <f>IF(A46&gt;Lot!$K$4,NA(),_xlfn.NORM.S.INV(C46))</f>
        <v>#N/A</v>
      </c>
    </row>
    <row r="47" spans="1:4" x14ac:dyDescent="0.25">
      <c r="A47">
        <v>46</v>
      </c>
      <c r="B47" s="5" t="e">
        <f>IF(A47&gt;Lot!$K$4,NA(),SMALL(Lot!$B$2:$F$11,A47))</f>
        <v>#N/A</v>
      </c>
      <c r="C47" s="5" t="e">
        <f>IF(A47&gt;Lot!$K$4,NA(),(A47-0.5)/Lot!$K$4)</f>
        <v>#N/A</v>
      </c>
      <c r="D47" s="5" t="e">
        <f>IF(A47&gt;Lot!$K$4,NA(),_xlfn.NORM.S.INV(C47))</f>
        <v>#N/A</v>
      </c>
    </row>
    <row r="48" spans="1:4" x14ac:dyDescent="0.25">
      <c r="A48">
        <v>47</v>
      </c>
      <c r="B48" s="5" t="e">
        <f>IF(A48&gt;Lot!$K$4,NA(),SMALL(Lot!$B$2:$F$11,A48))</f>
        <v>#N/A</v>
      </c>
      <c r="C48" s="5" t="e">
        <f>IF(A48&gt;Lot!$K$4,NA(),(A48-0.5)/Lot!$K$4)</f>
        <v>#N/A</v>
      </c>
      <c r="D48" s="5" t="e">
        <f>IF(A48&gt;Lot!$K$4,NA(),_xlfn.NORM.S.INV(C48))</f>
        <v>#N/A</v>
      </c>
    </row>
    <row r="49" spans="1:4" x14ac:dyDescent="0.25">
      <c r="A49">
        <v>48</v>
      </c>
      <c r="B49" s="5" t="e">
        <f>IF(A49&gt;Lot!$K$4,NA(),SMALL(Lot!$B$2:$F$11,A49))</f>
        <v>#N/A</v>
      </c>
      <c r="C49" s="5" t="e">
        <f>IF(A49&gt;Lot!$K$4,NA(),(A49-0.5)/Lot!$K$4)</f>
        <v>#N/A</v>
      </c>
      <c r="D49" s="5" t="e">
        <f>IF(A49&gt;Lot!$K$4,NA(),_xlfn.NORM.S.INV(C49))</f>
        <v>#N/A</v>
      </c>
    </row>
    <row r="50" spans="1:4" x14ac:dyDescent="0.25">
      <c r="A50">
        <v>49</v>
      </c>
      <c r="B50" s="5" t="e">
        <f>IF(A50&gt;Lot!$K$4,NA(),SMALL(Lot!$B$2:$F$11,A50))</f>
        <v>#N/A</v>
      </c>
      <c r="C50" s="5" t="e">
        <f>IF(A50&gt;Lot!$K$4,NA(),(A50-0.5)/Lot!$K$4)</f>
        <v>#N/A</v>
      </c>
      <c r="D50" s="5" t="e">
        <f>IF(A50&gt;Lot!$K$4,NA(),_xlfn.NORM.S.INV(C50))</f>
        <v>#N/A</v>
      </c>
    </row>
    <row r="51" spans="1:4" x14ac:dyDescent="0.25">
      <c r="A51">
        <v>50</v>
      </c>
      <c r="B51" s="5" t="e">
        <f>IF(A51&gt;Lot!$K$4,NA(),SMALL(Lot!$B$2:$F$11,A51))</f>
        <v>#N/A</v>
      </c>
      <c r="C51" s="5" t="e">
        <f>IF(A51&gt;Lot!$K$4,NA(),(A51-0.5)/Lot!$K$4)</f>
        <v>#N/A</v>
      </c>
      <c r="D51" s="5" t="e">
        <f>IF(A51&gt;Lot!$K$4,NA(),_xlfn.NORM.S.INV(C51))</f>
        <v>#N/A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Lot</vt:lpstr>
      <vt:lpstr>Henry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Stéphane JAUBERT</cp:lastModifiedBy>
  <cp:revision>1</cp:revision>
  <dcterms:created xsi:type="dcterms:W3CDTF">2026-10-02T05:50:20Z</dcterms:created>
  <dcterms:modified xsi:type="dcterms:W3CDTF">2026-10-28T08:21:44Z</dcterms:modified>
  <dc:language>en-US</dc:language>
</cp:coreProperties>
</file>