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t" sheetId="1" state="visible" r:id="rId3"/>
    <sheet name="Hen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<sst xmlns="http://schemas.openxmlformats.org/spreadsheetml/2006/main" count="51" uniqueCount="49">
  <si>
    <t xml:space="preserve">Echantillon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</si>
  <si>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</si>
  <si>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</si>
  <si>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</si>
  <si>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</si>
  <si>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</si>
  <si>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Moyenne</t>
  </si>
  <si>
    <t xml:space="preserve">Etendue</t>
  </si>
  <si>
    <t xml:space="preserve">LC</t>
  </si>
  <si>
    <t xml:space="preserve">LCS AFNOR</t>
  </si>
  <si>
    <t xml:space="preserve">LCI AFNOR</t>
  </si>
  <si>
    <t xml:space="preserve">LSS AFNOR</t>
  </si>
  <si>
    <t xml:space="preserve">LSI AFNOR</t>
  </si>
  <si>
    <t xml:space="preserve">LCS 3σ</t>
  </si>
  <si>
    <t xml:space="preserve">LCI 3σ</t>
  </si>
  <si>
    <t xml:space="preserve">R barre</t>
  </si>
  <si>
    <t xml:space="preserve">LC2 AFNOR</t>
  </si>
  <si>
    <t xml:space="preserve">LS2 AFNOR</t>
  </si>
  <si>
    <t xml:space="preserve">LCS R 3σ</t>
  </si>
  <si>
    <t xml:space="preserve">TI</t>
  </si>
  <si>
    <t xml:space="preserve">X double barre</t>
  </si>
  <si>
    <t xml:space="preserve">TS</t>
  </si>
  <si>
    <t xml:space="preserve">Nombre de mesures</t>
  </si>
  <si>
    <t xml:space="preserve">d2 (n = 5)</t>
  </si>
  <si>
    <t xml:space="preserve">σ instantané</t>
  </si>
  <si>
    <t xml:space="preserve">Écart-type s</t>
  </si>
  <si>
    <t xml:space="preserve">Cp</t>
  </si>
  <si>
    <t xml:space="preserve">Plus petite</t>
  </si>
  <si>
    <t xml:space="preserve">Cpk</t>
  </si>
  <si>
    <t xml:space="preserve">Plus grande</t>
  </si>
  <si>
    <t xml:space="preserve">Pp</t>
  </si>
  <si>
    <t xml:space="preserve">6 s</t>
  </si>
  <si>
    <t xml:space="preserve">Ppk</t>
  </si>
  <si>
    <t xml:space="preserve">Coefficients n = 5</t>
  </si>
  <si>
    <t xml:space="preserve">Borne basse</t>
  </si>
  <si>
    <t xml:space="preserve">Borne haute</t>
  </si>
  <si>
    <t xml:space="preserve">Effectif</t>
  </si>
  <si>
    <t xml:space="preserve">A'c</t>
  </si>
  <si>
    <t xml:space="preserve">Corrigé formateur. Lignes 8 à 11 (orange) : saisir les mesures des butées 1 à 20 du jour. Tant qu'une ligne est incomplète, ses moyenne et étendue affichent #N/A, ignorées par les calculs (AGREGAT).</t>
  </si>
  <si>
    <t xml:space="preserve">A's</t>
  </si>
  <si>
    <t xml:space="preserve">D'c2</t>
  </si>
  <si>
    <t xml:space="preserve">D's2</t>
  </si>
  <si>
    <t xml:space="preserve">A2</t>
  </si>
  <si>
    <t xml:space="preserve">D4</t>
  </si>
  <si>
    <t xml:space="preserve">Total</t>
  </si>
  <si>
    <t xml:space="preserve">Rang</t>
  </si>
  <si>
    <t xml:space="preserve">Valeur triée</t>
  </si>
  <si>
    <t xml:space="preserve">Fréquence</t>
  </si>
  <si>
    <t xml:space="preserve">z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</si>
</sst>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00"/>
    <numFmt numFmtId="167" formatCode="0"/>
    <numFmt numFmtId="168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1F4E9E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E75B6"/>
        <bgColor rgb="FF4F81BD"/>
      </patternFill>
    </fill>
    <fill>
      <patternFill patternType="solid">
        <fgColor rgb="FFFFF4E5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4F81BD"/>
      <rgbColor rgb="FF878787"/>
      <rgbColor rgb="FF1F3864"/>
      <rgbColor rgb="FF2E7D32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Carte X barre (AFNOR et 3 sigmas)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Lot!G1</c:f>
              <c:strCache>
                <c:ptCount val="1"/>
                <c:pt idx="0">
                  <c:v>Moyenne</c:v>
                </c:pt>
              </c:strCache>
            </c:strRef>
          </c:tx>
          <c:spPr>
            <a:solidFill>
              <a:srgbClr val="1f3864"/>
            </a:solidFill>
            <a:ln w="19080">
              <a:solidFill>
                <a:srgbClr val="1f3864"/>
              </a:solidFill>
              <a:round/>
            </a:ln>
          </c:spPr>
          <c:marker>
            <c:symbol val="circle"/>
            <c:size val="6"/>
            <c:spPr>
              <a:solidFill>
                <a:srgbClr val="1f386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Lot!$G$2:$G$11</c:f>
              <c:numCache>
                <c:formatCode>0.0000</c:formatCode>
                <c:ptCount val="10"/>
                <c:pt idx="0">
                  <c:v>11.864</c:v>
                </c:pt>
                <c:pt idx="1">
                  <c:v>11.862</c:v>
                </c:pt>
                <c:pt idx="2">
                  <c:v>11.884</c:v>
                </c:pt>
                <c:pt idx="3">
                  <c:v>11.898</c:v>
                </c:pt>
                <c:pt idx="4">
                  <c:v>11.91</c:v>
                </c:pt>
                <c:pt idx="5">
                  <c:v>11.902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Lot!P1</c:f>
              <c:strCache>
                <c:ptCount val="1"/>
                <c:pt idx="0">
                  <c:v>LC</c:v>
                </c:pt>
              </c:strCache>
            </c:strRef>
          </c:tx>
          <c:spPr>
            <a:solidFill>
              <a:srgbClr val="1f3864"/>
            </a:solidFill>
            <a:ln w="15840">
              <a:solidFill>
                <a:srgbClr val="1f386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Lot!$P$2:$P$11</c:f>
              <c:numCache>
                <c:formatCode>0.0000</c:formatCode>
                <c:ptCount val="10"/>
                <c:pt idx="0">
                  <c:v>11.8866666666667</c:v>
                </c:pt>
                <c:pt idx="1">
                  <c:v>11.8866666666667</c:v>
                </c:pt>
                <c:pt idx="2">
                  <c:v>11.8866666666667</c:v>
                </c:pt>
                <c:pt idx="3">
                  <c:v>11.8866666666667</c:v>
                </c:pt>
                <c:pt idx="4">
                  <c:v>11.8866666666667</c:v>
                </c:pt>
                <c:pt idx="5">
                  <c:v>11.8866666666667</c:v>
                </c:pt>
                <c:pt idx="6">
                  <c:v>11.8866666666667</c:v>
                </c:pt>
                <c:pt idx="7">
                  <c:v>11.8866666666667</c:v>
                </c:pt>
                <c:pt idx="8">
                  <c:v>11.8866666666667</c:v>
                </c:pt>
                <c:pt idx="9">
                  <c:v>11.8866666666667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Lot!Q1</c:f>
              <c:strCache>
                <c:ptCount val="1"/>
                <c:pt idx="0">
                  <c:v>LCS AFNOR</c:v>
                </c:pt>
              </c:strCache>
            </c:strRef>
          </c:tx>
          <c:spPr>
            <a:solidFill>
              <a:srgbClr val="c00000"/>
            </a:solidFill>
            <a:ln w="1584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Lot!$Q$2:$Q$11</c:f>
              <c:numCache>
                <c:formatCode>0.0000</c:formatCode>
                <c:ptCount val="10"/>
                <c:pt idx="0">
                  <c:v>11.9163666666667</c:v>
                </c:pt>
                <c:pt idx="1">
                  <c:v>11.9163666666667</c:v>
                </c:pt>
                <c:pt idx="2">
                  <c:v>11.9163666666667</c:v>
                </c:pt>
                <c:pt idx="3">
                  <c:v>11.9163666666667</c:v>
                </c:pt>
                <c:pt idx="4">
                  <c:v>11.9163666666667</c:v>
                </c:pt>
                <c:pt idx="5">
                  <c:v>11.9163666666667</c:v>
                </c:pt>
                <c:pt idx="6">
                  <c:v>11.9163666666667</c:v>
                </c:pt>
                <c:pt idx="7">
                  <c:v>11.9163666666667</c:v>
                </c:pt>
                <c:pt idx="8">
                  <c:v>11.9163666666667</c:v>
                </c:pt>
                <c:pt idx="9">
                  <c:v>11.9163666666667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Lot!R1</c:f>
              <c:strCache>
                <c:ptCount val="1"/>
                <c:pt idx="0">
                  <c:v>LCI AFNOR</c:v>
                </c:pt>
              </c:strCache>
            </c:strRef>
          </c:tx>
          <c:spPr>
            <a:solidFill>
              <a:srgbClr val="c00000"/>
            </a:solidFill>
            <a:ln w="1584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Lot!$R$2:$R$11</c:f>
              <c:numCache>
                <c:formatCode>0.0000</c:formatCode>
                <c:ptCount val="10"/>
                <c:pt idx="0">
                  <c:v>11.8569666666667</c:v>
                </c:pt>
                <c:pt idx="1">
                  <c:v>11.8569666666667</c:v>
                </c:pt>
                <c:pt idx="2">
                  <c:v>11.8569666666667</c:v>
                </c:pt>
                <c:pt idx="3">
                  <c:v>11.8569666666667</c:v>
                </c:pt>
                <c:pt idx="4">
                  <c:v>11.8569666666667</c:v>
                </c:pt>
                <c:pt idx="5">
                  <c:v>11.8569666666667</c:v>
                </c:pt>
                <c:pt idx="6">
                  <c:v>11.8569666666667</c:v>
                </c:pt>
                <c:pt idx="7">
                  <c:v>11.8569666666667</c:v>
                </c:pt>
                <c:pt idx="8">
                  <c:v>11.8569666666667</c:v>
                </c:pt>
                <c:pt idx="9">
                  <c:v>11.8569666666667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Lot!S1</c:f>
              <c:strCache>
                <c:ptCount val="1"/>
                <c:pt idx="0">
                  <c:v>LSS AFNOR</c:v>
                </c:pt>
              </c:strCache>
            </c:strRef>
          </c:tx>
          <c:spPr>
            <a:solidFill>
              <a:srgbClr val="2e7d32"/>
            </a:solidFill>
            <a:ln w="15840">
              <a:solidFill>
                <a:srgbClr val="2e7d32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Lot!$S$2:$S$11</c:f>
              <c:numCache>
                <c:formatCode>0.0000</c:formatCode>
                <c:ptCount val="10"/>
                <c:pt idx="0">
                  <c:v>11.9055166666667</c:v>
                </c:pt>
                <c:pt idx="1">
                  <c:v>11.9055166666667</c:v>
                </c:pt>
                <c:pt idx="2">
                  <c:v>11.9055166666667</c:v>
                </c:pt>
                <c:pt idx="3">
                  <c:v>11.9055166666667</c:v>
                </c:pt>
                <c:pt idx="4">
                  <c:v>11.9055166666667</c:v>
                </c:pt>
                <c:pt idx="5">
                  <c:v>11.9055166666667</c:v>
                </c:pt>
                <c:pt idx="6">
                  <c:v>11.9055166666667</c:v>
                </c:pt>
                <c:pt idx="7">
                  <c:v>11.9055166666667</c:v>
                </c:pt>
                <c:pt idx="8">
                  <c:v>11.9055166666667</c:v>
                </c:pt>
                <c:pt idx="9">
                  <c:v>11.9055166666667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Lot!T1</c:f>
              <c:strCache>
                <c:ptCount val="1"/>
                <c:pt idx="0">
                  <c:v>LSI AFNOR</c:v>
                </c:pt>
              </c:strCache>
            </c:strRef>
          </c:tx>
          <c:spPr>
            <a:solidFill>
              <a:srgbClr val="2e7d32"/>
            </a:solidFill>
            <a:ln w="15840">
              <a:solidFill>
                <a:srgbClr val="2e7d32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Lot!$T$2:$T$11</c:f>
              <c:numCache>
                <c:formatCode>0.0000</c:formatCode>
                <c:ptCount val="10"/>
                <c:pt idx="0">
                  <c:v>11.8678166666667</c:v>
                </c:pt>
                <c:pt idx="1">
                  <c:v>11.8678166666667</c:v>
                </c:pt>
                <c:pt idx="2">
                  <c:v>11.8678166666667</c:v>
                </c:pt>
                <c:pt idx="3">
                  <c:v>11.8678166666667</c:v>
                </c:pt>
                <c:pt idx="4">
                  <c:v>11.8678166666667</c:v>
                </c:pt>
                <c:pt idx="5">
                  <c:v>11.8678166666667</c:v>
                </c:pt>
                <c:pt idx="6">
                  <c:v>11.8678166666667</c:v>
                </c:pt>
                <c:pt idx="7">
                  <c:v>11.8678166666667</c:v>
                </c:pt>
                <c:pt idx="8">
                  <c:v>11.8678166666667</c:v>
                </c:pt>
                <c:pt idx="9">
                  <c:v>11.8678166666667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Lot!U1</c:f>
              <c:strCache>
                <c:ptCount val="1"/>
                <c:pt idx="0">
                  <c:v>LCS 3σ</c:v>
                </c:pt>
              </c:strCache>
            </c:strRef>
          </c:tx>
          <c:spPr>
            <a:solidFill>
              <a:srgbClr val="808080"/>
            </a:solidFill>
            <a:ln w="158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Lot!$U$2:$U$11</c:f>
              <c:numCache>
                <c:formatCode>0.0000</c:formatCode>
                <c:ptCount val="10"/>
                <c:pt idx="0">
                  <c:v>11.9155166666667</c:v>
                </c:pt>
                <c:pt idx="1">
                  <c:v>11.9155166666667</c:v>
                </c:pt>
                <c:pt idx="2">
                  <c:v>11.9155166666667</c:v>
                </c:pt>
                <c:pt idx="3">
                  <c:v>11.9155166666667</c:v>
                </c:pt>
                <c:pt idx="4">
                  <c:v>11.9155166666667</c:v>
                </c:pt>
                <c:pt idx="5">
                  <c:v>11.9155166666667</c:v>
                </c:pt>
                <c:pt idx="6">
                  <c:v>11.9155166666667</c:v>
                </c:pt>
                <c:pt idx="7">
                  <c:v>11.9155166666667</c:v>
                </c:pt>
                <c:pt idx="8">
                  <c:v>11.9155166666667</c:v>
                </c:pt>
                <c:pt idx="9">
                  <c:v>11.9155166666667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Lot!V1</c:f>
              <c:strCache>
                <c:ptCount val="1"/>
                <c:pt idx="0">
                  <c:v>LCI 3σ</c:v>
                </c:pt>
              </c:strCache>
            </c:strRef>
          </c:tx>
          <c:spPr>
            <a:solidFill>
              <a:srgbClr val="808080"/>
            </a:solidFill>
            <a:ln w="158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Lot!$V$2:$V$11</c:f>
              <c:numCache>
                <c:formatCode>0.0000</c:formatCode>
                <c:ptCount val="10"/>
                <c:pt idx="0">
                  <c:v>11.8578166666667</c:v>
                </c:pt>
                <c:pt idx="1">
                  <c:v>11.8578166666667</c:v>
                </c:pt>
                <c:pt idx="2">
                  <c:v>11.8578166666667</c:v>
                </c:pt>
                <c:pt idx="3">
                  <c:v>11.8578166666667</c:v>
                </c:pt>
                <c:pt idx="4">
                  <c:v>11.8578166666667</c:v>
                </c:pt>
                <c:pt idx="5">
                  <c:v>11.8578166666667</c:v>
                </c:pt>
                <c:pt idx="6">
                  <c:v>11.8578166666667</c:v>
                </c:pt>
                <c:pt idx="7">
                  <c:v>11.8578166666667</c:v>
                </c:pt>
                <c:pt idx="8">
                  <c:v>11.8578166666667</c:v>
                </c:pt>
                <c:pt idx="9">
                  <c:v>11.8578166666667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243291"/>
        <c:axId val="18517867"/>
      </c:lineChart>
      <c:catAx>
        <c:axId val="48243291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17867"/>
        <c:crosses val="autoZero"/>
        <c:auto val="1"/>
        <c:lblAlgn val="ctr"/>
        <c:lblOffset val="100"/>
        <c:noMultiLvlLbl val="0"/>
      </c:catAx>
      <c:valAx>
        <c:axId val="18517867"/>
        <c:scaling>
          <c:orientation val="minMax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432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Carte R (AFNOR et 3 sigmas)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Lot!H1</c:f>
              <c:strCache>
                <c:ptCount val="1"/>
                <c:pt idx="0">
                  <c:v>Etendue</c:v>
                </c:pt>
              </c:strCache>
            </c:strRef>
          </c:tx>
          <c:spPr>
            <a:solidFill>
              <a:srgbClr val="1f3864"/>
            </a:solidFill>
            <a:ln w="19080">
              <a:solidFill>
                <a:srgbClr val="1f3864"/>
              </a:solidFill>
              <a:round/>
            </a:ln>
          </c:spPr>
          <c:marker>
            <c:symbol val="circle"/>
            <c:size val="6"/>
            <c:spPr>
              <a:solidFill>
                <a:srgbClr val="1f386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Lot!$H$2:$H$11</c:f>
              <c:numCache>
                <c:formatCode>0.000</c:formatCode>
                <c:ptCount val="10"/>
                <c:pt idx="0">
                  <c:v>0.0400000000000009</c:v>
                </c:pt>
                <c:pt idx="1">
                  <c:v>0.0500000000000007</c:v>
                </c:pt>
                <c:pt idx="2">
                  <c:v>0.0500000000000007</c:v>
                </c:pt>
                <c:pt idx="3">
                  <c:v>0.0399999999999992</c:v>
                </c:pt>
                <c:pt idx="4">
                  <c:v>0.0399999999999992</c:v>
                </c:pt>
                <c:pt idx="5">
                  <c:v>0.0800000000000001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Lot!W1</c:f>
              <c:strCache>
                <c:ptCount val="1"/>
                <c:pt idx="0">
                  <c:v>R barre</c:v>
                </c:pt>
              </c:strCache>
            </c:strRef>
          </c:tx>
          <c:spPr>
            <a:solidFill>
              <a:srgbClr val="1f3864"/>
            </a:solidFill>
            <a:ln w="15840">
              <a:solidFill>
                <a:srgbClr val="1f386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Lot!$W$2:$W$11</c:f>
              <c:numCache>
                <c:formatCode>0.0000</c:formatCode>
                <c:ptCount val="10"/>
                <c:pt idx="0">
                  <c:v>0.0500000000000001</c:v>
                </c:pt>
                <c:pt idx="1">
                  <c:v>0.0500000000000001</c:v>
                </c:pt>
                <c:pt idx="2">
                  <c:v>0.0500000000000001</c:v>
                </c:pt>
                <c:pt idx="3">
                  <c:v>0.0500000000000001</c:v>
                </c:pt>
                <c:pt idx="4">
                  <c:v>0.0500000000000001</c:v>
                </c:pt>
                <c:pt idx="5">
                  <c:v>0.0500000000000001</c:v>
                </c:pt>
                <c:pt idx="6">
                  <c:v>0.0500000000000001</c:v>
                </c:pt>
                <c:pt idx="7">
                  <c:v>0.0500000000000001</c:v>
                </c:pt>
                <c:pt idx="8">
                  <c:v>0.0500000000000001</c:v>
                </c:pt>
                <c:pt idx="9">
                  <c:v>0.0500000000000001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Lot!X1</c:f>
              <c:strCache>
                <c:ptCount val="1"/>
                <c:pt idx="0">
                  <c:v>LC2 AFNOR</c:v>
                </c:pt>
              </c:strCache>
            </c:strRef>
          </c:tx>
          <c:spPr>
            <a:solidFill>
              <a:srgbClr val="c00000"/>
            </a:solidFill>
            <a:ln w="1584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Lot!$X$2:$X$11</c:f>
              <c:numCache>
                <c:formatCode>0.0000</c:formatCode>
                <c:ptCount val="10"/>
                <c:pt idx="0">
                  <c:v>0.118</c:v>
                </c:pt>
                <c:pt idx="1">
                  <c:v>0.118</c:v>
                </c:pt>
                <c:pt idx="2">
                  <c:v>0.118</c:v>
                </c:pt>
                <c:pt idx="3">
                  <c:v>0.118</c:v>
                </c:pt>
                <c:pt idx="4">
                  <c:v>0.118</c:v>
                </c:pt>
                <c:pt idx="5">
                  <c:v>0.118</c:v>
                </c:pt>
                <c:pt idx="6">
                  <c:v>0.118</c:v>
                </c:pt>
                <c:pt idx="7">
                  <c:v>0.118</c:v>
                </c:pt>
                <c:pt idx="8">
                  <c:v>0.118</c:v>
                </c:pt>
                <c:pt idx="9">
                  <c:v>0.118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Lot!Y1</c:f>
              <c:strCache>
                <c:ptCount val="1"/>
                <c:pt idx="0">
                  <c:v>LS2 AFNOR</c:v>
                </c:pt>
              </c:strCache>
            </c:strRef>
          </c:tx>
          <c:spPr>
            <a:solidFill>
              <a:srgbClr val="2e7d32"/>
            </a:solidFill>
            <a:ln w="15840">
              <a:solidFill>
                <a:srgbClr val="2e7d32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Lot!$Y$2:$Y$11</c:f>
              <c:numCache>
                <c:formatCode>0.0000</c:formatCode>
                <c:ptCount val="10"/>
                <c:pt idx="0">
                  <c:v>0.0905000000000002</c:v>
                </c:pt>
                <c:pt idx="1">
                  <c:v>0.0905000000000002</c:v>
                </c:pt>
                <c:pt idx="2">
                  <c:v>0.0905000000000002</c:v>
                </c:pt>
                <c:pt idx="3">
                  <c:v>0.0905000000000002</c:v>
                </c:pt>
                <c:pt idx="4">
                  <c:v>0.0905000000000002</c:v>
                </c:pt>
                <c:pt idx="5">
                  <c:v>0.0905000000000002</c:v>
                </c:pt>
                <c:pt idx="6">
                  <c:v>0.0905000000000002</c:v>
                </c:pt>
                <c:pt idx="7">
                  <c:v>0.0905000000000002</c:v>
                </c:pt>
                <c:pt idx="8">
                  <c:v>0.0905000000000002</c:v>
                </c:pt>
                <c:pt idx="9">
                  <c:v>0.0905000000000002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Lot!Z1</c:f>
              <c:strCache>
                <c:ptCount val="1"/>
                <c:pt idx="0">
                  <c:v>LCS R 3σ</c:v>
                </c:pt>
              </c:strCache>
            </c:strRef>
          </c:tx>
          <c:spPr>
            <a:solidFill>
              <a:srgbClr val="808080"/>
            </a:solidFill>
            <a:ln w="158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Lot!$A$2:$A$11</c:f>
              <c:strCache>
                <c:ptCount val="10"/>
                <c:pt idx="0">
                  <c:v>1.000</c:v>
                </c:pt>
                <c:pt idx="1">
                  <c:v>2.000</c:v>
                </c:pt>
                <c:pt idx="2">
                  <c:v>3.000</c:v>
                </c:pt>
                <c:pt idx="3">
                  <c:v>4.000</c:v>
                </c:pt>
                <c:pt idx="4">
                  <c:v>5.000</c:v>
                </c:pt>
                <c:pt idx="5">
                  <c:v>6.000</c:v>
                </c:pt>
                <c:pt idx="6">
                  <c:v>7.000</c:v>
                </c:pt>
                <c:pt idx="7">
                  <c:v>8.000</c:v>
                </c:pt>
                <c:pt idx="8">
                  <c:v>9.000</c:v>
                </c:pt>
                <c:pt idx="9">
                  <c:v>10.000</c:v>
                </c:pt>
              </c:strCache>
            </c:strRef>
          </c:cat>
          <c:val>
            <c:numRef>
              <c:f>Lot!$Z$2:$Z$11</c:f>
              <c:numCache>
                <c:formatCode>0.0000</c:formatCode>
                <c:ptCount val="10"/>
                <c:pt idx="0">
                  <c:v>0.1057</c:v>
                </c:pt>
                <c:pt idx="1">
                  <c:v>0.1057</c:v>
                </c:pt>
                <c:pt idx="2">
                  <c:v>0.1057</c:v>
                </c:pt>
                <c:pt idx="3">
                  <c:v>0.1057</c:v>
                </c:pt>
                <c:pt idx="4">
                  <c:v>0.1057</c:v>
                </c:pt>
                <c:pt idx="5">
                  <c:v>0.1057</c:v>
                </c:pt>
                <c:pt idx="6">
                  <c:v>0.1057</c:v>
                </c:pt>
                <c:pt idx="7">
                  <c:v>0.1057</c:v>
                </c:pt>
                <c:pt idx="8">
                  <c:v>0.1057</c:v>
                </c:pt>
                <c:pt idx="9">
                  <c:v>0.1057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095888"/>
        <c:axId val="60374515"/>
      </c:lineChart>
      <c:catAx>
        <c:axId val="22095888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74515"/>
        <c:crosses val="autoZero"/>
        <c:auto val="1"/>
        <c:lblAlgn val="ctr"/>
        <c:lblOffset val="100"/>
        <c:noMultiLvlLbl val="0"/>
      </c:catAx>
      <c:valAx>
        <c:axId val="60374515"/>
        <c:scaling>
          <c:orientation val="minMax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958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Histogramme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Lot!L12</c:f>
              <c:strCache>
                <c:ptCount val="1"/>
                <c:pt idx="0">
                  <c:v>Effectif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Lot!$J$13:$J$29</c:f>
              <c:strCache>
                <c:ptCount val="17"/>
                <c:pt idx="0">
                  <c:v>11.825</c:v>
                </c:pt>
                <c:pt idx="1">
                  <c:v>11.835</c:v>
                </c:pt>
                <c:pt idx="2">
                  <c:v>11.845</c:v>
                </c:pt>
                <c:pt idx="3">
                  <c:v>11.855</c:v>
                </c:pt>
                <c:pt idx="4">
                  <c:v>11.865</c:v>
                </c:pt>
                <c:pt idx="5">
                  <c:v>11.875</c:v>
                </c:pt>
                <c:pt idx="6">
                  <c:v>11.885</c:v>
                </c:pt>
                <c:pt idx="7">
                  <c:v>11.895</c:v>
                </c:pt>
                <c:pt idx="8">
                  <c:v>11.905</c:v>
                </c:pt>
                <c:pt idx="9">
                  <c:v>11.915</c:v>
                </c:pt>
                <c:pt idx="10">
                  <c:v>11.925</c:v>
                </c:pt>
                <c:pt idx="11">
                  <c:v>11.935</c:v>
                </c:pt>
                <c:pt idx="12">
                  <c:v>11.945</c:v>
                </c:pt>
                <c:pt idx="13">
                  <c:v>11.955</c:v>
                </c:pt>
                <c:pt idx="14">
                  <c:v>11.965</c:v>
                </c:pt>
                <c:pt idx="15">
                  <c:v>11.975</c:v>
                </c:pt>
                <c:pt idx="16">
                  <c:v>11.985</c:v>
                </c:pt>
              </c:strCache>
            </c:strRef>
          </c:cat>
          <c:val>
            <c:numRef>
              <c:f>Lot!$L$13:$L$29</c:f>
              <c:numCache>
                <c:formatCode>0</c:formatCode>
                <c:ptCount val="17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0"/>
        <c:overlap val="0"/>
        <c:axId val="74015222"/>
        <c:axId val="91888679"/>
      </c:barChart>
      <c:catAx>
        <c:axId val="74015222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88679"/>
        <c:crosses val="autoZero"/>
        <c:auto val="1"/>
        <c:lblAlgn val="ctr"/>
        <c:lblOffset val="100"/>
        <c:noMultiLvlLbl val="0"/>
      </c:catAx>
      <c:valAx>
        <c:axId val="91888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152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Droite de Henry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"Mesures"</c:f>
              <c:strCache>
                <c:ptCount val="1"/>
                <c:pt idx="0">
                  <c:v>Mesures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Henry!$B$2:$B$51</c:f>
              <c:numCache>
                <c:formatCode>0.000</c:formatCode>
                <c:ptCount val="50"/>
                <c:pt idx="0">
                  <c:v>11.84</c:v>
                </c:pt>
                <c:pt idx="1">
                  <c:v>11.84</c:v>
                </c:pt>
                <c:pt idx="2">
                  <c:v>11.85</c:v>
                </c:pt>
                <c:pt idx="3">
                  <c:v>11.85</c:v>
                </c:pt>
                <c:pt idx="4">
                  <c:v>11.86</c:v>
                </c:pt>
                <c:pt idx="5">
                  <c:v>11.86</c:v>
                </c:pt>
                <c:pt idx="6">
                  <c:v>11.86</c:v>
                </c:pt>
                <c:pt idx="7">
                  <c:v>11.87</c:v>
                </c:pt>
                <c:pt idx="8">
                  <c:v>11.87</c:v>
                </c:pt>
                <c:pt idx="9">
                  <c:v>11.87</c:v>
                </c:pt>
                <c:pt idx="10">
                  <c:v>11.87</c:v>
                </c:pt>
                <c:pt idx="11">
                  <c:v>11.88</c:v>
                </c:pt>
                <c:pt idx="12">
                  <c:v>11.88</c:v>
                </c:pt>
                <c:pt idx="13">
                  <c:v>11.88</c:v>
                </c:pt>
                <c:pt idx="14">
                  <c:v>11.89</c:v>
                </c:pt>
                <c:pt idx="15">
                  <c:v>11.89</c:v>
                </c:pt>
                <c:pt idx="16">
                  <c:v>11.89</c:v>
                </c:pt>
                <c:pt idx="17">
                  <c:v>11.89</c:v>
                </c:pt>
                <c:pt idx="18">
                  <c:v>11.9</c:v>
                </c:pt>
                <c:pt idx="19">
                  <c:v>11.9</c:v>
                </c:pt>
                <c:pt idx="20">
                  <c:v>11.9</c:v>
                </c:pt>
                <c:pt idx="21">
                  <c:v>11.91</c:v>
                </c:pt>
                <c:pt idx="22">
                  <c:v>11.91</c:v>
                </c:pt>
                <c:pt idx="23">
                  <c:v>11.91</c:v>
                </c:pt>
                <c:pt idx="24">
                  <c:v>11.91</c:v>
                </c:pt>
                <c:pt idx="25">
                  <c:v>11.92</c:v>
                </c:pt>
                <c:pt idx="26">
                  <c:v>11.92</c:v>
                </c:pt>
                <c:pt idx="27">
                  <c:v>11.92</c:v>
                </c:pt>
                <c:pt idx="28">
                  <c:v>11.93</c:v>
                </c:pt>
                <c:pt idx="29">
                  <c:v>11.93</c:v>
                </c:pt>
              </c:numCache>
            </c:numRef>
          </c:xVal>
          <c:yVal>
            <c:numRef>
              <c:f>Henry!$D$2:$D$51</c:f>
              <c:numCache>
                <c:formatCode>0.000</c:formatCode>
                <c:ptCount val="50"/>
                <c:pt idx="0">
                  <c:v>-2.12804523418498</c:v>
                </c:pt>
                <c:pt idx="1">
                  <c:v>-1.64485362695147</c:v>
                </c:pt>
                <c:pt idx="2">
                  <c:v>-1.38299412710064</c:v>
                </c:pt>
                <c:pt idx="3">
                  <c:v>-1.19181617168139</c:v>
                </c:pt>
                <c:pt idx="4">
                  <c:v>-1.03643338949379</c:v>
                </c:pt>
                <c:pt idx="5">
                  <c:v>-0.902734791643865</c:v>
                </c:pt>
                <c:pt idx="6">
                  <c:v>-0.783500375389774</c:v>
                </c:pt>
                <c:pt idx="7">
                  <c:v>-0.674489750196082</c:v>
                </c:pt>
                <c:pt idx="8">
                  <c:v>-0.572967548495464</c:v>
                </c:pt>
                <c:pt idx="9">
                  <c:v>-0.477040428489443</c:v>
                </c:pt>
                <c:pt idx="10">
                  <c:v>-0.385320466407568</c:v>
                </c:pt>
                <c:pt idx="11">
                  <c:v>-0.296737838259898</c:v>
                </c:pt>
                <c:pt idx="12">
                  <c:v>-0.210428394247925</c:v>
                </c:pt>
                <c:pt idx="13">
                  <c:v>-0.125661346855074</c:v>
                </c:pt>
                <c:pt idx="14">
                  <c:v>-0.0417892978164538</c:v>
                </c:pt>
                <c:pt idx="15">
                  <c:v>0.041789297816454</c:v>
                </c:pt>
                <c:pt idx="16">
                  <c:v>0.125661346855074</c:v>
                </c:pt>
                <c:pt idx="17">
                  <c:v>0.210428394247925</c:v>
                </c:pt>
                <c:pt idx="18">
                  <c:v>0.296737838259898</c:v>
                </c:pt>
                <c:pt idx="19">
                  <c:v>0.385320466407568</c:v>
                </c:pt>
                <c:pt idx="20">
                  <c:v>0.477040428489443</c:v>
                </c:pt>
                <c:pt idx="21">
                  <c:v>0.572967548495464</c:v>
                </c:pt>
                <c:pt idx="22">
                  <c:v>0.674489750196082</c:v>
                </c:pt>
                <c:pt idx="23">
                  <c:v>0.783500375389774</c:v>
                </c:pt>
                <c:pt idx="24">
                  <c:v>0.902734791643865</c:v>
                </c:pt>
                <c:pt idx="25">
                  <c:v>1.03643338949379</c:v>
                </c:pt>
                <c:pt idx="26">
                  <c:v>1.19181617168139</c:v>
                </c:pt>
                <c:pt idx="27">
                  <c:v>1.38299412710064</c:v>
                </c:pt>
                <c:pt idx="28">
                  <c:v>1.64485362695147</c:v>
                </c:pt>
                <c:pt idx="29">
                  <c:v>2.12804523418498</c:v>
                </c:pt>
              </c:numCache>
            </c:numRef>
          </c:yVal>
          <c:smooth val="1"/>
        </c:ser>
        <c:axId val="18339227"/>
        <c:axId val="74074771"/>
      </c:scatterChart>
      <c:valAx>
        <c:axId val="183392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Diamètre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74771"/>
        <c:crosses val="autoZero"/>
        <c:crossBetween val="midCat"/>
      </c:valAx>
      <c:valAx>
        <c:axId val="74074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Score z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3922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41760</xdr:rowOff>
    </xdr:from>
    <xdr:to>
      <xdr:col>10</xdr:col>
      <xdr:colOff>147240</xdr:colOff>
      <xdr:row>47</xdr:row>
      <xdr:rowOff>42840</xdr:rowOff>
    </xdr:to>
    <xdr:graphicFrame>
      <xdr:nvGraphicFramePr>
        <xdr:cNvPr id="0" name="Chart 1"/>
        <xdr:cNvGraphicFramePr/>
      </xdr:nvGraphicFramePr>
      <xdr:xfrm>
        <a:off x="0" y="6095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30</xdr:row>
      <xdr:rowOff>41760</xdr:rowOff>
    </xdr:from>
    <xdr:to>
      <xdr:col>17</xdr:col>
      <xdr:colOff>354600</xdr:colOff>
      <xdr:row>47</xdr:row>
      <xdr:rowOff>42840</xdr:rowOff>
    </xdr:to>
    <xdr:graphicFrame>
      <xdr:nvGraphicFramePr>
        <xdr:cNvPr id="1" name="Chart 2"/>
        <xdr:cNvGraphicFramePr/>
      </xdr:nvGraphicFramePr>
      <xdr:xfrm>
        <a:off x="7052400" y="6095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42120</xdr:rowOff>
    </xdr:from>
    <xdr:to>
      <xdr:col>8</xdr:col>
      <xdr:colOff>587520</xdr:colOff>
      <xdr:row>63</xdr:row>
      <xdr:rowOff>74880</xdr:rowOff>
    </xdr:to>
    <xdr:graphicFrame>
      <xdr:nvGraphicFramePr>
        <xdr:cNvPr id="2" name="Chart 3"/>
        <xdr:cNvGraphicFramePr/>
      </xdr:nvGraphicFramePr>
      <xdr:xfrm>
        <a:off x="0" y="9715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190440</xdr:rowOff>
    </xdr:from>
    <xdr:to>
      <xdr:col>14</xdr:col>
      <xdr:colOff>255960</xdr:colOff>
      <xdr:row>17</xdr:row>
      <xdr:rowOff>21960</xdr:rowOff>
    </xdr:to>
    <xdr:graphicFrame>
      <xdr:nvGraphicFramePr>
        <xdr:cNvPr id="3" name="Chart 1"/>
        <xdr:cNvGraphicFramePr/>
      </xdr:nvGraphicFramePr>
      <xdr:xfrm>
        <a:off x="3057480" y="1904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0" min="10" style="0" width="1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7"/>
    <col collapsed="false" customWidth="true" hidden="false" outlineLevel="0" max="14" min="14" style="0" width="10"/>
    <col collapsed="false" customWidth="true" hidden="false" outlineLevel="0" max="26" min="16" style="0" width="10.51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</row>
    <row r="2" customFormat="false" ht="15" hidden="false" customHeight="false" outlineLevel="0" collapsed="false">
      <c r="A2" s="2" t="n">
        <v>1</v>
      </c>
      <c r="B2" s="2" t="n">
        <v>11.87</v>
      </c>
      <c r="C2" s="2" t="n">
        <v>11.86</v>
      </c>
      <c r="D2" s="2" t="n">
        <v>11.84</v>
      </c>
      <c r="E2" s="2" t="n">
        <v>11.88</v>
      </c>
      <c r="F2" s="2" t="n">
        <v>11.87</v>
      </c>
      <c r="G2" s="3" t="n">
        <f aca="false">IF(COUNT(B2:F2)&lt;5,NA(),AVERAGE(B2:F2))</f>
        <v>11.864</v>
      </c>
      <c r="H2" s="4" t="n">
        <f aca="false">IF(COUNT(B2:F2)&lt;5,NA(),MAX(B2:F2)-MIN(B2:F2))</f>
        <v>0.0400000000000009</v>
      </c>
      <c r="J2" s="5" t="s">
        <v>19</v>
      </c>
      <c r="K2" s="0" t="n">
        <v>11.85</v>
      </c>
      <c r="M2" s="5" t="s">
        <v>20</v>
      </c>
      <c r="N2" s="3" t="n">
        <f aca="false">_xlfn.AGGREGATE(1,6,G2:G11)</f>
        <v>11.8866666666667</v>
      </c>
      <c r="P2" s="3" t="n">
        <f aca="false">$N$2</f>
        <v>11.8866666666667</v>
      </c>
      <c r="Q2" s="3" t="n">
        <f aca="false">$N$2+$N$12*$N$3</f>
        <v>11.9163666666667</v>
      </c>
      <c r="R2" s="3" t="n">
        <f aca="false">$N$2-$N$12*$N$3</f>
        <v>11.8569666666667</v>
      </c>
      <c r="S2" s="3" t="n">
        <f aca="false">$N$2+$N$13*$N$3</f>
        <v>11.9055166666667</v>
      </c>
      <c r="T2" s="3" t="n">
        <f aca="false">$N$2-$N$13*$N$3</f>
        <v>11.8678166666667</v>
      </c>
      <c r="U2" s="3" t="n">
        <f aca="false">$N$2+$N$16*$N$3</f>
        <v>11.9155166666667</v>
      </c>
      <c r="V2" s="3" t="n">
        <f aca="false">$N$2-$N$16*$N$3</f>
        <v>11.8578166666667</v>
      </c>
      <c r="W2" s="3" t="n">
        <f aca="false">$N$3</f>
        <v>0.0500000000000001</v>
      </c>
      <c r="X2" s="3" t="n">
        <f aca="false">$N$14*$N$3</f>
        <v>0.118</v>
      </c>
      <c r="Y2" s="3" t="n">
        <f aca="false">$N$15*$N$3</f>
        <v>0.0905000000000002</v>
      </c>
      <c r="Z2" s="3" t="n">
        <f aca="false">$N$17*$N$3</f>
        <v>0.1057</v>
      </c>
    </row>
    <row r="3" customFormat="false" ht="15" hidden="false" customHeight="false" outlineLevel="0" collapsed="false">
      <c r="A3" s="2" t="n">
        <v>2</v>
      </c>
      <c r="B3" s="2" t="n">
        <v>11.87</v>
      </c>
      <c r="C3" s="2" t="n">
        <v>11.85</v>
      </c>
      <c r="D3" s="2" t="n">
        <v>11.86</v>
      </c>
      <c r="E3" s="2" t="n">
        <v>11.84</v>
      </c>
      <c r="F3" s="2" t="n">
        <v>11.89</v>
      </c>
      <c r="G3" s="3" t="n">
        <f aca="false">IF(COUNT(B3:F3)&lt;5,NA(),AVERAGE(B3:F3))</f>
        <v>11.862</v>
      </c>
      <c r="H3" s="4" t="n">
        <f aca="false">IF(COUNT(B3:F3)&lt;5,NA(),MAX(B3:F3)-MIN(B3:F3))</f>
        <v>0.0500000000000007</v>
      </c>
      <c r="J3" s="5" t="s">
        <v>21</v>
      </c>
      <c r="K3" s="0" t="n">
        <v>12</v>
      </c>
      <c r="M3" s="5" t="s">
        <v>15</v>
      </c>
      <c r="N3" s="3" t="n">
        <f aca="false">_xlfn.AGGREGATE(1,6,H2:H11)</f>
        <v>0.0500000000000001</v>
      </c>
      <c r="P3" s="3" t="n">
        <f aca="false">$N$2</f>
        <v>11.8866666666667</v>
      </c>
      <c r="Q3" s="3" t="n">
        <f aca="false">$N$2+$N$12*$N$3</f>
        <v>11.9163666666667</v>
      </c>
      <c r="R3" s="3" t="n">
        <f aca="false">$N$2-$N$12*$N$3</f>
        <v>11.8569666666667</v>
      </c>
      <c r="S3" s="3" t="n">
        <f aca="false">$N$2+$N$13*$N$3</f>
        <v>11.9055166666667</v>
      </c>
      <c r="T3" s="3" t="n">
        <f aca="false">$N$2-$N$13*$N$3</f>
        <v>11.8678166666667</v>
      </c>
      <c r="U3" s="3" t="n">
        <f aca="false">$N$2+$N$16*$N$3</f>
        <v>11.9155166666667</v>
      </c>
      <c r="V3" s="3" t="n">
        <f aca="false">$N$2-$N$16*$N$3</f>
        <v>11.8578166666667</v>
      </c>
      <c r="W3" s="3" t="n">
        <f aca="false">$N$3</f>
        <v>0.0500000000000001</v>
      </c>
      <c r="X3" s="3" t="n">
        <f aca="false">$N$14*$N$3</f>
        <v>0.118</v>
      </c>
      <c r="Y3" s="3" t="n">
        <f aca="false">$N$15*$N$3</f>
        <v>0.0905000000000002</v>
      </c>
      <c r="Z3" s="3" t="n">
        <f aca="false">$N$17*$N$3</f>
        <v>0.1057</v>
      </c>
    </row>
    <row r="4" customFormat="false" ht="15" hidden="false" customHeight="false" outlineLevel="0" collapsed="false">
      <c r="A4" s="2" t="n">
        <v>3</v>
      </c>
      <c r="B4" s="2" t="n">
        <v>11.91</v>
      </c>
      <c r="C4" s="2" t="n">
        <v>11.9</v>
      </c>
      <c r="D4" s="2" t="n">
        <v>11.86</v>
      </c>
      <c r="E4" s="2" t="n">
        <v>11.88</v>
      </c>
      <c r="F4" s="2" t="n">
        <v>11.87</v>
      </c>
      <c r="G4" s="3" t="n">
        <f aca="false">IF(COUNT(B4:F4)&lt;5,NA(),AVERAGE(B4:F4))</f>
        <v>11.884</v>
      </c>
      <c r="H4" s="4" t="n">
        <f aca="false">IF(COUNT(B4:F4)&lt;5,NA(),MAX(B4:F4)-MIN(B4:F4))</f>
        <v>0.0500000000000007</v>
      </c>
      <c r="J4" s="5" t="s">
        <v>22</v>
      </c>
      <c r="K4" s="6" t="n">
        <f aca="false">COUNT(B2:F11)</f>
        <v>30</v>
      </c>
      <c r="M4" s="5" t="s">
        <v>23</v>
      </c>
      <c r="N4" s="0" t="n">
        <v>2.326</v>
      </c>
      <c r="P4" s="3" t="n">
        <f aca="false">$N$2</f>
        <v>11.8866666666667</v>
      </c>
      <c r="Q4" s="3" t="n">
        <f aca="false">$N$2+$N$12*$N$3</f>
        <v>11.9163666666667</v>
      </c>
      <c r="R4" s="3" t="n">
        <f aca="false">$N$2-$N$12*$N$3</f>
        <v>11.8569666666667</v>
      </c>
      <c r="S4" s="3" t="n">
        <f aca="false">$N$2+$N$13*$N$3</f>
        <v>11.9055166666667</v>
      </c>
      <c r="T4" s="3" t="n">
        <f aca="false">$N$2-$N$13*$N$3</f>
        <v>11.8678166666667</v>
      </c>
      <c r="U4" s="3" t="n">
        <f aca="false">$N$2+$N$16*$N$3</f>
        <v>11.9155166666667</v>
      </c>
      <c r="V4" s="3" t="n">
        <f aca="false">$N$2-$N$16*$N$3</f>
        <v>11.8578166666667</v>
      </c>
      <c r="W4" s="3" t="n">
        <f aca="false">$N$3</f>
        <v>0.0500000000000001</v>
      </c>
      <c r="X4" s="3" t="n">
        <f aca="false">$N$14*$N$3</f>
        <v>0.118</v>
      </c>
      <c r="Y4" s="3" t="n">
        <f aca="false">$N$15*$N$3</f>
        <v>0.0905000000000002</v>
      </c>
      <c r="Z4" s="3" t="n">
        <f aca="false">$N$17*$N$3</f>
        <v>0.1057</v>
      </c>
    </row>
    <row r="5" customFormat="false" ht="15" hidden="false" customHeight="false" outlineLevel="0" collapsed="false">
      <c r="A5" s="2" t="n">
        <v>4</v>
      </c>
      <c r="B5" s="2" t="n">
        <v>11.89</v>
      </c>
      <c r="C5" s="2" t="n">
        <v>11.91</v>
      </c>
      <c r="D5" s="2" t="n">
        <v>11.89</v>
      </c>
      <c r="E5" s="2" t="n">
        <v>11.88</v>
      </c>
      <c r="F5" s="2" t="n">
        <v>11.92</v>
      </c>
      <c r="G5" s="3" t="n">
        <f aca="false">IF(COUNT(B5:F5)&lt;5,NA(),AVERAGE(B5:F5))</f>
        <v>11.898</v>
      </c>
      <c r="H5" s="4" t="n">
        <f aca="false">IF(COUNT(B5:F5)&lt;5,NA(),MAX(B5:F5)-MIN(B5:F5))</f>
        <v>0.0399999999999992</v>
      </c>
      <c r="J5" s="5" t="s">
        <v>6</v>
      </c>
      <c r="K5" s="3" t="n">
        <f aca="false">AVERAGE(B2:F11)</f>
        <v>11.8866666666667</v>
      </c>
      <c r="M5" s="5" t="s">
        <v>24</v>
      </c>
      <c r="N5" s="3" t="n">
        <f aca="false">N3/N4</f>
        <v>0.0214961306964747</v>
      </c>
      <c r="P5" s="3" t="n">
        <f aca="false">$N$2</f>
        <v>11.8866666666667</v>
      </c>
      <c r="Q5" s="3" t="n">
        <f aca="false">$N$2+$N$12*$N$3</f>
        <v>11.9163666666667</v>
      </c>
      <c r="R5" s="3" t="n">
        <f aca="false">$N$2-$N$12*$N$3</f>
        <v>11.8569666666667</v>
      </c>
      <c r="S5" s="3" t="n">
        <f aca="false">$N$2+$N$13*$N$3</f>
        <v>11.9055166666667</v>
      </c>
      <c r="T5" s="3" t="n">
        <f aca="false">$N$2-$N$13*$N$3</f>
        <v>11.8678166666667</v>
      </c>
      <c r="U5" s="3" t="n">
        <f aca="false">$N$2+$N$16*$N$3</f>
        <v>11.9155166666667</v>
      </c>
      <c r="V5" s="3" t="n">
        <f aca="false">$N$2-$N$16*$N$3</f>
        <v>11.8578166666667</v>
      </c>
      <c r="W5" s="3" t="n">
        <f aca="false">$N$3</f>
        <v>0.0500000000000001</v>
      </c>
      <c r="X5" s="3" t="n">
        <f aca="false">$N$14*$N$3</f>
        <v>0.118</v>
      </c>
      <c r="Y5" s="3" t="n">
        <f aca="false">$N$15*$N$3</f>
        <v>0.0905000000000002</v>
      </c>
      <c r="Z5" s="3" t="n">
        <f aca="false">$N$17*$N$3</f>
        <v>0.1057</v>
      </c>
    </row>
    <row r="6" customFormat="false" ht="15" hidden="false" customHeight="false" outlineLevel="0" collapsed="false">
      <c r="A6" s="2" t="n">
        <v>5</v>
      </c>
      <c r="B6" s="2" t="n">
        <v>11.91</v>
      </c>
      <c r="C6" s="2" t="n">
        <v>11.92</v>
      </c>
      <c r="D6" s="2" t="n">
        <v>11.93</v>
      </c>
      <c r="E6" s="2" t="n">
        <v>11.89</v>
      </c>
      <c r="F6" s="2" t="n">
        <v>11.9</v>
      </c>
      <c r="G6" s="3" t="n">
        <f aca="false">IF(COUNT(B6:F6)&lt;5,NA(),AVERAGE(B6:F6))</f>
        <v>11.91</v>
      </c>
      <c r="H6" s="4" t="n">
        <f aca="false">IF(COUNT(B6:F6)&lt;5,NA(),MAX(B6:F6)-MIN(B6:F6))</f>
        <v>0.0399999999999992</v>
      </c>
      <c r="J6" s="5" t="s">
        <v>25</v>
      </c>
      <c r="K6" s="3" t="n">
        <f aca="false">_xlfn.STDEV.S(B2:F11)</f>
        <v>0.0264357820900508</v>
      </c>
      <c r="M6" s="5" t="s">
        <v>26</v>
      </c>
      <c r="N6" s="7" t="n">
        <f aca="false">($K$3-$K$2)/(6*N5)</f>
        <v>1.163</v>
      </c>
      <c r="P6" s="3" t="n">
        <f aca="false">$N$2</f>
        <v>11.8866666666667</v>
      </c>
      <c r="Q6" s="3" t="n">
        <f aca="false">$N$2+$N$12*$N$3</f>
        <v>11.9163666666667</v>
      </c>
      <c r="R6" s="3" t="n">
        <f aca="false">$N$2-$N$12*$N$3</f>
        <v>11.8569666666667</v>
      </c>
      <c r="S6" s="3" t="n">
        <f aca="false">$N$2+$N$13*$N$3</f>
        <v>11.9055166666667</v>
      </c>
      <c r="T6" s="3" t="n">
        <f aca="false">$N$2-$N$13*$N$3</f>
        <v>11.8678166666667</v>
      </c>
      <c r="U6" s="3" t="n">
        <f aca="false">$N$2+$N$16*$N$3</f>
        <v>11.9155166666667</v>
      </c>
      <c r="V6" s="3" t="n">
        <f aca="false">$N$2-$N$16*$N$3</f>
        <v>11.8578166666667</v>
      </c>
      <c r="W6" s="3" t="n">
        <f aca="false">$N$3</f>
        <v>0.0500000000000001</v>
      </c>
      <c r="X6" s="3" t="n">
        <f aca="false">$N$14*$N$3</f>
        <v>0.118</v>
      </c>
      <c r="Y6" s="3" t="n">
        <f aca="false">$N$15*$N$3</f>
        <v>0.0905000000000002</v>
      </c>
      <c r="Z6" s="3" t="n">
        <f aca="false">$N$17*$N$3</f>
        <v>0.1057</v>
      </c>
    </row>
    <row r="7" customFormat="false" ht="15" hidden="false" customHeight="false" outlineLevel="0" collapsed="false">
      <c r="A7" s="2" t="n">
        <v>6</v>
      </c>
      <c r="B7" s="2" t="n">
        <v>11.85</v>
      </c>
      <c r="C7" s="2" t="n">
        <v>11.91</v>
      </c>
      <c r="D7" s="2" t="n">
        <v>11.92</v>
      </c>
      <c r="E7" s="2" t="n">
        <v>11.93</v>
      </c>
      <c r="F7" s="2" t="n">
        <v>11.9</v>
      </c>
      <c r="G7" s="3" t="n">
        <f aca="false">IF(COUNT(B7:F7)&lt;5,NA(),AVERAGE(B7:F7))</f>
        <v>11.902</v>
      </c>
      <c r="H7" s="4" t="n">
        <f aca="false">IF(COUNT(B7:F7)&lt;5,NA(),MAX(B7:F7)-MIN(B7:F7))</f>
        <v>0.0800000000000001</v>
      </c>
      <c r="J7" s="5" t="s">
        <v>27</v>
      </c>
      <c r="K7" s="4" t="n">
        <f aca="false">MIN(B2:F11)</f>
        <v>11.84</v>
      </c>
      <c r="M7" s="5" t="s">
        <v>28</v>
      </c>
      <c r="N7" s="7" t="n">
        <f aca="false">MIN($K$3-N2,N2-$K$2)/(3*N5)</f>
        <v>0.568577777777755</v>
      </c>
      <c r="P7" s="3" t="n">
        <f aca="false">$N$2</f>
        <v>11.8866666666667</v>
      </c>
      <c r="Q7" s="3" t="n">
        <f aca="false">$N$2+$N$12*$N$3</f>
        <v>11.9163666666667</v>
      </c>
      <c r="R7" s="3" t="n">
        <f aca="false">$N$2-$N$12*$N$3</f>
        <v>11.8569666666667</v>
      </c>
      <c r="S7" s="3" t="n">
        <f aca="false">$N$2+$N$13*$N$3</f>
        <v>11.9055166666667</v>
      </c>
      <c r="T7" s="3" t="n">
        <f aca="false">$N$2-$N$13*$N$3</f>
        <v>11.8678166666667</v>
      </c>
      <c r="U7" s="3" t="n">
        <f aca="false">$N$2+$N$16*$N$3</f>
        <v>11.9155166666667</v>
      </c>
      <c r="V7" s="3" t="n">
        <f aca="false">$N$2-$N$16*$N$3</f>
        <v>11.8578166666667</v>
      </c>
      <c r="W7" s="3" t="n">
        <f aca="false">$N$3</f>
        <v>0.0500000000000001</v>
      </c>
      <c r="X7" s="3" t="n">
        <f aca="false">$N$14*$N$3</f>
        <v>0.118</v>
      </c>
      <c r="Y7" s="3" t="n">
        <f aca="false">$N$15*$N$3</f>
        <v>0.0905000000000002</v>
      </c>
      <c r="Z7" s="3" t="n">
        <f aca="false">$N$17*$N$3</f>
        <v>0.1057</v>
      </c>
    </row>
    <row r="8" customFormat="false" ht="15" hidden="false" customHeight="false" outlineLevel="0" collapsed="false">
      <c r="A8" s="2" t="n">
        <v>7</v>
      </c>
      <c r="B8" s="8"/>
      <c r="C8" s="8"/>
      <c r="D8" s="8"/>
      <c r="E8" s="8"/>
      <c r="F8" s="8"/>
      <c r="G8" s="3" t="e">
        <f aca="false">IF(COUNT(B8:F8)&lt;5,NA(),AVERAGE(B8:F8))</f>
        <v>#N/A</v>
      </c>
      <c r="H8" s="4" t="e">
        <f aca="false">IF(COUNT(B8:F8)&lt;5,NA(),MAX(B8:F8)-MIN(B8:F8))</f>
        <v>#N/A</v>
      </c>
      <c r="J8" s="5" t="s">
        <v>29</v>
      </c>
      <c r="K8" s="4" t="n">
        <f aca="false">MAX(B2:F11)</f>
        <v>11.93</v>
      </c>
      <c r="M8" s="5" t="s">
        <v>30</v>
      </c>
      <c r="N8" s="7" t="n">
        <f aca="false">($K$3-$K$2)/(6*K6)</f>
        <v>0.945687928385855</v>
      </c>
      <c r="P8" s="3" t="n">
        <f aca="false">$N$2</f>
        <v>11.8866666666667</v>
      </c>
      <c r="Q8" s="3" t="n">
        <f aca="false">$N$2+$N$12*$N$3</f>
        <v>11.9163666666667</v>
      </c>
      <c r="R8" s="3" t="n">
        <f aca="false">$N$2-$N$12*$N$3</f>
        <v>11.8569666666667</v>
      </c>
      <c r="S8" s="3" t="n">
        <f aca="false">$N$2+$N$13*$N$3</f>
        <v>11.9055166666667</v>
      </c>
      <c r="T8" s="3" t="n">
        <f aca="false">$N$2-$N$13*$N$3</f>
        <v>11.8678166666667</v>
      </c>
      <c r="U8" s="3" t="n">
        <f aca="false">$N$2+$N$16*$N$3</f>
        <v>11.9155166666667</v>
      </c>
      <c r="V8" s="3" t="n">
        <f aca="false">$N$2-$N$16*$N$3</f>
        <v>11.8578166666667</v>
      </c>
      <c r="W8" s="3" t="n">
        <f aca="false">$N$3</f>
        <v>0.0500000000000001</v>
      </c>
      <c r="X8" s="3" t="n">
        <f aca="false">$N$14*$N$3</f>
        <v>0.118</v>
      </c>
      <c r="Y8" s="3" t="n">
        <f aca="false">$N$15*$N$3</f>
        <v>0.0905000000000002</v>
      </c>
      <c r="Z8" s="3" t="n">
        <f aca="false">$N$17*$N$3</f>
        <v>0.1057</v>
      </c>
    </row>
    <row r="9" customFormat="false" ht="15" hidden="false" customHeight="false" outlineLevel="0" collapsed="false">
      <c r="A9" s="2" t="n">
        <v>8</v>
      </c>
      <c r="B9" s="8"/>
      <c r="C9" s="8"/>
      <c r="D9" s="8"/>
      <c r="E9" s="8"/>
      <c r="F9" s="8"/>
      <c r="G9" s="3" t="e">
        <f aca="false">IF(COUNT(B9:F9)&lt;5,NA(),AVERAGE(B9:F9))</f>
        <v>#N/A</v>
      </c>
      <c r="H9" s="4" t="e">
        <f aca="false">IF(COUNT(B9:F9)&lt;5,NA(),MAX(B9:F9)-MIN(B9:F9))</f>
        <v>#N/A</v>
      </c>
      <c r="J9" s="5" t="s">
        <v>31</v>
      </c>
      <c r="K9" s="3" t="n">
        <f aca="false">6*K6</f>
        <v>0.158614692540305</v>
      </c>
      <c r="M9" s="5" t="s">
        <v>32</v>
      </c>
      <c r="N9" s="7" t="n">
        <f aca="false">MIN($K$3-K5,K5-$K$2)/(3*K6)</f>
        <v>0.4623363205442</v>
      </c>
      <c r="P9" s="3" t="n">
        <f aca="false">$N$2</f>
        <v>11.8866666666667</v>
      </c>
      <c r="Q9" s="3" t="n">
        <f aca="false">$N$2+$N$12*$N$3</f>
        <v>11.9163666666667</v>
      </c>
      <c r="R9" s="3" t="n">
        <f aca="false">$N$2-$N$12*$N$3</f>
        <v>11.8569666666667</v>
      </c>
      <c r="S9" s="3" t="n">
        <f aca="false">$N$2+$N$13*$N$3</f>
        <v>11.9055166666667</v>
      </c>
      <c r="T9" s="3" t="n">
        <f aca="false">$N$2-$N$13*$N$3</f>
        <v>11.8678166666667</v>
      </c>
      <c r="U9" s="3" t="n">
        <f aca="false">$N$2+$N$16*$N$3</f>
        <v>11.9155166666667</v>
      </c>
      <c r="V9" s="3" t="n">
        <f aca="false">$N$2-$N$16*$N$3</f>
        <v>11.8578166666667</v>
      </c>
      <c r="W9" s="3" t="n">
        <f aca="false">$N$3</f>
        <v>0.0500000000000001</v>
      </c>
      <c r="X9" s="3" t="n">
        <f aca="false">$N$14*$N$3</f>
        <v>0.118</v>
      </c>
      <c r="Y9" s="3" t="n">
        <f aca="false">$N$15*$N$3</f>
        <v>0.0905000000000002</v>
      </c>
      <c r="Z9" s="3" t="n">
        <f aca="false">$N$17*$N$3</f>
        <v>0.1057</v>
      </c>
    </row>
    <row r="10" customFormat="false" ht="15" hidden="false" customHeight="false" outlineLevel="0" collapsed="false">
      <c r="A10" s="2" t="n">
        <v>9</v>
      </c>
      <c r="B10" s="8"/>
      <c r="C10" s="8"/>
      <c r="D10" s="8"/>
      <c r="E10" s="8"/>
      <c r="F10" s="8"/>
      <c r="G10" s="3" t="e">
        <f aca="false">IF(COUNT(B10:F10)&lt;5,NA(),AVERAGE(B10:F10))</f>
        <v>#N/A</v>
      </c>
      <c r="H10" s="4" t="e">
        <f aca="false">IF(COUNT(B10:F10)&lt;5,NA(),MAX(B10:F10)-MIN(B10:F10))</f>
        <v>#N/A</v>
      </c>
      <c r="P10" s="3" t="n">
        <f aca="false">$N$2</f>
        <v>11.8866666666667</v>
      </c>
      <c r="Q10" s="3" t="n">
        <f aca="false">$N$2+$N$12*$N$3</f>
        <v>11.9163666666667</v>
      </c>
      <c r="R10" s="3" t="n">
        <f aca="false">$N$2-$N$12*$N$3</f>
        <v>11.8569666666667</v>
      </c>
      <c r="S10" s="3" t="n">
        <f aca="false">$N$2+$N$13*$N$3</f>
        <v>11.9055166666667</v>
      </c>
      <c r="T10" s="3" t="n">
        <f aca="false">$N$2-$N$13*$N$3</f>
        <v>11.8678166666667</v>
      </c>
      <c r="U10" s="3" t="n">
        <f aca="false">$N$2+$N$16*$N$3</f>
        <v>11.9155166666667</v>
      </c>
      <c r="V10" s="3" t="n">
        <f aca="false">$N$2-$N$16*$N$3</f>
        <v>11.8578166666667</v>
      </c>
      <c r="W10" s="3" t="n">
        <f aca="false">$N$3</f>
        <v>0.0500000000000001</v>
      </c>
      <c r="X10" s="3" t="n">
        <f aca="false">$N$14*$N$3</f>
        <v>0.118</v>
      </c>
      <c r="Y10" s="3" t="n">
        <f aca="false">$N$15*$N$3</f>
        <v>0.0905000000000002</v>
      </c>
      <c r="Z10" s="3" t="n">
        <f aca="false">$N$17*$N$3</f>
        <v>0.1057</v>
      </c>
    </row>
    <row r="11" customFormat="false" ht="15" hidden="false" customHeight="false" outlineLevel="0" collapsed="false">
      <c r="A11" s="2" t="n">
        <v>10</v>
      </c>
      <c r="B11" s="8"/>
      <c r="C11" s="8"/>
      <c r="D11" s="8"/>
      <c r="E11" s="8"/>
      <c r="F11" s="8"/>
      <c r="G11" s="3" t="e">
        <f aca="false">IF(COUNT(B11:F11)&lt;5,NA(),AVERAGE(B11:F11))</f>
        <v>#N/A</v>
      </c>
      <c r="H11" s="4" t="e">
        <f aca="false">IF(COUNT(B11:F11)&lt;5,NA(),MAX(B11:F11)-MIN(B11:F11))</f>
        <v>#N/A</v>
      </c>
      <c r="M11" s="9" t="s">
        <v>33</v>
      </c>
      <c r="P11" s="3" t="n">
        <f aca="false">$N$2</f>
        <v>11.8866666666667</v>
      </c>
      <c r="Q11" s="3" t="n">
        <f aca="false">$N$2+$N$12*$N$3</f>
        <v>11.9163666666667</v>
      </c>
      <c r="R11" s="3" t="n">
        <f aca="false">$N$2-$N$12*$N$3</f>
        <v>11.8569666666667</v>
      </c>
      <c r="S11" s="3" t="n">
        <f aca="false">$N$2+$N$13*$N$3</f>
        <v>11.9055166666667</v>
      </c>
      <c r="T11" s="3" t="n">
        <f aca="false">$N$2-$N$13*$N$3</f>
        <v>11.8678166666667</v>
      </c>
      <c r="U11" s="3" t="n">
        <f aca="false">$N$2+$N$16*$N$3</f>
        <v>11.9155166666667</v>
      </c>
      <c r="V11" s="3" t="n">
        <f aca="false">$N$2-$N$16*$N$3</f>
        <v>11.8578166666667</v>
      </c>
      <c r="W11" s="3" t="n">
        <f aca="false">$N$3</f>
        <v>0.0500000000000001</v>
      </c>
      <c r="X11" s="3" t="n">
        <f aca="false">$N$14*$N$3</f>
        <v>0.118</v>
      </c>
      <c r="Y11" s="3" t="n">
        <f aca="false">$N$15*$N$3</f>
        <v>0.0905000000000002</v>
      </c>
      <c r="Z11" s="3" t="n">
        <f aca="false">$N$17*$N$3</f>
        <v>0.1057</v>
      </c>
    </row>
    <row r="12" customFormat="false" ht="28.35" hidden="false" customHeight="false" outlineLevel="0" collapsed="false">
      <c r="J12" s="1" t="s">
        <v>34</v>
      </c>
      <c r="K12" s="1" t="s">
        <v>35</v>
      </c>
      <c r="L12" s="1" t="s">
        <v>36</v>
      </c>
      <c r="M12" s="5" t="s">
        <v>37</v>
      </c>
      <c r="N12" s="0" t="n">
        <v>0.594</v>
      </c>
    </row>
    <row r="13" customFormat="false" ht="15" hidden="false" customHeight="true" outlineLevel="0" collapsed="false">
      <c r="A13" s="10" t="s">
        <v>38</v>
      </c>
      <c r="B13" s="10"/>
      <c r="C13" s="10"/>
      <c r="D13" s="10"/>
      <c r="E13" s="10"/>
      <c r="F13" s="10"/>
      <c r="G13" s="10"/>
      <c r="H13" s="10"/>
      <c r="J13" s="2" t="n">
        <v>11.825</v>
      </c>
      <c r="K13" s="4" t="n">
        <f aca="false">J13+0.01</f>
        <v>11.835</v>
      </c>
      <c r="L13" s="6" t="n">
        <f aca="false">COUNTIFS($B$2:$F$11,"&gt;="&amp;J13,$B$2:$F$11,"&lt;"&amp;K13)</f>
        <v>0</v>
      </c>
      <c r="M13" s="5" t="s">
        <v>39</v>
      </c>
      <c r="N13" s="0" t="n">
        <v>0.377</v>
      </c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J14" s="4" t="n">
        <f aca="false">K13</f>
        <v>11.835</v>
      </c>
      <c r="K14" s="4" t="n">
        <f aca="false">J14+0.01</f>
        <v>11.845</v>
      </c>
      <c r="L14" s="6" t="n">
        <f aca="false">COUNTIFS($B$2:$F$11,"&gt;="&amp;J14,$B$2:$F$11,"&lt;"&amp;K14)</f>
        <v>2</v>
      </c>
      <c r="M14" s="5" t="s">
        <v>40</v>
      </c>
      <c r="N14" s="0" t="n">
        <v>2.36</v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J15" s="4" t="n">
        <f aca="false">K14</f>
        <v>11.845</v>
      </c>
      <c r="K15" s="4" t="n">
        <f aca="false">J15+0.01</f>
        <v>11.855</v>
      </c>
      <c r="L15" s="6" t="n">
        <f aca="false">COUNTIFS($B$2:$F$11,"&gt;="&amp;J15,$B$2:$F$11,"&lt;"&amp;K15)</f>
        <v>2</v>
      </c>
      <c r="M15" s="5" t="s">
        <v>41</v>
      </c>
      <c r="N15" s="0" t="n">
        <v>1.81</v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J16" s="4" t="n">
        <f aca="false">K15</f>
        <v>11.855</v>
      </c>
      <c r="K16" s="4" t="n">
        <f aca="false">J16+0.01</f>
        <v>11.865</v>
      </c>
      <c r="L16" s="6" t="n">
        <f aca="false">COUNTIFS($B$2:$F$11,"&gt;="&amp;J16,$B$2:$F$11,"&lt;"&amp;K16)</f>
        <v>3</v>
      </c>
      <c r="M16" s="5" t="s">
        <v>42</v>
      </c>
      <c r="N16" s="0" t="n">
        <v>0.577</v>
      </c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J17" s="4" t="n">
        <f aca="false">K16</f>
        <v>11.865</v>
      </c>
      <c r="K17" s="4" t="n">
        <f aca="false">J17+0.01</f>
        <v>11.875</v>
      </c>
      <c r="L17" s="6" t="n">
        <f aca="false">COUNTIFS($B$2:$F$11,"&gt;="&amp;J17,$B$2:$F$11,"&lt;"&amp;K17)</f>
        <v>4</v>
      </c>
      <c r="M17" s="5" t="s">
        <v>43</v>
      </c>
      <c r="N17" s="0" t="n">
        <v>2.114</v>
      </c>
    </row>
    <row r="18" customFormat="false" ht="15" hidden="false" customHeight="false" outlineLevel="0" collapsed="false">
      <c r="J18" s="4" t="n">
        <f aca="false">K17</f>
        <v>11.875</v>
      </c>
      <c r="K18" s="4" t="n">
        <f aca="false">J18+0.01</f>
        <v>11.885</v>
      </c>
      <c r="L18" s="6" t="n">
        <f aca="false">COUNTIFS($B$2:$F$11,"&gt;="&amp;J18,$B$2:$F$11,"&lt;"&amp;K18)</f>
        <v>3</v>
      </c>
    </row>
    <row r="19" customFormat="false" ht="15" hidden="false" customHeight="false" outlineLevel="0" collapsed="false">
      <c r="J19" s="4" t="n">
        <f aca="false">K18</f>
        <v>11.885</v>
      </c>
      <c r="K19" s="4" t="n">
        <f aca="false">J19+0.01</f>
        <v>11.895</v>
      </c>
      <c r="L19" s="6" t="n">
        <f aca="false">COUNTIFS($B$2:$F$11,"&gt;="&amp;J19,$B$2:$F$11,"&lt;"&amp;K19)</f>
        <v>4</v>
      </c>
    </row>
    <row r="20" customFormat="false" ht="15" hidden="false" customHeight="false" outlineLevel="0" collapsed="false">
      <c r="J20" s="4" t="n">
        <f aca="false">K19</f>
        <v>11.895</v>
      </c>
      <c r="K20" s="4" t="n">
        <f aca="false">J20+0.01</f>
        <v>11.905</v>
      </c>
      <c r="L20" s="6" t="n">
        <f aca="false">COUNTIFS($B$2:$F$11,"&gt;="&amp;J20,$B$2:$F$11,"&lt;"&amp;K20)</f>
        <v>3</v>
      </c>
    </row>
    <row r="21" customFormat="false" ht="15" hidden="false" customHeight="false" outlineLevel="0" collapsed="false">
      <c r="J21" s="4" t="n">
        <f aca="false">K20</f>
        <v>11.905</v>
      </c>
      <c r="K21" s="4" t="n">
        <f aca="false">J21+0.01</f>
        <v>11.915</v>
      </c>
      <c r="L21" s="6" t="n">
        <f aca="false">COUNTIFS($B$2:$F$11,"&gt;="&amp;J21,$B$2:$F$11,"&lt;"&amp;K21)</f>
        <v>4</v>
      </c>
    </row>
    <row r="22" customFormat="false" ht="15" hidden="false" customHeight="false" outlineLevel="0" collapsed="false">
      <c r="J22" s="4" t="n">
        <f aca="false">K21</f>
        <v>11.915</v>
      </c>
      <c r="K22" s="4" t="n">
        <f aca="false">J22+0.01</f>
        <v>11.925</v>
      </c>
      <c r="L22" s="6" t="n">
        <f aca="false">COUNTIFS($B$2:$F$11,"&gt;="&amp;J22,$B$2:$F$11,"&lt;"&amp;K22)</f>
        <v>3</v>
      </c>
    </row>
    <row r="23" customFormat="false" ht="15" hidden="false" customHeight="false" outlineLevel="0" collapsed="false">
      <c r="J23" s="4" t="n">
        <f aca="false">K22</f>
        <v>11.925</v>
      </c>
      <c r="K23" s="4" t="n">
        <f aca="false">J23+0.01</f>
        <v>11.935</v>
      </c>
      <c r="L23" s="6" t="n">
        <f aca="false">COUNTIFS($B$2:$F$11,"&gt;="&amp;J23,$B$2:$F$11,"&lt;"&amp;K23)</f>
        <v>2</v>
      </c>
    </row>
    <row r="24" customFormat="false" ht="15" hidden="false" customHeight="false" outlineLevel="0" collapsed="false">
      <c r="J24" s="4" t="n">
        <f aca="false">K23</f>
        <v>11.935</v>
      </c>
      <c r="K24" s="4" t="n">
        <f aca="false">J24+0.01</f>
        <v>11.945</v>
      </c>
      <c r="L24" s="6" t="n">
        <f aca="false">COUNTIFS($B$2:$F$11,"&gt;="&amp;J24,$B$2:$F$11,"&lt;"&amp;K24)</f>
        <v>0</v>
      </c>
    </row>
    <row r="25" customFormat="false" ht="15" hidden="false" customHeight="false" outlineLevel="0" collapsed="false">
      <c r="J25" s="4" t="n">
        <f aca="false">K24</f>
        <v>11.945</v>
      </c>
      <c r="K25" s="4" t="n">
        <f aca="false">J25+0.01</f>
        <v>11.955</v>
      </c>
      <c r="L25" s="6" t="n">
        <f aca="false">COUNTIFS($B$2:$F$11,"&gt;="&amp;J25,$B$2:$F$11,"&lt;"&amp;K25)</f>
        <v>0</v>
      </c>
    </row>
    <row r="26" customFormat="false" ht="15" hidden="false" customHeight="false" outlineLevel="0" collapsed="false">
      <c r="J26" s="4" t="n">
        <f aca="false">K25</f>
        <v>11.955</v>
      </c>
      <c r="K26" s="4" t="n">
        <f aca="false">J26+0.01</f>
        <v>11.965</v>
      </c>
      <c r="L26" s="6" t="n">
        <f aca="false">COUNTIFS($B$2:$F$11,"&gt;="&amp;J26,$B$2:$F$11,"&lt;"&amp;K26)</f>
        <v>0</v>
      </c>
    </row>
    <row r="27" customFormat="false" ht="15" hidden="false" customHeight="false" outlineLevel="0" collapsed="false">
      <c r="J27" s="4" t="n">
        <f aca="false">K26</f>
        <v>11.965</v>
      </c>
      <c r="K27" s="4" t="n">
        <f aca="false">J27+0.01</f>
        <v>11.975</v>
      </c>
      <c r="L27" s="6" t="n">
        <f aca="false">COUNTIFS($B$2:$F$11,"&gt;="&amp;J27,$B$2:$F$11,"&lt;"&amp;K27)</f>
        <v>0</v>
      </c>
    </row>
    <row r="28" customFormat="false" ht="15" hidden="false" customHeight="false" outlineLevel="0" collapsed="false">
      <c r="J28" s="4" t="n">
        <f aca="false">K27</f>
        <v>11.975</v>
      </c>
      <c r="K28" s="4" t="n">
        <f aca="false">J28+0.01</f>
        <v>11.985</v>
      </c>
      <c r="L28" s="6" t="n">
        <f aca="false">COUNTIFS($B$2:$F$11,"&gt;="&amp;J28,$B$2:$F$11,"&lt;"&amp;K28)</f>
        <v>0</v>
      </c>
    </row>
    <row r="29" customFormat="false" ht="15" hidden="false" customHeight="false" outlineLevel="0" collapsed="false">
      <c r="J29" s="4" t="n">
        <f aca="false">K28</f>
        <v>11.985</v>
      </c>
      <c r="K29" s="4" t="n">
        <f aca="false">J29+0.01</f>
        <v>11.995</v>
      </c>
      <c r="L29" s="6" t="n">
        <f aca="false">COUNTIFS($B$2:$F$11,"&gt;="&amp;J29,$B$2:$F$11,"&lt;"&amp;K29)</f>
        <v>0</v>
      </c>
    </row>
    <row r="30" customFormat="false" ht="15" hidden="false" customHeight="false" outlineLevel="0" collapsed="false">
      <c r="K30" s="0" t="s">
        <v>44</v>
      </c>
      <c r="L30" s="6" t="n">
        <f aca="false">SUM(L13:L29)</f>
        <v>30</v>
      </c>
    </row>
  </sheetData>
  <mergeCells count="1">
    <mergeCell ref="A13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8.35" hidden="false" customHeight="false" outlineLevel="0" collapsed="false">
      <c r="A1" s="1" t="s">
        <v>45</v>
      </c>
      <c r="B1" s="1" t="s">
        <v>46</v>
      </c>
      <c r="C1" s="1" t="s">
        <v>47</v>
      </c>
      <c r="D1" s="1" t="s">
        <v>48</v>
      </c>
    </row>
    <row r="2" customFormat="false" ht="15" hidden="false" customHeight="false" outlineLevel="0" collapsed="false">
      <c r="A2" s="0" t="n">
        <v>1</v>
      </c>
      <c r="B2" s="4" t="n">
        <f aca="false">IF(A2&gt;Lot!$K$4,NA(),SMALL(Lot!$B$2:$F$11,A2))</f>
        <v>11.84</v>
      </c>
      <c r="C2" s="4" t="n">
        <f aca="false">IF(A2&gt;Lot!$K$4,NA(),(A2-0.5)/Lot!$K$4)</f>
        <v>0.0166666666666667</v>
      </c>
      <c r="D2" s="4" t="n">
        <f aca="false">IF(A2&gt;Lot!$K$4,NA(),_xlfn.NORM.S.INV(C2))</f>
        <v>-2.12804523418498</v>
      </c>
    </row>
    <row r="3" customFormat="false" ht="15" hidden="false" customHeight="false" outlineLevel="0" collapsed="false">
      <c r="A3" s="0" t="n">
        <v>2</v>
      </c>
      <c r="B3" s="4" t="n">
        <f aca="false">IF(A3&gt;Lot!$K$4,NA(),SMALL(Lot!$B$2:$F$11,A3))</f>
        <v>11.84</v>
      </c>
      <c r="C3" s="4" t="n">
        <f aca="false">IF(A3&gt;Lot!$K$4,NA(),(A3-0.5)/Lot!$K$4)</f>
        <v>0.05</v>
      </c>
      <c r="D3" s="4" t="n">
        <f aca="false">IF(A3&gt;Lot!$K$4,NA(),_xlfn.NORM.S.INV(C3))</f>
        <v>-1.64485362695147</v>
      </c>
    </row>
    <row r="4" customFormat="false" ht="15" hidden="false" customHeight="false" outlineLevel="0" collapsed="false">
      <c r="A4" s="0" t="n">
        <v>3</v>
      </c>
      <c r="B4" s="4" t="n">
        <f aca="false">IF(A4&gt;Lot!$K$4,NA(),SMALL(Lot!$B$2:$F$11,A4))</f>
        <v>11.85</v>
      </c>
      <c r="C4" s="4" t="n">
        <f aca="false">IF(A4&gt;Lot!$K$4,NA(),(A4-0.5)/Lot!$K$4)</f>
        <v>0.0833333333333333</v>
      </c>
      <c r="D4" s="4" t="n">
        <f aca="false">IF(A4&gt;Lot!$K$4,NA(),_xlfn.NORM.S.INV(C4))</f>
        <v>-1.38299412710064</v>
      </c>
    </row>
    <row r="5" customFormat="false" ht="15" hidden="false" customHeight="false" outlineLevel="0" collapsed="false">
      <c r="A5" s="0" t="n">
        <v>4</v>
      </c>
      <c r="B5" s="4" t="n">
        <f aca="false">IF(A5&gt;Lot!$K$4,NA(),SMALL(Lot!$B$2:$F$11,A5))</f>
        <v>11.85</v>
      </c>
      <c r="C5" s="4" t="n">
        <f aca="false">IF(A5&gt;Lot!$K$4,NA(),(A5-0.5)/Lot!$K$4)</f>
        <v>0.116666666666667</v>
      </c>
      <c r="D5" s="4" t="n">
        <f aca="false">IF(A5&gt;Lot!$K$4,NA(),_xlfn.NORM.S.INV(C5))</f>
        <v>-1.19181617168139</v>
      </c>
    </row>
    <row r="6" customFormat="false" ht="15" hidden="false" customHeight="false" outlineLevel="0" collapsed="false">
      <c r="A6" s="0" t="n">
        <v>5</v>
      </c>
      <c r="B6" s="4" t="n">
        <f aca="false">IF(A6&gt;Lot!$K$4,NA(),SMALL(Lot!$B$2:$F$11,A6))</f>
        <v>11.86</v>
      </c>
      <c r="C6" s="4" t="n">
        <f aca="false">IF(A6&gt;Lot!$K$4,NA(),(A6-0.5)/Lot!$K$4)</f>
        <v>0.15</v>
      </c>
      <c r="D6" s="4" t="n">
        <f aca="false">IF(A6&gt;Lot!$K$4,NA(),_xlfn.NORM.S.INV(C6))</f>
        <v>-1.03643338949379</v>
      </c>
    </row>
    <row r="7" customFormat="false" ht="15" hidden="false" customHeight="false" outlineLevel="0" collapsed="false">
      <c r="A7" s="0" t="n">
        <v>6</v>
      </c>
      <c r="B7" s="4" t="n">
        <f aca="false">IF(A7&gt;Lot!$K$4,NA(),SMALL(Lot!$B$2:$F$11,A7))</f>
        <v>11.86</v>
      </c>
      <c r="C7" s="4" t="n">
        <f aca="false">IF(A7&gt;Lot!$K$4,NA(),(A7-0.5)/Lot!$K$4)</f>
        <v>0.183333333333333</v>
      </c>
      <c r="D7" s="4" t="n">
        <f aca="false">IF(A7&gt;Lot!$K$4,NA(),_xlfn.NORM.S.INV(C7))</f>
        <v>-0.902734791643865</v>
      </c>
    </row>
    <row r="8" customFormat="false" ht="15" hidden="false" customHeight="false" outlineLevel="0" collapsed="false">
      <c r="A8" s="0" t="n">
        <v>7</v>
      </c>
      <c r="B8" s="4" t="n">
        <f aca="false">IF(A8&gt;Lot!$K$4,NA(),SMALL(Lot!$B$2:$F$11,A8))</f>
        <v>11.86</v>
      </c>
      <c r="C8" s="4" t="n">
        <f aca="false">IF(A8&gt;Lot!$K$4,NA(),(A8-0.5)/Lot!$K$4)</f>
        <v>0.216666666666667</v>
      </c>
      <c r="D8" s="4" t="n">
        <f aca="false">IF(A8&gt;Lot!$K$4,NA(),_xlfn.NORM.S.INV(C8))</f>
        <v>-0.783500375389774</v>
      </c>
    </row>
    <row r="9" customFormat="false" ht="15" hidden="false" customHeight="false" outlineLevel="0" collapsed="false">
      <c r="A9" s="0" t="n">
        <v>8</v>
      </c>
      <c r="B9" s="4" t="n">
        <f aca="false">IF(A9&gt;Lot!$K$4,NA(),SMALL(Lot!$B$2:$F$11,A9))</f>
        <v>11.87</v>
      </c>
      <c r="C9" s="4" t="n">
        <f aca="false">IF(A9&gt;Lot!$K$4,NA(),(A9-0.5)/Lot!$K$4)</f>
        <v>0.25</v>
      </c>
      <c r="D9" s="4" t="n">
        <f aca="false">IF(A9&gt;Lot!$K$4,NA(),_xlfn.NORM.S.INV(C9))</f>
        <v>-0.674489750196082</v>
      </c>
    </row>
    <row r="10" customFormat="false" ht="15" hidden="false" customHeight="false" outlineLevel="0" collapsed="false">
      <c r="A10" s="0" t="n">
        <v>9</v>
      </c>
      <c r="B10" s="4" t="n">
        <f aca="false">IF(A10&gt;Lot!$K$4,NA(),SMALL(Lot!$B$2:$F$11,A10))</f>
        <v>11.87</v>
      </c>
      <c r="C10" s="4" t="n">
        <f aca="false">IF(A10&gt;Lot!$K$4,NA(),(A10-0.5)/Lot!$K$4)</f>
        <v>0.283333333333333</v>
      </c>
      <c r="D10" s="4" t="n">
        <f aca="false">IF(A10&gt;Lot!$K$4,NA(),_xlfn.NORM.S.INV(C10))</f>
        <v>-0.572967548495464</v>
      </c>
    </row>
    <row r="11" customFormat="false" ht="15" hidden="false" customHeight="false" outlineLevel="0" collapsed="false">
      <c r="A11" s="0" t="n">
        <v>10</v>
      </c>
      <c r="B11" s="4" t="n">
        <f aca="false">IF(A11&gt;Lot!$K$4,NA(),SMALL(Lot!$B$2:$F$11,A11))</f>
        <v>11.87</v>
      </c>
      <c r="C11" s="4" t="n">
        <f aca="false">IF(A11&gt;Lot!$K$4,NA(),(A11-0.5)/Lot!$K$4)</f>
        <v>0.316666666666667</v>
      </c>
      <c r="D11" s="4" t="n">
        <f aca="false">IF(A11&gt;Lot!$K$4,NA(),_xlfn.NORM.S.INV(C11))</f>
        <v>-0.477040428489443</v>
      </c>
    </row>
    <row r="12" customFormat="false" ht="15" hidden="false" customHeight="false" outlineLevel="0" collapsed="false">
      <c r="A12" s="0" t="n">
        <v>11</v>
      </c>
      <c r="B12" s="4" t="n">
        <f aca="false">IF(A12&gt;Lot!$K$4,NA(),SMALL(Lot!$B$2:$F$11,A12))</f>
        <v>11.87</v>
      </c>
      <c r="C12" s="4" t="n">
        <f aca="false">IF(A12&gt;Lot!$K$4,NA(),(A12-0.5)/Lot!$K$4)</f>
        <v>0.35</v>
      </c>
      <c r="D12" s="4" t="n">
        <f aca="false">IF(A12&gt;Lot!$K$4,NA(),_xlfn.NORM.S.INV(C12))</f>
        <v>-0.385320466407568</v>
      </c>
    </row>
    <row r="13" customFormat="false" ht="15" hidden="false" customHeight="false" outlineLevel="0" collapsed="false">
      <c r="A13" s="0" t="n">
        <v>12</v>
      </c>
      <c r="B13" s="4" t="n">
        <f aca="false">IF(A13&gt;Lot!$K$4,NA(),SMALL(Lot!$B$2:$F$11,A13))</f>
        <v>11.88</v>
      </c>
      <c r="C13" s="4" t="n">
        <f aca="false">IF(A13&gt;Lot!$K$4,NA(),(A13-0.5)/Lot!$K$4)</f>
        <v>0.383333333333333</v>
      </c>
      <c r="D13" s="4" t="n">
        <f aca="false">IF(A13&gt;Lot!$K$4,NA(),_xlfn.NORM.S.INV(C13))</f>
        <v>-0.296737838259898</v>
      </c>
    </row>
    <row r="14" customFormat="false" ht="15" hidden="false" customHeight="false" outlineLevel="0" collapsed="false">
      <c r="A14" s="0" t="n">
        <v>13</v>
      </c>
      <c r="B14" s="4" t="n">
        <f aca="false">IF(A14&gt;Lot!$K$4,NA(),SMALL(Lot!$B$2:$F$11,A14))</f>
        <v>11.88</v>
      </c>
      <c r="C14" s="4" t="n">
        <f aca="false">IF(A14&gt;Lot!$K$4,NA(),(A14-0.5)/Lot!$K$4)</f>
        <v>0.416666666666667</v>
      </c>
      <c r="D14" s="4" t="n">
        <f aca="false">IF(A14&gt;Lot!$K$4,NA(),_xlfn.NORM.S.INV(C14))</f>
        <v>-0.210428394247925</v>
      </c>
    </row>
    <row r="15" customFormat="false" ht="15" hidden="false" customHeight="false" outlineLevel="0" collapsed="false">
      <c r="A15" s="0" t="n">
        <v>14</v>
      </c>
      <c r="B15" s="4" t="n">
        <f aca="false">IF(A15&gt;Lot!$K$4,NA(),SMALL(Lot!$B$2:$F$11,A15))</f>
        <v>11.88</v>
      </c>
      <c r="C15" s="4" t="n">
        <f aca="false">IF(A15&gt;Lot!$K$4,NA(),(A15-0.5)/Lot!$K$4)</f>
        <v>0.45</v>
      </c>
      <c r="D15" s="4" t="n">
        <f aca="false">IF(A15&gt;Lot!$K$4,NA(),_xlfn.NORM.S.INV(C15))</f>
        <v>-0.125661346855074</v>
      </c>
    </row>
    <row r="16" customFormat="false" ht="15" hidden="false" customHeight="false" outlineLevel="0" collapsed="false">
      <c r="A16" s="0" t="n">
        <v>15</v>
      </c>
      <c r="B16" s="4" t="n">
        <f aca="false">IF(A16&gt;Lot!$K$4,NA(),SMALL(Lot!$B$2:$F$11,A16))</f>
        <v>11.89</v>
      </c>
      <c r="C16" s="4" t="n">
        <f aca="false">IF(A16&gt;Lot!$K$4,NA(),(A16-0.5)/Lot!$K$4)</f>
        <v>0.483333333333333</v>
      </c>
      <c r="D16" s="4" t="n">
        <f aca="false">IF(A16&gt;Lot!$K$4,NA(),_xlfn.NORM.S.INV(C16))</f>
        <v>-0.0417892978164538</v>
      </c>
    </row>
    <row r="17" customFormat="false" ht="15" hidden="false" customHeight="false" outlineLevel="0" collapsed="false">
      <c r="A17" s="0" t="n">
        <v>16</v>
      </c>
      <c r="B17" s="4" t="n">
        <f aca="false">IF(A17&gt;Lot!$K$4,NA(),SMALL(Lot!$B$2:$F$11,A17))</f>
        <v>11.89</v>
      </c>
      <c r="C17" s="4" t="n">
        <f aca="false">IF(A17&gt;Lot!$K$4,NA(),(A17-0.5)/Lot!$K$4)</f>
        <v>0.516666666666667</v>
      </c>
      <c r="D17" s="4" t="n">
        <f aca="false">IF(A17&gt;Lot!$K$4,NA(),_xlfn.NORM.S.INV(C17))</f>
        <v>0.041789297816454</v>
      </c>
    </row>
    <row r="18" customFormat="false" ht="15" hidden="false" customHeight="false" outlineLevel="0" collapsed="false">
      <c r="A18" s="0" t="n">
        <v>17</v>
      </c>
      <c r="B18" s="4" t="n">
        <f aca="false">IF(A18&gt;Lot!$K$4,NA(),SMALL(Lot!$B$2:$F$11,A18))</f>
        <v>11.89</v>
      </c>
      <c r="C18" s="4" t="n">
        <f aca="false">IF(A18&gt;Lot!$K$4,NA(),(A18-0.5)/Lot!$K$4)</f>
        <v>0.55</v>
      </c>
      <c r="D18" s="4" t="n">
        <f aca="false">IF(A18&gt;Lot!$K$4,NA(),_xlfn.NORM.S.INV(C18))</f>
        <v>0.125661346855074</v>
      </c>
    </row>
    <row r="19" customFormat="false" ht="15" hidden="false" customHeight="false" outlineLevel="0" collapsed="false">
      <c r="A19" s="0" t="n">
        <v>18</v>
      </c>
      <c r="B19" s="4" t="n">
        <f aca="false">IF(A19&gt;Lot!$K$4,NA(),SMALL(Lot!$B$2:$F$11,A19))</f>
        <v>11.89</v>
      </c>
      <c r="C19" s="4" t="n">
        <f aca="false">IF(A19&gt;Lot!$K$4,NA(),(A19-0.5)/Lot!$K$4)</f>
        <v>0.583333333333333</v>
      </c>
      <c r="D19" s="4" t="n">
        <f aca="false">IF(A19&gt;Lot!$K$4,NA(),_xlfn.NORM.S.INV(C19))</f>
        <v>0.210428394247925</v>
      </c>
    </row>
    <row r="20" customFormat="false" ht="15" hidden="false" customHeight="false" outlineLevel="0" collapsed="false">
      <c r="A20" s="0" t="n">
        <v>19</v>
      </c>
      <c r="B20" s="4" t="n">
        <f aca="false">IF(A20&gt;Lot!$K$4,NA(),SMALL(Lot!$B$2:$F$11,A20))</f>
        <v>11.9</v>
      </c>
      <c r="C20" s="4" t="n">
        <f aca="false">IF(A20&gt;Lot!$K$4,NA(),(A20-0.5)/Lot!$K$4)</f>
        <v>0.616666666666667</v>
      </c>
      <c r="D20" s="4" t="n">
        <f aca="false">IF(A20&gt;Lot!$K$4,NA(),_xlfn.NORM.S.INV(C20))</f>
        <v>0.296737838259898</v>
      </c>
    </row>
    <row r="21" customFormat="false" ht="15" hidden="false" customHeight="false" outlineLevel="0" collapsed="false">
      <c r="A21" s="0" t="n">
        <v>20</v>
      </c>
      <c r="B21" s="4" t="n">
        <f aca="false">IF(A21&gt;Lot!$K$4,NA(),SMALL(Lot!$B$2:$F$11,A21))</f>
        <v>11.9</v>
      </c>
      <c r="C21" s="4" t="n">
        <f aca="false">IF(A21&gt;Lot!$K$4,NA(),(A21-0.5)/Lot!$K$4)</f>
        <v>0.65</v>
      </c>
      <c r="D21" s="4" t="n">
        <f aca="false">IF(A21&gt;Lot!$K$4,NA(),_xlfn.NORM.S.INV(C21))</f>
        <v>0.385320466407568</v>
      </c>
    </row>
    <row r="22" customFormat="false" ht="15" hidden="false" customHeight="false" outlineLevel="0" collapsed="false">
      <c r="A22" s="0" t="n">
        <v>21</v>
      </c>
      <c r="B22" s="4" t="n">
        <f aca="false">IF(A22&gt;Lot!$K$4,NA(),SMALL(Lot!$B$2:$F$11,A22))</f>
        <v>11.9</v>
      </c>
      <c r="C22" s="4" t="n">
        <f aca="false">IF(A22&gt;Lot!$K$4,NA(),(A22-0.5)/Lot!$K$4)</f>
        <v>0.683333333333333</v>
      </c>
      <c r="D22" s="4" t="n">
        <f aca="false">IF(A22&gt;Lot!$K$4,NA(),_xlfn.NORM.S.INV(C22))</f>
        <v>0.477040428489443</v>
      </c>
    </row>
    <row r="23" customFormat="false" ht="15" hidden="false" customHeight="false" outlineLevel="0" collapsed="false">
      <c r="A23" s="0" t="n">
        <v>22</v>
      </c>
      <c r="B23" s="4" t="n">
        <f aca="false">IF(A23&gt;Lot!$K$4,NA(),SMALL(Lot!$B$2:$F$11,A23))</f>
        <v>11.91</v>
      </c>
      <c r="C23" s="4" t="n">
        <f aca="false">IF(A23&gt;Lot!$K$4,NA(),(A23-0.5)/Lot!$K$4)</f>
        <v>0.716666666666667</v>
      </c>
      <c r="D23" s="4" t="n">
        <f aca="false">IF(A23&gt;Lot!$K$4,NA(),_xlfn.NORM.S.INV(C23))</f>
        <v>0.572967548495464</v>
      </c>
    </row>
    <row r="24" customFormat="false" ht="15" hidden="false" customHeight="false" outlineLevel="0" collapsed="false">
      <c r="A24" s="0" t="n">
        <v>23</v>
      </c>
      <c r="B24" s="4" t="n">
        <f aca="false">IF(A24&gt;Lot!$K$4,NA(),SMALL(Lot!$B$2:$F$11,A24))</f>
        <v>11.91</v>
      </c>
      <c r="C24" s="4" t="n">
        <f aca="false">IF(A24&gt;Lot!$K$4,NA(),(A24-0.5)/Lot!$K$4)</f>
        <v>0.75</v>
      </c>
      <c r="D24" s="4" t="n">
        <f aca="false">IF(A24&gt;Lot!$K$4,NA(),_xlfn.NORM.S.INV(C24))</f>
        <v>0.674489750196082</v>
      </c>
    </row>
    <row r="25" customFormat="false" ht="15" hidden="false" customHeight="false" outlineLevel="0" collapsed="false">
      <c r="A25" s="0" t="n">
        <v>24</v>
      </c>
      <c r="B25" s="4" t="n">
        <f aca="false">IF(A25&gt;Lot!$K$4,NA(),SMALL(Lot!$B$2:$F$11,A25))</f>
        <v>11.91</v>
      </c>
      <c r="C25" s="4" t="n">
        <f aca="false">IF(A25&gt;Lot!$K$4,NA(),(A25-0.5)/Lot!$K$4)</f>
        <v>0.783333333333333</v>
      </c>
      <c r="D25" s="4" t="n">
        <f aca="false">IF(A25&gt;Lot!$K$4,NA(),_xlfn.NORM.S.INV(C25))</f>
        <v>0.783500375389774</v>
      </c>
    </row>
    <row r="26" customFormat="false" ht="15" hidden="false" customHeight="false" outlineLevel="0" collapsed="false">
      <c r="A26" s="0" t="n">
        <v>25</v>
      </c>
      <c r="B26" s="4" t="n">
        <f aca="false">IF(A26&gt;Lot!$K$4,NA(),SMALL(Lot!$B$2:$F$11,A26))</f>
        <v>11.91</v>
      </c>
      <c r="C26" s="4" t="n">
        <f aca="false">IF(A26&gt;Lot!$K$4,NA(),(A26-0.5)/Lot!$K$4)</f>
        <v>0.816666666666667</v>
      </c>
      <c r="D26" s="4" t="n">
        <f aca="false">IF(A26&gt;Lot!$K$4,NA(),_xlfn.NORM.S.INV(C26))</f>
        <v>0.902734791643865</v>
      </c>
    </row>
    <row r="27" customFormat="false" ht="15" hidden="false" customHeight="false" outlineLevel="0" collapsed="false">
      <c r="A27" s="0" t="n">
        <v>26</v>
      </c>
      <c r="B27" s="4" t="n">
        <f aca="false">IF(A27&gt;Lot!$K$4,NA(),SMALL(Lot!$B$2:$F$11,A27))</f>
        <v>11.92</v>
      </c>
      <c r="C27" s="4" t="n">
        <f aca="false">IF(A27&gt;Lot!$K$4,NA(),(A27-0.5)/Lot!$K$4)</f>
        <v>0.85</v>
      </c>
      <c r="D27" s="4" t="n">
        <f aca="false">IF(A27&gt;Lot!$K$4,NA(),_xlfn.NORM.S.INV(C27))</f>
        <v>1.03643338949379</v>
      </c>
    </row>
    <row r="28" customFormat="false" ht="15" hidden="false" customHeight="false" outlineLevel="0" collapsed="false">
      <c r="A28" s="0" t="n">
        <v>27</v>
      </c>
      <c r="B28" s="4" t="n">
        <f aca="false">IF(A28&gt;Lot!$K$4,NA(),SMALL(Lot!$B$2:$F$11,A28))</f>
        <v>11.92</v>
      </c>
      <c r="C28" s="4" t="n">
        <f aca="false">IF(A28&gt;Lot!$K$4,NA(),(A28-0.5)/Lot!$K$4)</f>
        <v>0.883333333333333</v>
      </c>
      <c r="D28" s="4" t="n">
        <f aca="false">IF(A28&gt;Lot!$K$4,NA(),_xlfn.NORM.S.INV(C28))</f>
        <v>1.19181617168139</v>
      </c>
    </row>
    <row r="29" customFormat="false" ht="15" hidden="false" customHeight="false" outlineLevel="0" collapsed="false">
      <c r="A29" s="0" t="n">
        <v>28</v>
      </c>
      <c r="B29" s="4" t="n">
        <f aca="false">IF(A29&gt;Lot!$K$4,NA(),SMALL(Lot!$B$2:$F$11,A29))</f>
        <v>11.92</v>
      </c>
      <c r="C29" s="4" t="n">
        <f aca="false">IF(A29&gt;Lot!$K$4,NA(),(A29-0.5)/Lot!$K$4)</f>
        <v>0.916666666666667</v>
      </c>
      <c r="D29" s="4" t="n">
        <f aca="false">IF(A29&gt;Lot!$K$4,NA(),_xlfn.NORM.S.INV(C29))</f>
        <v>1.38299412710064</v>
      </c>
    </row>
    <row r="30" customFormat="false" ht="15" hidden="false" customHeight="false" outlineLevel="0" collapsed="false">
      <c r="A30" s="0" t="n">
        <v>29</v>
      </c>
      <c r="B30" s="4" t="n">
        <f aca="false">IF(A30&gt;Lot!$K$4,NA(),SMALL(Lot!$B$2:$F$11,A30))</f>
        <v>11.93</v>
      </c>
      <c r="C30" s="4" t="n">
        <f aca="false">IF(A30&gt;Lot!$K$4,NA(),(A30-0.5)/Lot!$K$4)</f>
        <v>0.95</v>
      </c>
      <c r="D30" s="4" t="n">
        <f aca="false">IF(A30&gt;Lot!$K$4,NA(),_xlfn.NORM.S.INV(C30))</f>
        <v>1.64485362695147</v>
      </c>
    </row>
    <row r="31" customFormat="false" ht="15" hidden="false" customHeight="false" outlineLevel="0" collapsed="false">
      <c r="A31" s="0" t="n">
        <v>30</v>
      </c>
      <c r="B31" s="4" t="n">
        <f aca="false">IF(A31&gt;Lot!$K$4,NA(),SMALL(Lot!$B$2:$F$11,A31))</f>
        <v>11.93</v>
      </c>
      <c r="C31" s="4" t="n">
        <f aca="false">IF(A31&gt;Lot!$K$4,NA(),(A31-0.5)/Lot!$K$4)</f>
        <v>0.983333333333333</v>
      </c>
      <c r="D31" s="4" t="n">
        <f aca="false">IF(A31&gt;Lot!$K$4,NA(),_xlfn.NORM.S.INV(C31))</f>
        <v>2.12804523418498</v>
      </c>
    </row>
    <row r="32" customFormat="false" ht="15" hidden="false" customHeight="false" outlineLevel="0" collapsed="false">
      <c r="A32" s="0" t="n">
        <v>31</v>
      </c>
      <c r="B32" s="4" t="e">
        <f aca="false">IF(A32&gt;Lot!$K$4,NA(),SMALL(Lot!$B$2:$F$11,A32))</f>
        <v>#N/A</v>
      </c>
      <c r="C32" s="4" t="e">
        <f aca="false">IF(A32&gt;Lot!$K$4,NA(),(A32-0.5)/Lot!$K$4)</f>
        <v>#N/A</v>
      </c>
      <c r="D32" s="4" t="e">
        <f aca="false">IF(A32&gt;Lot!$K$4,NA(),_xlfn.NORM.S.INV(C32))</f>
        <v>#N/A</v>
      </c>
    </row>
    <row r="33" customFormat="false" ht="15" hidden="false" customHeight="false" outlineLevel="0" collapsed="false">
      <c r="A33" s="0" t="n">
        <v>32</v>
      </c>
      <c r="B33" s="4" t="e">
        <f aca="false">IF(A33&gt;Lot!$K$4,NA(),SMALL(Lot!$B$2:$F$11,A33))</f>
        <v>#N/A</v>
      </c>
      <c r="C33" s="4" t="e">
        <f aca="false">IF(A33&gt;Lot!$K$4,NA(),(A33-0.5)/Lot!$K$4)</f>
        <v>#N/A</v>
      </c>
      <c r="D33" s="4" t="e">
        <f aca="false">IF(A33&gt;Lot!$K$4,NA(),_xlfn.NORM.S.INV(C33))</f>
        <v>#N/A</v>
      </c>
    </row>
    <row r="34" customFormat="false" ht="15" hidden="false" customHeight="false" outlineLevel="0" collapsed="false">
      <c r="A34" s="0" t="n">
        <v>33</v>
      </c>
      <c r="B34" s="4" t="e">
        <f aca="false">IF(A34&gt;Lot!$K$4,NA(),SMALL(Lot!$B$2:$F$11,A34))</f>
        <v>#N/A</v>
      </c>
      <c r="C34" s="4" t="e">
        <f aca="false">IF(A34&gt;Lot!$K$4,NA(),(A34-0.5)/Lot!$K$4)</f>
        <v>#N/A</v>
      </c>
      <c r="D34" s="4" t="e">
        <f aca="false">IF(A34&gt;Lot!$K$4,NA(),_xlfn.NORM.S.INV(C34))</f>
        <v>#N/A</v>
      </c>
    </row>
    <row r="35" customFormat="false" ht="15" hidden="false" customHeight="false" outlineLevel="0" collapsed="false">
      <c r="A35" s="0" t="n">
        <v>34</v>
      </c>
      <c r="B35" s="4" t="e">
        <f aca="false">IF(A35&gt;Lot!$K$4,NA(),SMALL(Lot!$B$2:$F$11,A35))</f>
        <v>#N/A</v>
      </c>
      <c r="C35" s="4" t="e">
        <f aca="false">IF(A35&gt;Lot!$K$4,NA(),(A35-0.5)/Lot!$K$4)</f>
        <v>#N/A</v>
      </c>
      <c r="D35" s="4" t="e">
        <f aca="false">IF(A35&gt;Lot!$K$4,NA(),_xlfn.NORM.S.INV(C35))</f>
        <v>#N/A</v>
      </c>
    </row>
    <row r="36" customFormat="false" ht="15" hidden="false" customHeight="false" outlineLevel="0" collapsed="false">
      <c r="A36" s="0" t="n">
        <v>35</v>
      </c>
      <c r="B36" s="4" t="e">
        <f aca="false">IF(A36&gt;Lot!$K$4,NA(),SMALL(Lot!$B$2:$F$11,A36))</f>
        <v>#N/A</v>
      </c>
      <c r="C36" s="4" t="e">
        <f aca="false">IF(A36&gt;Lot!$K$4,NA(),(A36-0.5)/Lot!$K$4)</f>
        <v>#N/A</v>
      </c>
      <c r="D36" s="4" t="e">
        <f aca="false">IF(A36&gt;Lot!$K$4,NA(),_xlfn.NORM.S.INV(C36))</f>
        <v>#N/A</v>
      </c>
    </row>
    <row r="37" customFormat="false" ht="15" hidden="false" customHeight="false" outlineLevel="0" collapsed="false">
      <c r="A37" s="0" t="n">
        <v>36</v>
      </c>
      <c r="B37" s="4" t="e">
        <f aca="false">IF(A37&gt;Lot!$K$4,NA(),SMALL(Lot!$B$2:$F$11,A37))</f>
        <v>#N/A</v>
      </c>
      <c r="C37" s="4" t="e">
        <f aca="false">IF(A37&gt;Lot!$K$4,NA(),(A37-0.5)/Lot!$K$4)</f>
        <v>#N/A</v>
      </c>
      <c r="D37" s="4" t="e">
        <f aca="false">IF(A37&gt;Lot!$K$4,NA(),_xlfn.NORM.S.INV(C37))</f>
        <v>#N/A</v>
      </c>
    </row>
    <row r="38" customFormat="false" ht="15" hidden="false" customHeight="false" outlineLevel="0" collapsed="false">
      <c r="A38" s="0" t="n">
        <v>37</v>
      </c>
      <c r="B38" s="4" t="e">
        <f aca="false">IF(A38&gt;Lot!$K$4,NA(),SMALL(Lot!$B$2:$F$11,A38))</f>
        <v>#N/A</v>
      </c>
      <c r="C38" s="4" t="e">
        <f aca="false">IF(A38&gt;Lot!$K$4,NA(),(A38-0.5)/Lot!$K$4)</f>
        <v>#N/A</v>
      </c>
      <c r="D38" s="4" t="e">
        <f aca="false">IF(A38&gt;Lot!$K$4,NA(),_xlfn.NORM.S.INV(C38))</f>
        <v>#N/A</v>
      </c>
    </row>
    <row r="39" customFormat="false" ht="15" hidden="false" customHeight="false" outlineLevel="0" collapsed="false">
      <c r="A39" s="0" t="n">
        <v>38</v>
      </c>
      <c r="B39" s="4" t="e">
        <f aca="false">IF(A39&gt;Lot!$K$4,NA(),SMALL(Lot!$B$2:$F$11,A39))</f>
        <v>#N/A</v>
      </c>
      <c r="C39" s="4" t="e">
        <f aca="false">IF(A39&gt;Lot!$K$4,NA(),(A39-0.5)/Lot!$K$4)</f>
        <v>#N/A</v>
      </c>
      <c r="D39" s="4" t="e">
        <f aca="false">IF(A39&gt;Lot!$K$4,NA(),_xlfn.NORM.S.INV(C39))</f>
        <v>#N/A</v>
      </c>
    </row>
    <row r="40" customFormat="false" ht="15" hidden="false" customHeight="false" outlineLevel="0" collapsed="false">
      <c r="A40" s="0" t="n">
        <v>39</v>
      </c>
      <c r="B40" s="4" t="e">
        <f aca="false">IF(A40&gt;Lot!$K$4,NA(),SMALL(Lot!$B$2:$F$11,A40))</f>
        <v>#N/A</v>
      </c>
      <c r="C40" s="4" t="e">
        <f aca="false">IF(A40&gt;Lot!$K$4,NA(),(A40-0.5)/Lot!$K$4)</f>
        <v>#N/A</v>
      </c>
      <c r="D40" s="4" t="e">
        <f aca="false">IF(A40&gt;Lot!$K$4,NA(),_xlfn.NORM.S.INV(C40))</f>
        <v>#N/A</v>
      </c>
    </row>
    <row r="41" customFormat="false" ht="15" hidden="false" customHeight="false" outlineLevel="0" collapsed="false">
      <c r="A41" s="0" t="n">
        <v>40</v>
      </c>
      <c r="B41" s="4" t="e">
        <f aca="false">IF(A41&gt;Lot!$K$4,NA(),SMALL(Lot!$B$2:$F$11,A41))</f>
        <v>#N/A</v>
      </c>
      <c r="C41" s="4" t="e">
        <f aca="false">IF(A41&gt;Lot!$K$4,NA(),(A41-0.5)/Lot!$K$4)</f>
        <v>#N/A</v>
      </c>
      <c r="D41" s="4" t="e">
        <f aca="false">IF(A41&gt;Lot!$K$4,NA(),_xlfn.NORM.S.INV(C41))</f>
        <v>#N/A</v>
      </c>
    </row>
    <row r="42" customFormat="false" ht="15" hidden="false" customHeight="false" outlineLevel="0" collapsed="false">
      <c r="A42" s="0" t="n">
        <v>41</v>
      </c>
      <c r="B42" s="4" t="e">
        <f aca="false">IF(A42&gt;Lot!$K$4,NA(),SMALL(Lot!$B$2:$F$11,A42))</f>
        <v>#N/A</v>
      </c>
      <c r="C42" s="4" t="e">
        <f aca="false">IF(A42&gt;Lot!$K$4,NA(),(A42-0.5)/Lot!$K$4)</f>
        <v>#N/A</v>
      </c>
      <c r="D42" s="4" t="e">
        <f aca="false">IF(A42&gt;Lot!$K$4,NA(),_xlfn.NORM.S.INV(C42))</f>
        <v>#N/A</v>
      </c>
    </row>
    <row r="43" customFormat="false" ht="15" hidden="false" customHeight="false" outlineLevel="0" collapsed="false">
      <c r="A43" s="0" t="n">
        <v>42</v>
      </c>
      <c r="B43" s="4" t="e">
        <f aca="false">IF(A43&gt;Lot!$K$4,NA(),SMALL(Lot!$B$2:$F$11,A43))</f>
        <v>#N/A</v>
      </c>
      <c r="C43" s="4" t="e">
        <f aca="false">IF(A43&gt;Lot!$K$4,NA(),(A43-0.5)/Lot!$K$4)</f>
        <v>#N/A</v>
      </c>
      <c r="D43" s="4" t="e">
        <f aca="false">IF(A43&gt;Lot!$K$4,NA(),_xlfn.NORM.S.INV(C43))</f>
        <v>#N/A</v>
      </c>
    </row>
    <row r="44" customFormat="false" ht="15" hidden="false" customHeight="false" outlineLevel="0" collapsed="false">
      <c r="A44" s="0" t="n">
        <v>43</v>
      </c>
      <c r="B44" s="4" t="e">
        <f aca="false">IF(A44&gt;Lot!$K$4,NA(),SMALL(Lot!$B$2:$F$11,A44))</f>
        <v>#N/A</v>
      </c>
      <c r="C44" s="4" t="e">
        <f aca="false">IF(A44&gt;Lot!$K$4,NA(),(A44-0.5)/Lot!$K$4)</f>
        <v>#N/A</v>
      </c>
      <c r="D44" s="4" t="e">
        <f aca="false">IF(A44&gt;Lot!$K$4,NA(),_xlfn.NORM.S.INV(C44))</f>
        <v>#N/A</v>
      </c>
    </row>
    <row r="45" customFormat="false" ht="15" hidden="false" customHeight="false" outlineLevel="0" collapsed="false">
      <c r="A45" s="0" t="n">
        <v>44</v>
      </c>
      <c r="B45" s="4" t="e">
        <f aca="false">IF(A45&gt;Lot!$K$4,NA(),SMALL(Lot!$B$2:$F$11,A45))</f>
        <v>#N/A</v>
      </c>
      <c r="C45" s="4" t="e">
        <f aca="false">IF(A45&gt;Lot!$K$4,NA(),(A45-0.5)/Lot!$K$4)</f>
        <v>#N/A</v>
      </c>
      <c r="D45" s="4" t="e">
        <f aca="false">IF(A45&gt;Lot!$K$4,NA(),_xlfn.NORM.S.INV(C45))</f>
        <v>#N/A</v>
      </c>
    </row>
    <row r="46" customFormat="false" ht="15" hidden="false" customHeight="false" outlineLevel="0" collapsed="false">
      <c r="A46" s="0" t="n">
        <v>45</v>
      </c>
      <c r="B46" s="4" t="e">
        <f aca="false">IF(A46&gt;Lot!$K$4,NA(),SMALL(Lot!$B$2:$F$11,A46))</f>
        <v>#N/A</v>
      </c>
      <c r="C46" s="4" t="e">
        <f aca="false">IF(A46&gt;Lot!$K$4,NA(),(A46-0.5)/Lot!$K$4)</f>
        <v>#N/A</v>
      </c>
      <c r="D46" s="4" t="e">
        <f aca="false">IF(A46&gt;Lot!$K$4,NA(),_xlfn.NORM.S.INV(C46))</f>
        <v>#N/A</v>
      </c>
    </row>
    <row r="47" customFormat="false" ht="15" hidden="false" customHeight="false" outlineLevel="0" collapsed="false">
      <c r="A47" s="0" t="n">
        <v>46</v>
      </c>
      <c r="B47" s="4" t="e">
        <f aca="false">IF(A47&gt;Lot!$K$4,NA(),SMALL(Lot!$B$2:$F$11,A47))</f>
        <v>#N/A</v>
      </c>
      <c r="C47" s="4" t="e">
        <f aca="false">IF(A47&gt;Lot!$K$4,NA(),(A47-0.5)/Lot!$K$4)</f>
        <v>#N/A</v>
      </c>
      <c r="D47" s="4" t="e">
        <f aca="false">IF(A47&gt;Lot!$K$4,NA(),_xlfn.NORM.S.INV(C47))</f>
        <v>#N/A</v>
      </c>
    </row>
    <row r="48" customFormat="false" ht="15" hidden="false" customHeight="false" outlineLevel="0" collapsed="false">
      <c r="A48" s="0" t="n">
        <v>47</v>
      </c>
      <c r="B48" s="4" t="e">
        <f aca="false">IF(A48&gt;Lot!$K$4,NA(),SMALL(Lot!$B$2:$F$11,A48))</f>
        <v>#N/A</v>
      </c>
      <c r="C48" s="4" t="e">
        <f aca="false">IF(A48&gt;Lot!$K$4,NA(),(A48-0.5)/Lot!$K$4)</f>
        <v>#N/A</v>
      </c>
      <c r="D48" s="4" t="e">
        <f aca="false">IF(A48&gt;Lot!$K$4,NA(),_xlfn.NORM.S.INV(C48))</f>
        <v>#N/A</v>
      </c>
    </row>
    <row r="49" customFormat="false" ht="15" hidden="false" customHeight="false" outlineLevel="0" collapsed="false">
      <c r="A49" s="0" t="n">
        <v>48</v>
      </c>
      <c r="B49" s="4" t="e">
        <f aca="false">IF(A49&gt;Lot!$K$4,NA(),SMALL(Lot!$B$2:$F$11,A49))</f>
        <v>#N/A</v>
      </c>
      <c r="C49" s="4" t="e">
        <f aca="false">IF(A49&gt;Lot!$K$4,NA(),(A49-0.5)/Lot!$K$4)</f>
        <v>#N/A</v>
      </c>
      <c r="D49" s="4" t="e">
        <f aca="false">IF(A49&gt;Lot!$K$4,NA(),_xlfn.NORM.S.INV(C49))</f>
        <v>#N/A</v>
      </c>
    </row>
    <row r="50" customFormat="false" ht="15" hidden="false" customHeight="false" outlineLevel="0" collapsed="false">
      <c r="A50" s="0" t="n">
        <v>49</v>
      </c>
      <c r="B50" s="4" t="e">
        <f aca="false">IF(A50&gt;Lot!$K$4,NA(),SMALL(Lot!$B$2:$F$11,A50))</f>
        <v>#N/A</v>
      </c>
      <c r="C50" s="4" t="e">
        <f aca="false">IF(A50&gt;Lot!$K$4,NA(),(A50-0.5)/Lot!$K$4)</f>
        <v>#N/A</v>
      </c>
      <c r="D50" s="4" t="e">
        <f aca="false">IF(A50&gt;Lot!$K$4,NA(),_xlfn.NORM.S.INV(C50))</f>
        <v>#N/A</v>
      </c>
    </row>
    <row r="51" customFormat="false" ht="15" hidden="false" customHeight="false" outlineLevel="0" collapsed="false">
      <c r="A51" s="0" t="n">
        <v>50</v>
      </c>
      <c r="B51" s="4" t="e">
        <f aca="false">IF(A51&gt;Lot!$K$4,NA(),SMALL(Lot!$B$2:$F$11,A51))</f>
        <v>#N/A</v>
      </c>
      <c r="C51" s="4" t="e">
        <f aca="false">IF(A51&gt;Lot!$K$4,NA(),(A51-0.5)/Lot!$K$4)</f>
        <v>#N/A</v>
      </c>
      <c r="D51" s="4" t="e">
        <f aca="false">IF(A51&gt;Lot!$K$4,NA(),_xlfn.NORM.S.INV(C51))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2026-10-02T05:50:20Z</dcterms:created>
  <dc:creator>openpyxl</dc:creator>
  <dc:description/>
  <dc:language>en-US</dc:language>
  <cp:lastModifiedBy/>
  <dcterms:modified xsi:type="dcterms:W3CDTF">2026-10-02T07:50:23Z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