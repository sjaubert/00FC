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aisie" sheetId="2" state="visible" r:id="rId4"/>
    <sheet name="Carte" sheetId="3" state="visible" r:id="rId5"/>
    <sheet name="Formules" sheetId="4" state="visible" r:id="rId6"/>
    <sheet name="Consta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<sst xmlns="http://schemas.openxmlformats.org/spreadsheetml/2006/main" count="150" uniqueCount="136">
  <si>
    <t xml:space="preserve">Classeur 2 · Carte de contrôle X̄/R</t>
  </si>
  <si>
    <t xml:space="preserve">Pôle Formation UIMM CVDL · S. Jaubert · CQPM Technicien Qualité TQ6 · Novembre 2026</t>
  </si>
  <si>
    <t xml:space="preserve">À quoi sert ce classeur</t>
  </si>
  <si>
    <t xml:space="preserve">TP D du jour 2 (production simulée) et enquête sur fichiers réels. Les mesures sont saisies l'une après l'autre, dans l'ordre de production. Le classeur forme les sous-groupes, calcule les limites sur la phase 1, trace la carte et signale les alarmes.</t>
  </si>
  <si>
    <t xml:space="preserve">Mode d'emploi</t>
  </si>
  <si>
    <t xml:space="preserve">1. Onglet Carte : choisir la taille des sous-groupes (2 à 5) et le nombre de sous-groupes de la phase 1, qui sert à calculer les limites.</t>
  </si>
  <si>
    <t xml:space="preserve">2. Onglet Saisie : taper les mesures dans la colonne B, dans l'ordre de production. Pour un fichier df1 à df9, coller la colonne « diametre » en B6 et régler la taille des sous-groupes à 5.</t>
  </si>
  <si>
    <t xml:space="preserve">3. Onglet Carte : lire les deux graphiques et la colonne Alarme. Un sous-groupe incomplet n'est pas tracé.</t>
  </si>
  <si>
    <t xml:space="preserve">4. Onglet Formules : les formules des limites, théoriques (μ et σ connus) et avec les estimateurs X̄̄ et R̄, avec l'application numérique de la carte en cours. L'onglet Carte affiche aussi chaque formule à côté de sa limite.</t>
  </si>
  <si>
    <t xml:space="preserve">Les 50 valeurs de départ sont les diamètres de diamètre_butée.csv (TP Bachelor), réglage n = 5 et phase 1 = 5 : la dérive est réelle et les derniers sous-groupes sortent par le haut. Pour le TP D : effacer B6:B130 de l'onglet Saisie, puis régler n = 3 et phase 1 = 8 dans l'onglet Carte.</t>
  </si>
  <si>
    <t xml:space="preserve">Règles d'alarme programmées</t>
  </si>
  <si>
    <t xml:space="preserve">R1 : un point hors limites de contrôle (carte X̄ ou carte R).</t>
  </si>
  <si>
    <t xml:space="preserve">R2 : 7 points consécutifs du même côté de la ligne centrale.</t>
  </si>
  <si>
    <t xml:space="preserve">R3 : 6 points consécutifs qui montent, ou qui descendent.</t>
  </si>
  <si>
    <t xml:space="preserve">Les seuils de R2 et R3 varient selon les référentiels et les clients (7, 8 ou 9 points pour R2). Ils sont présentés ici comme règles d'atelier simplifiées. Vérifier ce qu'utilise l'entreprise.</t>
  </si>
  <si>
    <t xml:space="preserve">Note pour le formateur</t>
  </si>
  <si>
    <t xml:space="preserve">Constantes A2, D3, D4 et d2 : tables usuelles des cartes de Shewhart (ISO 7870-2, AIAG SPC), voir onglet Constantes. Les colonnes grisées H et I de l'onglet Carte contiennent volontairement la valeur d’erreur N/A : c'est ce qui laisse un trou dans le graphique pour les sous-groupes non saisis. Ne pas les effacer.</t>
  </si>
  <si>
    <t xml:space="preserve">Cellule à remplir</t>
  </si>
  <si>
    <t xml:space="preserve">Résultat calculé (ne pas modifier)</t>
  </si>
  <si>
    <t xml:space="preserve">Saisie dans l'ordre de production</t>
  </si>
  <si>
    <t xml:space="preserve">Une mesure par ligne · colonne B</t>
  </si>
  <si>
    <t xml:space="preserve">Ordre</t>
  </si>
  <si>
    <t xml:space="preserve">Mesure (mm)</t>
  </si>
  <si>
    <t xml:space="preserve">Sous-groupe</t>
  </si>
  <si>
    <t xml:space="preserve">Remarque (opérateur, événement)</t>
  </si>
  <si>
    <t xml:space="preserve">Carte X̄/R</t>
  </si>
  <si>
    <t xml:space="preserve">Limites calculées sur la phase 1, puis figées</t>
  </si>
  <si>
    <t xml:space="preserve">Taille des sous-groupes n (2 à 5)</t>
  </si>
  <si>
    <t xml:space="preserve">Sous-groupes de la phase 1 (calcul des limites)</t>
  </si>
  <si>
    <t xml:space="preserve">Sous-groupes complets en phase 1</t>
  </si>
  <si>
    <t xml:space="preserve">Constantes pour n</t>
  </si>
  <si>
    <t xml:space="preserve">A2</t>
  </si>
  <si>
    <t xml:space="preserve">D3</t>
  </si>
  <si>
    <t xml:space="preserve">D4</t>
  </si>
  <si>
    <t xml:space="preserve">Formule (estimateurs)</t>
  </si>
  <si>
    <t xml:space="preserve">Application numérique</t>
  </si>
  <si>
    <t xml:space="preserve">Ligne centrale X̄̄ (moyenne des moyennes)</t>
  </si>
  <si>
    <t xml:space="preserve">X̄̄ = moyenne des X̄ de la phase 1</t>
  </si>
  <si>
    <t xml:space="preserve">R̄ (moyenne des étendues)</t>
  </si>
  <si>
    <t xml:space="preserve">R̄ = moyenne des R de la phase 1</t>
  </si>
  <si>
    <t xml:space="preserve">Limite supérieure de contrôle X̄ (LSC)</t>
  </si>
  <si>
    <t xml:space="preserve">X̄̄ + A₂ × R̄</t>
  </si>
  <si>
    <t xml:space="preserve">Limite inférieure de contrôle X̄ (LIC)</t>
  </si>
  <si>
    <t xml:space="preserve">X̄̄ − A₂ × R̄</t>
  </si>
  <si>
    <t xml:space="preserve">Limite supérieure de contrôle R</t>
  </si>
  <si>
    <t xml:space="preserve">D₄ × R̄</t>
  </si>
  <si>
    <t xml:space="preserve">Limite inférieure de contrôle R</t>
  </si>
  <si>
    <t xml:space="preserve">D₃ × R̄</t>
  </si>
  <si>
    <t xml:space="preserve">Voix du procédé : ces limites sont calculées sur les mesures, rien à voir avec les tolérances du plan. Formules théoriques et justification : onglet Formules.</t>
  </si>
  <si>
    <t xml:space="preserve">X̄</t>
  </si>
  <si>
    <t xml:space="preserve">R</t>
  </si>
  <si>
    <t xml:space="preserve">Phase</t>
  </si>
  <si>
    <t xml:space="preserve">R1 hors limites</t>
  </si>
  <si>
    <t xml:space="preserve">R2 7 du même côté</t>
  </si>
  <si>
    <t xml:space="preserve">Alarme</t>
  </si>
  <si>
    <t xml:space="preserve">X̄ tracé</t>
  </si>
  <si>
    <t xml:space="preserve">R tracé</t>
  </si>
  <si>
    <t xml:space="preserve">R3 6 en pente</t>
  </si>
  <si>
    <t xml:space="preserve">Tracé des limites</t>
  </si>
  <si>
    <t xml:space="preserve">x</t>
  </si>
  <si>
    <t xml:space="preserve">LSC X̄</t>
  </si>
  <si>
    <t xml:space="preserve">Centre X̄</t>
  </si>
  <si>
    <t xml:space="preserve">LIC X̄</t>
  </si>
  <si>
    <t xml:space="preserve">LSC R</t>
  </si>
  <si>
    <t xml:space="preserve">R̄</t>
  </si>
  <si>
    <t xml:space="preserve">LIC R</t>
  </si>
  <si>
    <t xml:space="preserve">Fin de phase 1</t>
  </si>
  <si>
    <t xml:space="preserve">y X̄</t>
  </si>
  <si>
    <t xml:space="preserve">y R</t>
  </si>
  <si>
    <t xml:space="preserve">Les formules des limites de contrôle</t>
  </si>
  <si>
    <t xml:space="preserve">Théoriques (μ et σ connus) puis avec les estimateurs (X̄̄ et R̄) · application numérique en direct</t>
  </si>
  <si>
    <t xml:space="preserve">1. Le principe</t>
  </si>
  <si>
    <t xml:space="preserve">Sur une carte, on trace une statistique (la moyenne X̄ ou l'étendue R d'un sous-groupe de n pièces). Ses limites de contrôle sont : sa valeur moyenne ± 3 fois son écart-type. Si le procédé ne change pas, un point sort des limites environ 3 fois sur 1 000.</t>
  </si>
  <si>
    <t xml:space="preserve">2. Formules théoriques : μ et σ du procédé sont connus</t>
  </si>
  <si>
    <t xml:space="preserve">Deux résultats suffisent. La moyenne de n pièces a pour écart-type σ/√n. L'étendue de n pièces a pour moyenne d₂·σ et pour écart-type d₃·σ (d₂ et d₃ : onglet Constantes).</t>
  </si>
  <si>
    <t xml:space="preserve">Carte</t>
  </si>
  <si>
    <t xml:space="preserve">Ligne centrale</t>
  </si>
  <si>
    <t xml:space="preserve">Limite supérieure (LSC)</t>
  </si>
  <si>
    <t xml:space="preserve">Limite inférieure (LIC)</t>
  </si>
  <si>
    <t xml:space="preserve">Carte X̄</t>
  </si>
  <si>
    <t xml:space="preserve">μ</t>
  </si>
  <si>
    <t xml:space="preserve">μ + 3σ/√n = μ + A·σ</t>
  </si>
  <si>
    <t xml:space="preserve">μ − 3σ/√n = μ − A·σ</t>
  </si>
  <si>
    <t xml:space="preserve">Carte R</t>
  </si>
  <si>
    <t xml:space="preserve">d₂·σ</t>
  </si>
  <si>
    <t xml:space="preserve">d₂·σ + 3d₃·σ = D₂·σ</t>
  </si>
  <si>
    <t xml:space="preserve">max(0 ; d₂·σ − 3d₃·σ) = D₁·σ</t>
  </si>
  <si>
    <t xml:space="preserve">3. Formules pratiques : on estime μ et σ sur la phase 1</t>
  </si>
  <si>
    <t xml:space="preserve">En atelier, μ et σ sont inconnus. On les estime sur les k premiers sous-groupes (phase 1) : μ̂ = X̄̄ (moyenne des moyennes) et σ̂ = R̄ / d₂ (moyenne des étendues, convertie en écart-type). En remplaçant dans les formules théoriques :</t>
  </si>
  <si>
    <t xml:space="preserve">X̄̄</t>
  </si>
  <si>
    <t xml:space="preserve">X̄̄ + 3R̄/(d₂√n) = X̄̄ + A₂·R̄</t>
  </si>
  <si>
    <t xml:space="preserve">X̄̄ − A₂·R̄</t>
  </si>
  <si>
    <t xml:space="preserve">R̄ + 3d₃·R̄/d₂ = D₄·R̄</t>
  </si>
  <si>
    <t xml:space="preserve">max(0 ; R̄ − 3d₃·R̄/d₂) = D₃·R̄</t>
  </si>
  <si>
    <t xml:space="preserve">Donc A₂ = 3/(d₂√n), D₄ = 1 + 3d₃/d₂ et D₃ = max(0 ; 1 − 3d₃/d₂) : les constantes des tables ne sont que ces formules calculées d'avance.</t>
  </si>
  <si>
    <t xml:space="preserve">4. Application numérique sur la carte en cours</t>
  </si>
  <si>
    <t xml:space="preserve">Taille des sous-groupes n</t>
  </si>
  <si>
    <t xml:space="preserve">Sous-groupes de la phase 1 k</t>
  </si>
  <si>
    <t xml:space="preserve">X̄̄ (estimation de μ)</t>
  </si>
  <si>
    <t xml:space="preserve">d₂ et d₃ pour n</t>
  </si>
  <si>
    <t xml:space="preserve">σ̂ = R̄ / d₂</t>
  </si>
  <si>
    <t xml:space="preserve">LSC X̄ par la formule longue : X̄̄ + 3σ̂/√n</t>
  </si>
  <si>
    <t xml:space="preserve">LIC X̄ par la formule longue : X̄̄ − 3σ̂/√n</t>
  </si>
  <si>
    <t xml:space="preserve">LSC R par la formule longue : (d₂ + 3d₃)·σ̂</t>
  </si>
  <si>
    <t xml:space="preserve">LIC R par la formule longue : max(0 ; (d₂ − 3d₃)·σ̂)</t>
  </si>
  <si>
    <t xml:space="preserve">Les deux calculs donnent le même résultat, aux arrondis des constantes près.</t>
  </si>
  <si>
    <t xml:space="preserve">5. Facultatif : limites théoriques si μ et σ sont connus</t>
  </si>
  <si>
    <t xml:space="preserve">Par exemple μ et σ issus d'une étude de capabilité antérieure. Saisir les deux valeurs dans les cases jaunes.</t>
  </si>
  <si>
    <t xml:space="preserve">μ connu (mm)</t>
  </si>
  <si>
    <t xml:space="preserve">σ connu (mm)</t>
  </si>
  <si>
    <t xml:space="preserve">LSC X̄ = μ + A·σ</t>
  </si>
  <si>
    <t xml:space="preserve">LIC X̄ = μ − A·σ</t>
  </si>
  <si>
    <t xml:space="preserve">LC R = d₂·σ</t>
  </si>
  <si>
    <t xml:space="preserve">LSC R = D₂·σ</t>
  </si>
  <si>
    <t xml:space="preserve">LIC R = D₁·σ</t>
  </si>
  <si>
    <t xml:space="preserve">Constantes des cartes X̄/R</t>
  </si>
  <si>
    <t xml:space="preserve">Source : tables usuelles de Shewhart (ISO 7870-2, AIAG SPC)</t>
  </si>
  <si>
    <t xml:space="preserve">n</t>
  </si>
  <si>
    <t xml:space="preserve">A₂</t>
  </si>
  <si>
    <t xml:space="preserve">D₃</t>
  </si>
  <si>
    <t xml:space="preserve">D₄</t>
  </si>
  <si>
    <t xml:space="preserve">d₂</t>
  </si>
  <si>
    <t xml:space="preserve">d₃</t>
  </si>
  <si>
    <t xml:space="preserve">A</t>
  </si>
  <si>
    <t xml:space="preserve">D₁</t>
  </si>
  <si>
    <t xml:space="preserve">D₂</t>
  </si>
  <si>
    <t xml:space="preserve">D'où viennent ces constantes</t>
  </si>
  <si>
    <t xml:space="preserve">moyenne de l'étendue de n valeurs, en écarts-types : E(R) = d₂·σ</t>
  </si>
  <si>
    <t xml:space="preserve">écart-type de l'étendue de n valeurs, en écarts-types : σ(R) = d₃·σ</t>
  </si>
  <si>
    <t xml:space="preserve">3 / √n (carte X̄, σ connu)</t>
  </si>
  <si>
    <t xml:space="preserve">3 / (d₂·√n) (carte X̄, σ estimé par R̄ / d₂)</t>
  </si>
  <si>
    <t xml:space="preserve">D₁ ; D₂</t>
  </si>
  <si>
    <t xml:space="preserve">max(0 ; d₂ − 3·d₃) ; d₂ + 3·d₃ (carte R, σ connu)</t>
  </si>
  <si>
    <t xml:space="preserve">D₃ ; D₄</t>
  </si>
  <si>
    <t xml:space="preserve">max(0 ; 1 − 3·d₃/d₂) ; 1 + 3·d₃/d₂ (carte R, σ estimé)</t>
  </si>
  <si>
    <t xml:space="preserve">Pour n ≤ 6, D₁ = D₃ = 0 : la limite inférieure de la carte R est nulle.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</si>
</sst>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00"/>
    <numFmt numFmtId="168" formatCode="@"/>
    <numFmt numFmtId="169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8C8E8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9EFF7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9EFF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A7340"/>
      <rgbColor rgb="FF000080"/>
      <rgbColor rgb="FF808000"/>
      <rgbColor rgb="FF800080"/>
      <rgbColor rgb="FF008080"/>
      <rgbColor rgb="FFB4C6E7"/>
      <rgbColor rgb="FF878787"/>
      <rgbColor rgb="FF9999FF"/>
      <rgbColor rgb="FF993366"/>
      <rgbColor rgb="FFFFF2CC"/>
      <rgbColor rgb="FFE9EF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F99"/>
      <rgbColor rgb="FFA8C8E8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X̄ (moyennes)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"X̄"</c:f>
              <c:strCache>
                <c:ptCount val="1"/>
                <c:pt idx="0">
                  <c:v>X̄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Carte!$A$20:$A$44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Carte!$H$20:$H$44</c:f>
              <c:numCache>
                <c:formatCode>0.0000</c:formatCode>
                <c:ptCount val="25"/>
                <c:pt idx="0">
                  <c:v>11.864</c:v>
                </c:pt>
                <c:pt idx="1">
                  <c:v>11.862</c:v>
                </c:pt>
                <c:pt idx="2">
                  <c:v>11.884</c:v>
                </c:pt>
                <c:pt idx="3">
                  <c:v>11.898</c:v>
                </c:pt>
                <c:pt idx="4">
                  <c:v>11.91</c:v>
                </c:pt>
                <c:pt idx="5">
                  <c:v>11.902</c:v>
                </c:pt>
                <c:pt idx="6">
                  <c:v>11.928</c:v>
                </c:pt>
                <c:pt idx="7">
                  <c:v>11.9352</c:v>
                </c:pt>
                <c:pt idx="8">
                  <c:v>11.9422</c:v>
                </c:pt>
                <c:pt idx="9">
                  <c:v>11.9604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"LSC"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Carte!$C$48:$C$49</c:f>
              <c:numCache>
                <c:formatCode>0.0000</c:formatCode>
                <c:ptCount val="2"/>
                <c:pt idx="0">
                  <c:v>11.908988</c:v>
                </c:pt>
                <c:pt idx="1">
                  <c:v>11.908988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"Centre"</c:f>
              <c:strCache>
                <c:ptCount val="1"/>
                <c:pt idx="0">
                  <c:v>Centre</c:v>
                </c:pt>
              </c:strCache>
            </c:strRef>
          </c:tx>
          <c:spPr>
            <a:solidFill>
              <a:srgbClr val="1a7340"/>
            </a:solidFill>
            <a:ln w="47520">
              <a:solidFill>
                <a:srgbClr val="1a73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Carte!$D$48:$D$49</c:f>
              <c:numCache>
                <c:formatCode>0.0000</c:formatCode>
                <c:ptCount val="2"/>
                <c:pt idx="0">
                  <c:v>11.8836</c:v>
                </c:pt>
                <c:pt idx="1">
                  <c:v>11.8836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"LIC"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Carte!$E$48:$E$49</c:f>
              <c:numCache>
                <c:formatCode>0.0000</c:formatCode>
                <c:ptCount val="2"/>
                <c:pt idx="0">
                  <c:v>11.858212</c:v>
                </c:pt>
                <c:pt idx="1">
                  <c:v>11.858212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"Fin phase 1"</c:f>
              <c:strCache>
                <c:ptCount val="1"/>
                <c:pt idx="0">
                  <c:v>Fin phase 1</c:v>
                </c:pt>
              </c:strCache>
            </c:strRef>
          </c:tx>
          <c:spPr>
            <a:solidFill>
              <a:srgbClr val="999999"/>
            </a:solidFill>
            <a:ln w="47520">
              <a:solidFill>
                <a:srgbClr val="999999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Carte!$B$52:$B$53</c:f>
              <c:numCache>
                <c:formatCode>0.0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Carte!$C$52:$C$53</c:f>
              <c:numCache>
                <c:formatCode>0.000</c:formatCode>
                <c:ptCount val="2"/>
                <c:pt idx="0">
                  <c:v>11.858212</c:v>
                </c:pt>
                <c:pt idx="1">
                  <c:v>11.9604</c:v>
                </c:pt>
              </c:numCache>
            </c:numRef>
          </c:yVal>
          <c:smooth val="0"/>
        </c:ser>
        <c:axId val="72654251"/>
        <c:axId val="35602023"/>
      </c:scatterChart>
      <c:valAx>
        <c:axId val="72654251"/>
        <c:scaling>
          <c:orientation val="minMax"/>
          <c:max val="2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Sous-groupe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02023"/>
        <c:crosses val="autoZero"/>
        <c:crossBetween val="midCat"/>
      </c:valAx>
      <c:valAx>
        <c:axId val="35602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Moyenne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542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R (étendues)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"R"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Carte!$A$20:$A$44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Carte!$I$20:$I$44</c:f>
              <c:numCache>
                <c:formatCode>0.0000</c:formatCode>
                <c:ptCount val="25"/>
                <c:pt idx="0">
                  <c:v>0.0400000000000009</c:v>
                </c:pt>
                <c:pt idx="1">
                  <c:v>0.0500000000000007</c:v>
                </c:pt>
                <c:pt idx="2">
                  <c:v>0.0500000000000007</c:v>
                </c:pt>
                <c:pt idx="3">
                  <c:v>0.0399999999999992</c:v>
                </c:pt>
                <c:pt idx="4">
                  <c:v>0.0399999999999992</c:v>
                </c:pt>
                <c:pt idx="5">
                  <c:v>0.0800000000000001</c:v>
                </c:pt>
                <c:pt idx="6">
                  <c:v>0.0500000000000007</c:v>
                </c:pt>
                <c:pt idx="7">
                  <c:v>0.0259999999999998</c:v>
                </c:pt>
                <c:pt idx="8">
                  <c:v>0.0240000000000009</c:v>
                </c:pt>
                <c:pt idx="9">
                  <c:v>0.0399999999999992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"LSC"</c:f>
              <c:strCache>
                <c:ptCount val="1"/>
                <c:pt idx="0">
                  <c:v>LSC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Carte!$F$48:$F$49</c:f>
              <c:numCache>
                <c:formatCode>0.0000</c:formatCode>
                <c:ptCount val="2"/>
                <c:pt idx="0">
                  <c:v>0.0930160000000003</c:v>
                </c:pt>
                <c:pt idx="1">
                  <c:v>0.0930160000000003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"R̄"</c:f>
              <c:strCache>
                <c:ptCount val="1"/>
                <c:pt idx="0">
                  <c:v>R̄</c:v>
                </c:pt>
              </c:strCache>
            </c:strRef>
          </c:tx>
          <c:spPr>
            <a:solidFill>
              <a:srgbClr val="1a7340"/>
            </a:solidFill>
            <a:ln w="47520">
              <a:solidFill>
                <a:srgbClr val="1a73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Carte!$G$48:$G$49</c:f>
              <c:numCache>
                <c:formatCode>0.0000</c:formatCode>
                <c:ptCount val="2"/>
                <c:pt idx="0">
                  <c:v>0.0440000000000001</c:v>
                </c:pt>
                <c:pt idx="1">
                  <c:v>0.0440000000000001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"LIC"</c:f>
              <c:strCache>
                <c:ptCount val="1"/>
                <c:pt idx="0">
                  <c:v>LIC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Carte!$B$48:$B$49</c:f>
              <c:numCache>
                <c:formatCode>0.0</c:formatCode>
                <c:ptCount val="2"/>
                <c:pt idx="0">
                  <c:v>0.5</c:v>
                </c:pt>
                <c:pt idx="1">
                  <c:v>25.5</c:v>
                </c:pt>
              </c:numCache>
            </c:numRef>
          </c:xVal>
          <c:yVal>
            <c:numRef>
              <c:f>Carte!$H$48:$H$49</c:f>
              <c:numCache>
                <c:formatCode>0.0000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"Fin phase 1"</c:f>
              <c:strCache>
                <c:ptCount val="1"/>
                <c:pt idx="0">
                  <c:v>Fin phase 1</c:v>
                </c:pt>
              </c:strCache>
            </c:strRef>
          </c:tx>
          <c:spPr>
            <a:solidFill>
              <a:srgbClr val="999999"/>
            </a:solidFill>
            <a:ln w="47520">
              <a:solidFill>
                <a:srgbClr val="999999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Carte!$B$52:$B$53</c:f>
              <c:numCache>
                <c:formatCode>0.0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Carte!$D$52:$D$53</c:f>
              <c:numCache>
                <c:formatCode>0.000</c:formatCode>
                <c:ptCount val="2"/>
                <c:pt idx="0">
                  <c:v>0</c:v>
                </c:pt>
                <c:pt idx="1">
                  <c:v>0.0930160000000003</c:v>
                </c:pt>
              </c:numCache>
            </c:numRef>
          </c:yVal>
          <c:smooth val="0"/>
        </c:ser>
        <c:axId val="58989554"/>
        <c:axId val="60876263"/>
      </c:scatterChart>
      <c:valAx>
        <c:axId val="58989554"/>
        <c:scaling>
          <c:orientation val="minMax"/>
          <c:max val="2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Sous-groupe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76263"/>
        <c:crosses val="autoZero"/>
        <c:crossBetween val="midCat"/>
      </c:valAx>
      <c:valAx>
        <c:axId val="60876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Étendue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895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6</xdr:col>
      <xdr:colOff>533160</xdr:colOff>
      <xdr:row>5</xdr:row>
      <xdr:rowOff>190440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424080" y="685800"/>
          <a:ext cx="53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8</xdr:col>
      <xdr:colOff>5400</xdr:colOff>
      <xdr:row>11</xdr:row>
      <xdr:rowOff>475920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424080" y="2019240"/>
          <a:ext cx="1228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9</xdr:col>
      <xdr:colOff>527400</xdr:colOff>
      <xdr:row>21</xdr:row>
      <xdr:rowOff>94680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424080" y="5448240"/>
          <a:ext cx="236196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21</xdr:col>
      <xdr:colOff>364680</xdr:colOff>
      <xdr:row>15</xdr:row>
      <xdr:rowOff>189000</xdr:rowOff>
    </xdr:to>
    <xdr:graphicFrame>
      <xdr:nvGraphicFramePr>
        <xdr:cNvPr id="3" name="Chart 1"/>
        <xdr:cNvGraphicFramePr/>
      </xdr:nvGraphicFramePr>
      <xdr:xfrm>
        <a:off x="12335040" y="6858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156240</xdr:rowOff>
    </xdr:from>
    <xdr:to>
      <xdr:col>21</xdr:col>
      <xdr:colOff>364680</xdr:colOff>
      <xdr:row>31</xdr:row>
      <xdr:rowOff>76680</xdr:rowOff>
    </xdr:to>
    <xdr:graphicFrame>
      <xdr:nvGraphicFramePr>
        <xdr:cNvPr id="4" name="Chart 2"/>
        <xdr:cNvGraphicFramePr/>
      </xdr:nvGraphicFramePr>
      <xdr:xfrm>
        <a:off x="12335040" y="37339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4" t="s">
        <v>2</v>
      </c>
    </row>
    <row r="5" customFormat="false" ht="15" hidden="false" customHeight="true" outlineLevel="0" collapsed="false"/>
    <row r="6" customFormat="false" ht="45" hidden="false" customHeight="true" outlineLevel="0" collapsed="false">
      <c r="B6" s="5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true" outlineLevel="0" collapsed="false"/>
    <row r="9" customFormat="false" ht="30" hidden="false" customHeight="true" outlineLevel="0" collapsed="false">
      <c r="B9" s="5" t="s">
        <v>5</v>
      </c>
    </row>
    <row r="10" customFormat="false" ht="30" hidden="false" customHeight="true" outlineLevel="0" collapsed="false">
      <c r="B10" s="5" t="s">
        <v>6</v>
      </c>
    </row>
    <row r="11" customFormat="false" ht="30" hidden="false" customHeight="true" outlineLevel="0" collapsed="false">
      <c r="B11" s="5" t="s">
        <v>7</v>
      </c>
    </row>
    <row r="12" customFormat="false" ht="45" hidden="false" customHeight="true" outlineLevel="0" collapsed="false">
      <c r="B12" s="5" t="s">
        <v>8</v>
      </c>
    </row>
    <row r="13" customFormat="false" ht="60" hidden="false" customHeight="true" outlineLevel="0" collapsed="false">
      <c r="B13" s="6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true" outlineLevel="0" collapsed="false"/>
    <row r="16" customFormat="false" ht="15" hidden="false" customHeight="true" outlineLevel="0" collapsed="false">
      <c r="B16" s="5" t="s">
        <v>11</v>
      </c>
    </row>
    <row r="17" customFormat="false" ht="15" hidden="false" customHeight="true" outlineLevel="0" collapsed="false">
      <c r="B17" s="5" t="s">
        <v>12</v>
      </c>
    </row>
    <row r="18" customFormat="false" ht="15" hidden="false" customHeight="true" outlineLevel="0" collapsed="false">
      <c r="B18" s="5" t="s">
        <v>13</v>
      </c>
    </row>
    <row r="19" customFormat="false" ht="45" hidden="false" customHeight="true" outlineLevel="0" collapsed="false">
      <c r="B19" s="5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true" outlineLevel="0" collapsed="false"/>
    <row r="22" customFormat="false" ht="60" hidden="false" customHeight="true" outlineLevel="0" collapsed="false">
      <c r="B22" s="5" t="s">
        <v>16</v>
      </c>
    </row>
    <row r="24" customFormat="false" ht="15" hidden="false" customHeight="false" outlineLevel="0" collapsed="false">
      <c r="B24" s="7" t="s">
        <v>17</v>
      </c>
    </row>
    <row r="25" customFormat="false" ht="15" hidden="false" customHeight="false" outlineLevel="0" collapsed="false">
      <c r="B25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6"/>
  </cols>
  <sheetData>
    <row r="1" customFormat="false" ht="24" hidden="false" customHeight="true" outlineLevel="0" collapsed="false">
      <c r="A1" s="1" t="s">
        <v>19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20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9" t="s">
        <v>21</v>
      </c>
      <c r="B5" s="9" t="s">
        <v>22</v>
      </c>
      <c r="C5" s="9" t="s">
        <v>23</v>
      </c>
      <c r="D5" s="9" t="s">
        <v>24</v>
      </c>
    </row>
    <row r="6" customFormat="false" ht="15" hidden="false" customHeight="false" outlineLevel="0" collapsed="false">
      <c r="A6" s="10" t="n">
        <v>1</v>
      </c>
      <c r="B6" s="11" t="n">
        <v>11.87</v>
      </c>
      <c r="C6" s="10" t="n">
        <f aca="false">IF(B6="","",INT((A6-1)/Carte!$B$4)+1)</f>
        <v>1</v>
      </c>
      <c r="D6" s="7"/>
    </row>
    <row r="7" customFormat="false" ht="15" hidden="false" customHeight="false" outlineLevel="0" collapsed="false">
      <c r="A7" s="10" t="n">
        <v>2</v>
      </c>
      <c r="B7" s="11" t="n">
        <v>11.86</v>
      </c>
      <c r="C7" s="10" t="n">
        <f aca="false">IF(B7="","",INT((A7-1)/Carte!$B$4)+1)</f>
        <v>1</v>
      </c>
      <c r="D7" s="7"/>
    </row>
    <row r="8" customFormat="false" ht="15" hidden="false" customHeight="false" outlineLevel="0" collapsed="false">
      <c r="A8" s="10" t="n">
        <v>3</v>
      </c>
      <c r="B8" s="11" t="n">
        <v>11.84</v>
      </c>
      <c r="C8" s="10" t="n">
        <f aca="false">IF(B8="","",INT((A8-1)/Carte!$B$4)+1)</f>
        <v>1</v>
      </c>
      <c r="D8" s="7"/>
    </row>
    <row r="9" customFormat="false" ht="15" hidden="false" customHeight="false" outlineLevel="0" collapsed="false">
      <c r="A9" s="10" t="n">
        <v>4</v>
      </c>
      <c r="B9" s="11" t="n">
        <v>11.88</v>
      </c>
      <c r="C9" s="10" t="n">
        <f aca="false">IF(B9="","",INT((A9-1)/Carte!$B$4)+1)</f>
        <v>1</v>
      </c>
      <c r="D9" s="7"/>
    </row>
    <row r="10" customFormat="false" ht="15" hidden="false" customHeight="false" outlineLevel="0" collapsed="false">
      <c r="A10" s="10" t="n">
        <v>5</v>
      </c>
      <c r="B10" s="11" t="n">
        <v>11.87</v>
      </c>
      <c r="C10" s="10" t="n">
        <f aca="false">IF(B10="","",INT((A10-1)/Carte!$B$4)+1)</f>
        <v>1</v>
      </c>
      <c r="D10" s="7"/>
    </row>
    <row r="11" customFormat="false" ht="15" hidden="false" customHeight="false" outlineLevel="0" collapsed="false">
      <c r="A11" s="10" t="n">
        <v>6</v>
      </c>
      <c r="B11" s="11" t="n">
        <v>11.87</v>
      </c>
      <c r="C11" s="10" t="n">
        <f aca="false">IF(B11="","",INT((A11-1)/Carte!$B$4)+1)</f>
        <v>2</v>
      </c>
      <c r="D11" s="7"/>
    </row>
    <row r="12" customFormat="false" ht="15" hidden="false" customHeight="false" outlineLevel="0" collapsed="false">
      <c r="A12" s="10" t="n">
        <v>7</v>
      </c>
      <c r="B12" s="11" t="n">
        <v>11.85</v>
      </c>
      <c r="C12" s="10" t="n">
        <f aca="false">IF(B12="","",INT((A12-1)/Carte!$B$4)+1)</f>
        <v>2</v>
      </c>
      <c r="D12" s="7"/>
    </row>
    <row r="13" customFormat="false" ht="15" hidden="false" customHeight="false" outlineLevel="0" collapsed="false">
      <c r="A13" s="10" t="n">
        <v>8</v>
      </c>
      <c r="B13" s="11" t="n">
        <v>11.86</v>
      </c>
      <c r="C13" s="10" t="n">
        <f aca="false">IF(B13="","",INT((A13-1)/Carte!$B$4)+1)</f>
        <v>2</v>
      </c>
      <c r="D13" s="7"/>
    </row>
    <row r="14" customFormat="false" ht="15" hidden="false" customHeight="false" outlineLevel="0" collapsed="false">
      <c r="A14" s="10" t="n">
        <v>9</v>
      </c>
      <c r="B14" s="11" t="n">
        <v>11.84</v>
      </c>
      <c r="C14" s="10" t="n">
        <f aca="false">IF(B14="","",INT((A14-1)/Carte!$B$4)+1)</f>
        <v>2</v>
      </c>
      <c r="D14" s="7"/>
    </row>
    <row r="15" customFormat="false" ht="15" hidden="false" customHeight="false" outlineLevel="0" collapsed="false">
      <c r="A15" s="10" t="n">
        <v>10</v>
      </c>
      <c r="B15" s="11" t="n">
        <v>11.89</v>
      </c>
      <c r="C15" s="10" t="n">
        <f aca="false">IF(B15="","",INT((A15-1)/Carte!$B$4)+1)</f>
        <v>2</v>
      </c>
      <c r="D15" s="7"/>
    </row>
    <row r="16" customFormat="false" ht="15" hidden="false" customHeight="false" outlineLevel="0" collapsed="false">
      <c r="A16" s="10" t="n">
        <v>11</v>
      </c>
      <c r="B16" s="11" t="n">
        <v>11.91</v>
      </c>
      <c r="C16" s="10" t="n">
        <f aca="false">IF(B16="","",INT((A16-1)/Carte!$B$4)+1)</f>
        <v>3</v>
      </c>
      <c r="D16" s="7"/>
    </row>
    <row r="17" customFormat="false" ht="15" hidden="false" customHeight="false" outlineLevel="0" collapsed="false">
      <c r="A17" s="10" t="n">
        <v>12</v>
      </c>
      <c r="B17" s="11" t="n">
        <v>11.9</v>
      </c>
      <c r="C17" s="10" t="n">
        <f aca="false">IF(B17="","",INT((A17-1)/Carte!$B$4)+1)</f>
        <v>3</v>
      </c>
      <c r="D17" s="7"/>
    </row>
    <row r="18" customFormat="false" ht="15" hidden="false" customHeight="false" outlineLevel="0" collapsed="false">
      <c r="A18" s="10" t="n">
        <v>13</v>
      </c>
      <c r="B18" s="11" t="n">
        <v>11.86</v>
      </c>
      <c r="C18" s="10" t="n">
        <f aca="false">IF(B18="","",INT((A18-1)/Carte!$B$4)+1)</f>
        <v>3</v>
      </c>
      <c r="D18" s="7"/>
    </row>
    <row r="19" customFormat="false" ht="15" hidden="false" customHeight="false" outlineLevel="0" collapsed="false">
      <c r="A19" s="10" t="n">
        <v>14</v>
      </c>
      <c r="B19" s="11" t="n">
        <v>11.88</v>
      </c>
      <c r="C19" s="10" t="n">
        <f aca="false">IF(B19="","",INT((A19-1)/Carte!$B$4)+1)</f>
        <v>3</v>
      </c>
      <c r="D19" s="7"/>
    </row>
    <row r="20" customFormat="false" ht="15" hidden="false" customHeight="false" outlineLevel="0" collapsed="false">
      <c r="A20" s="10" t="n">
        <v>15</v>
      </c>
      <c r="B20" s="11" t="n">
        <v>11.87</v>
      </c>
      <c r="C20" s="10" t="n">
        <f aca="false">IF(B20="","",INT((A20-1)/Carte!$B$4)+1)</f>
        <v>3</v>
      </c>
      <c r="D20" s="7"/>
    </row>
    <row r="21" customFormat="false" ht="15" hidden="false" customHeight="false" outlineLevel="0" collapsed="false">
      <c r="A21" s="10" t="n">
        <v>16</v>
      </c>
      <c r="B21" s="11" t="n">
        <v>11.89</v>
      </c>
      <c r="C21" s="10" t="n">
        <f aca="false">IF(B21="","",INT((A21-1)/Carte!$B$4)+1)</f>
        <v>4</v>
      </c>
      <c r="D21" s="7"/>
    </row>
    <row r="22" customFormat="false" ht="15" hidden="false" customHeight="false" outlineLevel="0" collapsed="false">
      <c r="A22" s="10" t="n">
        <v>17</v>
      </c>
      <c r="B22" s="11" t="n">
        <v>11.91</v>
      </c>
      <c r="C22" s="10" t="n">
        <f aca="false">IF(B22="","",INT((A22-1)/Carte!$B$4)+1)</f>
        <v>4</v>
      </c>
      <c r="D22" s="7"/>
    </row>
    <row r="23" customFormat="false" ht="15" hidden="false" customHeight="false" outlineLevel="0" collapsed="false">
      <c r="A23" s="10" t="n">
        <v>18</v>
      </c>
      <c r="B23" s="11" t="n">
        <v>11.89</v>
      </c>
      <c r="C23" s="10" t="n">
        <f aca="false">IF(B23="","",INT((A23-1)/Carte!$B$4)+1)</f>
        <v>4</v>
      </c>
      <c r="D23" s="7"/>
    </row>
    <row r="24" customFormat="false" ht="15" hidden="false" customHeight="false" outlineLevel="0" collapsed="false">
      <c r="A24" s="10" t="n">
        <v>19</v>
      </c>
      <c r="B24" s="11" t="n">
        <v>11.88</v>
      </c>
      <c r="C24" s="10" t="n">
        <f aca="false">IF(B24="","",INT((A24-1)/Carte!$B$4)+1)</f>
        <v>4</v>
      </c>
      <c r="D24" s="7"/>
    </row>
    <row r="25" customFormat="false" ht="15" hidden="false" customHeight="false" outlineLevel="0" collapsed="false">
      <c r="A25" s="10" t="n">
        <v>20</v>
      </c>
      <c r="B25" s="11" t="n">
        <v>11.92</v>
      </c>
      <c r="C25" s="10" t="n">
        <f aca="false">IF(B25="","",INT((A25-1)/Carte!$B$4)+1)</f>
        <v>4</v>
      </c>
      <c r="D25" s="7"/>
    </row>
    <row r="26" customFormat="false" ht="15" hidden="false" customHeight="false" outlineLevel="0" collapsed="false">
      <c r="A26" s="10" t="n">
        <v>21</v>
      </c>
      <c r="B26" s="11" t="n">
        <v>11.91</v>
      </c>
      <c r="C26" s="10" t="n">
        <f aca="false">IF(B26="","",INT((A26-1)/Carte!$B$4)+1)</f>
        <v>5</v>
      </c>
      <c r="D26" s="7"/>
    </row>
    <row r="27" customFormat="false" ht="15" hidden="false" customHeight="false" outlineLevel="0" collapsed="false">
      <c r="A27" s="10" t="n">
        <v>22</v>
      </c>
      <c r="B27" s="11" t="n">
        <v>11.92</v>
      </c>
      <c r="C27" s="10" t="n">
        <f aca="false">IF(B27="","",INT((A27-1)/Carte!$B$4)+1)</f>
        <v>5</v>
      </c>
      <c r="D27" s="7"/>
    </row>
    <row r="28" customFormat="false" ht="15" hidden="false" customHeight="false" outlineLevel="0" collapsed="false">
      <c r="A28" s="10" t="n">
        <v>23</v>
      </c>
      <c r="B28" s="11" t="n">
        <v>11.93</v>
      </c>
      <c r="C28" s="10" t="n">
        <f aca="false">IF(B28="","",INT((A28-1)/Carte!$B$4)+1)</f>
        <v>5</v>
      </c>
      <c r="D28" s="7"/>
    </row>
    <row r="29" customFormat="false" ht="15" hidden="false" customHeight="false" outlineLevel="0" collapsed="false">
      <c r="A29" s="10" t="n">
        <v>24</v>
      </c>
      <c r="B29" s="11" t="n">
        <v>11.89</v>
      </c>
      <c r="C29" s="10" t="n">
        <f aca="false">IF(B29="","",INT((A29-1)/Carte!$B$4)+1)</f>
        <v>5</v>
      </c>
      <c r="D29" s="7"/>
    </row>
    <row r="30" customFormat="false" ht="15" hidden="false" customHeight="false" outlineLevel="0" collapsed="false">
      <c r="A30" s="10" t="n">
        <v>25</v>
      </c>
      <c r="B30" s="11" t="n">
        <v>11.9</v>
      </c>
      <c r="C30" s="10" t="n">
        <f aca="false">IF(B30="","",INT((A30-1)/Carte!$B$4)+1)</f>
        <v>5</v>
      </c>
      <c r="D30" s="7"/>
    </row>
    <row r="31" customFormat="false" ht="15" hidden="false" customHeight="false" outlineLevel="0" collapsed="false">
      <c r="A31" s="10" t="n">
        <v>26</v>
      </c>
      <c r="B31" s="11" t="n">
        <v>11.85</v>
      </c>
      <c r="C31" s="10" t="n">
        <f aca="false">IF(B31="","",INT((A31-1)/Carte!$B$4)+1)</f>
        <v>6</v>
      </c>
      <c r="D31" s="7"/>
    </row>
    <row r="32" customFormat="false" ht="15" hidden="false" customHeight="false" outlineLevel="0" collapsed="false">
      <c r="A32" s="10" t="n">
        <v>27</v>
      </c>
      <c r="B32" s="11" t="n">
        <v>11.91</v>
      </c>
      <c r="C32" s="10" t="n">
        <f aca="false">IF(B32="","",INT((A32-1)/Carte!$B$4)+1)</f>
        <v>6</v>
      </c>
      <c r="D32" s="7"/>
    </row>
    <row r="33" customFormat="false" ht="15" hidden="false" customHeight="false" outlineLevel="0" collapsed="false">
      <c r="A33" s="10" t="n">
        <v>28</v>
      </c>
      <c r="B33" s="11" t="n">
        <v>11.92</v>
      </c>
      <c r="C33" s="10" t="n">
        <f aca="false">IF(B33="","",INT((A33-1)/Carte!$B$4)+1)</f>
        <v>6</v>
      </c>
      <c r="D33" s="7"/>
    </row>
    <row r="34" customFormat="false" ht="15" hidden="false" customHeight="false" outlineLevel="0" collapsed="false">
      <c r="A34" s="10" t="n">
        <v>29</v>
      </c>
      <c r="B34" s="11" t="n">
        <v>11.93</v>
      </c>
      <c r="C34" s="10" t="n">
        <f aca="false">IF(B34="","",INT((A34-1)/Carte!$B$4)+1)</f>
        <v>6</v>
      </c>
      <c r="D34" s="7"/>
    </row>
    <row r="35" customFormat="false" ht="15" hidden="false" customHeight="false" outlineLevel="0" collapsed="false">
      <c r="A35" s="10" t="n">
        <v>30</v>
      </c>
      <c r="B35" s="11" t="n">
        <v>11.9</v>
      </c>
      <c r="C35" s="10" t="n">
        <f aca="false">IF(B35="","",INT((A35-1)/Carte!$B$4)+1)</f>
        <v>6</v>
      </c>
      <c r="D35" s="7"/>
    </row>
    <row r="36" customFormat="false" ht="15" hidden="false" customHeight="false" outlineLevel="0" collapsed="false">
      <c r="A36" s="10" t="n">
        <v>31</v>
      </c>
      <c r="B36" s="11" t="n">
        <v>11.928</v>
      </c>
      <c r="C36" s="10" t="n">
        <f aca="false">IF(B36="","",INT((A36-1)/Carte!$B$4)+1)</f>
        <v>7</v>
      </c>
      <c r="D36" s="7"/>
    </row>
    <row r="37" customFormat="false" ht="15" hidden="false" customHeight="false" outlineLevel="0" collapsed="false">
      <c r="A37" s="10" t="n">
        <v>32</v>
      </c>
      <c r="B37" s="11" t="n">
        <v>11.904</v>
      </c>
      <c r="C37" s="10" t="n">
        <f aca="false">IF(B37="","",INT((A37-1)/Carte!$B$4)+1)</f>
        <v>7</v>
      </c>
      <c r="D37" s="7"/>
    </row>
    <row r="38" customFormat="false" ht="15" hidden="false" customHeight="false" outlineLevel="0" collapsed="false">
      <c r="A38" s="10" t="n">
        <v>33</v>
      </c>
      <c r="B38" s="11" t="n">
        <v>11.911</v>
      </c>
      <c r="C38" s="10" t="n">
        <f aca="false">IF(B38="","",INT((A38-1)/Carte!$B$4)+1)</f>
        <v>7</v>
      </c>
      <c r="D38" s="7"/>
    </row>
    <row r="39" customFormat="false" ht="15" hidden="false" customHeight="false" outlineLevel="0" collapsed="false">
      <c r="A39" s="10" t="n">
        <v>34</v>
      </c>
      <c r="B39" s="11" t="n">
        <v>11.943</v>
      </c>
      <c r="C39" s="10" t="n">
        <f aca="false">IF(B39="","",INT((A39-1)/Carte!$B$4)+1)</f>
        <v>7</v>
      </c>
      <c r="D39" s="7"/>
    </row>
    <row r="40" customFormat="false" ht="15" hidden="false" customHeight="false" outlineLevel="0" collapsed="false">
      <c r="A40" s="10" t="n">
        <v>35</v>
      </c>
      <c r="B40" s="11" t="n">
        <v>11.954</v>
      </c>
      <c r="C40" s="10" t="n">
        <f aca="false">IF(B40="","",INT((A40-1)/Carte!$B$4)+1)</f>
        <v>7</v>
      </c>
      <c r="D40" s="7"/>
    </row>
    <row r="41" customFormat="false" ht="15" hidden="false" customHeight="false" outlineLevel="0" collapsed="false">
      <c r="A41" s="10" t="n">
        <v>36</v>
      </c>
      <c r="B41" s="11" t="n">
        <v>11.939</v>
      </c>
      <c r="C41" s="10" t="n">
        <f aca="false">IF(B41="","",INT((A41-1)/Carte!$B$4)+1)</f>
        <v>8</v>
      </c>
      <c r="D41" s="7"/>
    </row>
    <row r="42" customFormat="false" ht="15" hidden="false" customHeight="false" outlineLevel="0" collapsed="false">
      <c r="A42" s="10" t="n">
        <v>37</v>
      </c>
      <c r="B42" s="11" t="n">
        <v>11.929</v>
      </c>
      <c r="C42" s="10" t="n">
        <f aca="false">IF(B42="","",INT((A42-1)/Carte!$B$4)+1)</f>
        <v>8</v>
      </c>
      <c r="D42" s="7"/>
    </row>
    <row r="43" customFormat="false" ht="15" hidden="false" customHeight="false" outlineLevel="0" collapsed="false">
      <c r="A43" s="10" t="n">
        <v>38</v>
      </c>
      <c r="B43" s="11" t="n">
        <v>11.94</v>
      </c>
      <c r="C43" s="10" t="n">
        <f aca="false">IF(B43="","",INT((A43-1)/Carte!$B$4)+1)</f>
        <v>8</v>
      </c>
      <c r="D43" s="7"/>
    </row>
    <row r="44" customFormat="false" ht="15" hidden="false" customHeight="false" outlineLevel="0" collapsed="false">
      <c r="A44" s="10" t="n">
        <v>39</v>
      </c>
      <c r="B44" s="11" t="n">
        <v>11.947</v>
      </c>
      <c r="C44" s="10" t="n">
        <f aca="false">IF(B44="","",INT((A44-1)/Carte!$B$4)+1)</f>
        <v>8</v>
      </c>
      <c r="D44" s="7"/>
    </row>
    <row r="45" customFormat="false" ht="15" hidden="false" customHeight="false" outlineLevel="0" collapsed="false">
      <c r="A45" s="10" t="n">
        <v>40</v>
      </c>
      <c r="B45" s="11" t="n">
        <v>11.921</v>
      </c>
      <c r="C45" s="10" t="n">
        <f aca="false">IF(B45="","",INT((A45-1)/Carte!$B$4)+1)</f>
        <v>8</v>
      </c>
      <c r="D45" s="7"/>
    </row>
    <row r="46" customFormat="false" ht="15" hidden="false" customHeight="false" outlineLevel="0" collapsed="false">
      <c r="A46" s="10" t="n">
        <v>41</v>
      </c>
      <c r="B46" s="11" t="n">
        <v>11.945</v>
      </c>
      <c r="C46" s="10" t="n">
        <f aca="false">IF(B46="","",INT((A46-1)/Carte!$B$4)+1)</f>
        <v>9</v>
      </c>
      <c r="D46" s="7"/>
    </row>
    <row r="47" customFormat="false" ht="15" hidden="false" customHeight="false" outlineLevel="0" collapsed="false">
      <c r="A47" s="10" t="n">
        <v>42</v>
      </c>
      <c r="B47" s="11" t="n">
        <v>11.951</v>
      </c>
      <c r="C47" s="10" t="n">
        <f aca="false">IF(B47="","",INT((A47-1)/Carte!$B$4)+1)</f>
        <v>9</v>
      </c>
      <c r="D47" s="7"/>
    </row>
    <row r="48" customFormat="false" ht="15" hidden="false" customHeight="false" outlineLevel="0" collapsed="false">
      <c r="A48" s="10" t="n">
        <v>43</v>
      </c>
      <c r="B48" s="11" t="n">
        <v>11.941</v>
      </c>
      <c r="C48" s="10" t="n">
        <f aca="false">IF(B48="","",INT((A48-1)/Carte!$B$4)+1)</f>
        <v>9</v>
      </c>
      <c r="D48" s="7"/>
    </row>
    <row r="49" customFormat="false" ht="15" hidden="false" customHeight="false" outlineLevel="0" collapsed="false">
      <c r="A49" s="10" t="n">
        <v>44</v>
      </c>
      <c r="B49" s="11" t="n">
        <v>11.927</v>
      </c>
      <c r="C49" s="10" t="n">
        <f aca="false">IF(B49="","",INT((A49-1)/Carte!$B$4)+1)</f>
        <v>9</v>
      </c>
      <c r="D49" s="7"/>
    </row>
    <row r="50" customFormat="false" ht="15" hidden="false" customHeight="false" outlineLevel="0" collapsed="false">
      <c r="A50" s="10" t="n">
        <v>45</v>
      </c>
      <c r="B50" s="11" t="n">
        <v>11.947</v>
      </c>
      <c r="C50" s="10" t="n">
        <f aca="false">IF(B50="","",INT((A50-1)/Carte!$B$4)+1)</f>
        <v>9</v>
      </c>
      <c r="D50" s="7"/>
    </row>
    <row r="51" customFormat="false" ht="15" hidden="false" customHeight="false" outlineLevel="0" collapsed="false">
      <c r="A51" s="10" t="n">
        <v>46</v>
      </c>
      <c r="B51" s="11" t="n">
        <v>11.982</v>
      </c>
      <c r="C51" s="10" t="n">
        <f aca="false">IF(B51="","",INT((A51-1)/Carte!$B$4)+1)</f>
        <v>10</v>
      </c>
      <c r="D51" s="7"/>
    </row>
    <row r="52" customFormat="false" ht="15" hidden="false" customHeight="false" outlineLevel="0" collapsed="false">
      <c r="A52" s="10" t="n">
        <v>47</v>
      </c>
      <c r="B52" s="11" t="n">
        <v>11.942</v>
      </c>
      <c r="C52" s="10" t="n">
        <f aca="false">IF(B52="","",INT((A52-1)/Carte!$B$4)+1)</f>
        <v>10</v>
      </c>
      <c r="D52" s="7"/>
    </row>
    <row r="53" customFormat="false" ht="15" hidden="false" customHeight="false" outlineLevel="0" collapsed="false">
      <c r="A53" s="10" t="n">
        <v>48</v>
      </c>
      <c r="B53" s="11" t="n">
        <v>11.977</v>
      </c>
      <c r="C53" s="10" t="n">
        <f aca="false">IF(B53="","",INT((A53-1)/Carte!$B$4)+1)</f>
        <v>10</v>
      </c>
      <c r="D53" s="7"/>
    </row>
    <row r="54" customFormat="false" ht="15" hidden="false" customHeight="false" outlineLevel="0" collapsed="false">
      <c r="A54" s="10" t="n">
        <v>49</v>
      </c>
      <c r="B54" s="11" t="n">
        <v>11.953</v>
      </c>
      <c r="C54" s="10" t="n">
        <f aca="false">IF(B54="","",INT((A54-1)/Carte!$B$4)+1)</f>
        <v>10</v>
      </c>
      <c r="D54" s="7"/>
    </row>
    <row r="55" customFormat="false" ht="15" hidden="false" customHeight="false" outlineLevel="0" collapsed="false">
      <c r="A55" s="10" t="n">
        <v>50</v>
      </c>
      <c r="B55" s="11" t="n">
        <v>11.948</v>
      </c>
      <c r="C55" s="10" t="n">
        <f aca="false">IF(B55="","",INT((A55-1)/Carte!$B$4)+1)</f>
        <v>10</v>
      </c>
      <c r="D55" s="7"/>
    </row>
    <row r="56" customFormat="false" ht="15" hidden="false" customHeight="false" outlineLevel="0" collapsed="false">
      <c r="A56" s="10" t="n">
        <v>51</v>
      </c>
      <c r="B56" s="11"/>
      <c r="C56" s="10" t="str">
        <f aca="false">IF(B56="","",INT((A56-1)/Carte!$B$4)+1)</f>
        <v/>
      </c>
      <c r="D56" s="7"/>
    </row>
    <row r="57" customFormat="false" ht="15" hidden="false" customHeight="false" outlineLevel="0" collapsed="false">
      <c r="A57" s="10" t="n">
        <v>52</v>
      </c>
      <c r="B57" s="11"/>
      <c r="C57" s="10" t="str">
        <f aca="false">IF(B57="","",INT((A57-1)/Carte!$B$4)+1)</f>
        <v/>
      </c>
      <c r="D57" s="7"/>
    </row>
    <row r="58" customFormat="false" ht="15" hidden="false" customHeight="false" outlineLevel="0" collapsed="false">
      <c r="A58" s="10" t="n">
        <v>53</v>
      </c>
      <c r="B58" s="11"/>
      <c r="C58" s="10" t="str">
        <f aca="false">IF(B58="","",INT((A58-1)/Carte!$B$4)+1)</f>
        <v/>
      </c>
      <c r="D58" s="7"/>
    </row>
    <row r="59" customFormat="false" ht="15" hidden="false" customHeight="false" outlineLevel="0" collapsed="false">
      <c r="A59" s="10" t="n">
        <v>54</v>
      </c>
      <c r="B59" s="11"/>
      <c r="C59" s="10" t="str">
        <f aca="false">IF(B59="","",INT((A59-1)/Carte!$B$4)+1)</f>
        <v/>
      </c>
      <c r="D59" s="7"/>
    </row>
    <row r="60" customFormat="false" ht="15" hidden="false" customHeight="false" outlineLevel="0" collapsed="false">
      <c r="A60" s="10" t="n">
        <v>55</v>
      </c>
      <c r="B60" s="11"/>
      <c r="C60" s="10" t="str">
        <f aca="false">IF(B60="","",INT((A60-1)/Carte!$B$4)+1)</f>
        <v/>
      </c>
      <c r="D60" s="7"/>
    </row>
    <row r="61" customFormat="false" ht="15" hidden="false" customHeight="false" outlineLevel="0" collapsed="false">
      <c r="A61" s="10" t="n">
        <v>56</v>
      </c>
      <c r="B61" s="11"/>
      <c r="C61" s="10" t="str">
        <f aca="false">IF(B61="","",INT((A61-1)/Carte!$B$4)+1)</f>
        <v/>
      </c>
      <c r="D61" s="7"/>
    </row>
    <row r="62" customFormat="false" ht="15" hidden="false" customHeight="false" outlineLevel="0" collapsed="false">
      <c r="A62" s="10" t="n">
        <v>57</v>
      </c>
      <c r="B62" s="11"/>
      <c r="C62" s="10" t="str">
        <f aca="false">IF(B62="","",INT((A62-1)/Carte!$B$4)+1)</f>
        <v/>
      </c>
      <c r="D62" s="7"/>
    </row>
    <row r="63" customFormat="false" ht="15" hidden="false" customHeight="false" outlineLevel="0" collapsed="false">
      <c r="A63" s="10" t="n">
        <v>58</v>
      </c>
      <c r="B63" s="11"/>
      <c r="C63" s="10" t="str">
        <f aca="false">IF(B63="","",INT((A63-1)/Carte!$B$4)+1)</f>
        <v/>
      </c>
      <c r="D63" s="7"/>
    </row>
    <row r="64" customFormat="false" ht="15" hidden="false" customHeight="false" outlineLevel="0" collapsed="false">
      <c r="A64" s="10" t="n">
        <v>59</v>
      </c>
      <c r="B64" s="11"/>
      <c r="C64" s="10" t="str">
        <f aca="false">IF(B64="","",INT((A64-1)/Carte!$B$4)+1)</f>
        <v/>
      </c>
      <c r="D64" s="7"/>
    </row>
    <row r="65" customFormat="false" ht="15" hidden="false" customHeight="false" outlineLevel="0" collapsed="false">
      <c r="A65" s="10" t="n">
        <v>60</v>
      </c>
      <c r="B65" s="11"/>
      <c r="C65" s="10" t="str">
        <f aca="false">IF(B65="","",INT((A65-1)/Carte!$B$4)+1)</f>
        <v/>
      </c>
      <c r="D65" s="7"/>
    </row>
    <row r="66" customFormat="false" ht="15" hidden="false" customHeight="false" outlineLevel="0" collapsed="false">
      <c r="A66" s="10" t="n">
        <v>61</v>
      </c>
      <c r="B66" s="11"/>
      <c r="C66" s="10" t="str">
        <f aca="false">IF(B66="","",INT((A66-1)/Carte!$B$4)+1)</f>
        <v/>
      </c>
      <c r="D66" s="7"/>
    </row>
    <row r="67" customFormat="false" ht="15" hidden="false" customHeight="false" outlineLevel="0" collapsed="false">
      <c r="A67" s="10" t="n">
        <v>62</v>
      </c>
      <c r="B67" s="11"/>
      <c r="C67" s="10" t="str">
        <f aca="false">IF(B67="","",INT((A67-1)/Carte!$B$4)+1)</f>
        <v/>
      </c>
      <c r="D67" s="7"/>
    </row>
    <row r="68" customFormat="false" ht="15" hidden="false" customHeight="false" outlineLevel="0" collapsed="false">
      <c r="A68" s="10" t="n">
        <v>63</v>
      </c>
      <c r="B68" s="11"/>
      <c r="C68" s="10" t="str">
        <f aca="false">IF(B68="","",INT((A68-1)/Carte!$B$4)+1)</f>
        <v/>
      </c>
      <c r="D68" s="7"/>
    </row>
    <row r="69" customFormat="false" ht="15" hidden="false" customHeight="false" outlineLevel="0" collapsed="false">
      <c r="A69" s="10" t="n">
        <v>64</v>
      </c>
      <c r="B69" s="11"/>
      <c r="C69" s="10" t="str">
        <f aca="false">IF(B69="","",INT((A69-1)/Carte!$B$4)+1)</f>
        <v/>
      </c>
      <c r="D69" s="7"/>
    </row>
    <row r="70" customFormat="false" ht="15" hidden="false" customHeight="false" outlineLevel="0" collapsed="false">
      <c r="A70" s="10" t="n">
        <v>65</v>
      </c>
      <c r="B70" s="11"/>
      <c r="C70" s="10" t="str">
        <f aca="false">IF(B70="","",INT((A70-1)/Carte!$B$4)+1)</f>
        <v/>
      </c>
      <c r="D70" s="7"/>
    </row>
    <row r="71" customFormat="false" ht="15" hidden="false" customHeight="false" outlineLevel="0" collapsed="false">
      <c r="A71" s="10" t="n">
        <v>66</v>
      </c>
      <c r="B71" s="11"/>
      <c r="C71" s="10" t="str">
        <f aca="false">IF(B71="","",INT((A71-1)/Carte!$B$4)+1)</f>
        <v/>
      </c>
      <c r="D71" s="7"/>
    </row>
    <row r="72" customFormat="false" ht="15" hidden="false" customHeight="false" outlineLevel="0" collapsed="false">
      <c r="A72" s="10" t="n">
        <v>67</v>
      </c>
      <c r="B72" s="11"/>
      <c r="C72" s="10" t="str">
        <f aca="false">IF(B72="","",INT((A72-1)/Carte!$B$4)+1)</f>
        <v/>
      </c>
      <c r="D72" s="7"/>
    </row>
    <row r="73" customFormat="false" ht="15" hidden="false" customHeight="false" outlineLevel="0" collapsed="false">
      <c r="A73" s="10" t="n">
        <v>68</v>
      </c>
      <c r="B73" s="11"/>
      <c r="C73" s="10" t="str">
        <f aca="false">IF(B73="","",INT((A73-1)/Carte!$B$4)+1)</f>
        <v/>
      </c>
      <c r="D73" s="7"/>
    </row>
    <row r="74" customFormat="false" ht="15" hidden="false" customHeight="false" outlineLevel="0" collapsed="false">
      <c r="A74" s="10" t="n">
        <v>69</v>
      </c>
      <c r="B74" s="11"/>
      <c r="C74" s="10" t="str">
        <f aca="false">IF(B74="","",INT((A74-1)/Carte!$B$4)+1)</f>
        <v/>
      </c>
      <c r="D74" s="7"/>
    </row>
    <row r="75" customFormat="false" ht="15" hidden="false" customHeight="false" outlineLevel="0" collapsed="false">
      <c r="A75" s="10" t="n">
        <v>70</v>
      </c>
      <c r="B75" s="11"/>
      <c r="C75" s="10" t="str">
        <f aca="false">IF(B75="","",INT((A75-1)/Carte!$B$4)+1)</f>
        <v/>
      </c>
      <c r="D75" s="7"/>
    </row>
    <row r="76" customFormat="false" ht="15" hidden="false" customHeight="false" outlineLevel="0" collapsed="false">
      <c r="A76" s="10" t="n">
        <v>71</v>
      </c>
      <c r="B76" s="11"/>
      <c r="C76" s="10" t="str">
        <f aca="false">IF(B76="","",INT((A76-1)/Carte!$B$4)+1)</f>
        <v/>
      </c>
      <c r="D76" s="7"/>
    </row>
    <row r="77" customFormat="false" ht="15" hidden="false" customHeight="false" outlineLevel="0" collapsed="false">
      <c r="A77" s="10" t="n">
        <v>72</v>
      </c>
      <c r="B77" s="11"/>
      <c r="C77" s="10" t="str">
        <f aca="false">IF(B77="","",INT((A77-1)/Carte!$B$4)+1)</f>
        <v/>
      </c>
      <c r="D77" s="7"/>
    </row>
    <row r="78" customFormat="false" ht="15" hidden="false" customHeight="false" outlineLevel="0" collapsed="false">
      <c r="A78" s="10" t="n">
        <v>73</v>
      </c>
      <c r="B78" s="11"/>
      <c r="C78" s="10" t="str">
        <f aca="false">IF(B78="","",INT((A78-1)/Carte!$B$4)+1)</f>
        <v/>
      </c>
      <c r="D78" s="7"/>
    </row>
    <row r="79" customFormat="false" ht="15" hidden="false" customHeight="false" outlineLevel="0" collapsed="false">
      <c r="A79" s="10" t="n">
        <v>74</v>
      </c>
      <c r="B79" s="11"/>
      <c r="C79" s="10" t="str">
        <f aca="false">IF(B79="","",INT((A79-1)/Carte!$B$4)+1)</f>
        <v/>
      </c>
      <c r="D79" s="7"/>
    </row>
    <row r="80" customFormat="false" ht="15" hidden="false" customHeight="false" outlineLevel="0" collapsed="false">
      <c r="A80" s="10" t="n">
        <v>75</v>
      </c>
      <c r="B80" s="11"/>
      <c r="C80" s="10" t="str">
        <f aca="false">IF(B80="","",INT((A80-1)/Carte!$B$4)+1)</f>
        <v/>
      </c>
      <c r="D80" s="7"/>
    </row>
    <row r="81" customFormat="false" ht="15" hidden="false" customHeight="false" outlineLevel="0" collapsed="false">
      <c r="A81" s="10" t="n">
        <v>76</v>
      </c>
      <c r="B81" s="11"/>
      <c r="C81" s="10" t="str">
        <f aca="false">IF(B81="","",INT((A81-1)/Carte!$B$4)+1)</f>
        <v/>
      </c>
      <c r="D81" s="7"/>
    </row>
    <row r="82" customFormat="false" ht="15" hidden="false" customHeight="false" outlineLevel="0" collapsed="false">
      <c r="A82" s="10" t="n">
        <v>77</v>
      </c>
      <c r="B82" s="11"/>
      <c r="C82" s="10" t="str">
        <f aca="false">IF(B82="","",INT((A82-1)/Carte!$B$4)+1)</f>
        <v/>
      </c>
      <c r="D82" s="7"/>
    </row>
    <row r="83" customFormat="false" ht="15" hidden="false" customHeight="false" outlineLevel="0" collapsed="false">
      <c r="A83" s="10" t="n">
        <v>78</v>
      </c>
      <c r="B83" s="11"/>
      <c r="C83" s="10" t="str">
        <f aca="false">IF(B83="","",INT((A83-1)/Carte!$B$4)+1)</f>
        <v/>
      </c>
      <c r="D83" s="7"/>
    </row>
    <row r="84" customFormat="false" ht="15" hidden="false" customHeight="false" outlineLevel="0" collapsed="false">
      <c r="A84" s="10" t="n">
        <v>79</v>
      </c>
      <c r="B84" s="11"/>
      <c r="C84" s="10" t="str">
        <f aca="false">IF(B84="","",INT((A84-1)/Carte!$B$4)+1)</f>
        <v/>
      </c>
      <c r="D84" s="7"/>
    </row>
    <row r="85" customFormat="false" ht="15" hidden="false" customHeight="false" outlineLevel="0" collapsed="false">
      <c r="A85" s="10" t="n">
        <v>80</v>
      </c>
      <c r="B85" s="11"/>
      <c r="C85" s="10" t="str">
        <f aca="false">IF(B85="","",INT((A85-1)/Carte!$B$4)+1)</f>
        <v/>
      </c>
      <c r="D85" s="7"/>
    </row>
    <row r="86" customFormat="false" ht="15" hidden="false" customHeight="false" outlineLevel="0" collapsed="false">
      <c r="A86" s="10" t="n">
        <v>81</v>
      </c>
      <c r="B86" s="11"/>
      <c r="C86" s="10" t="str">
        <f aca="false">IF(B86="","",INT((A86-1)/Carte!$B$4)+1)</f>
        <v/>
      </c>
      <c r="D86" s="7"/>
    </row>
    <row r="87" customFormat="false" ht="15" hidden="false" customHeight="false" outlineLevel="0" collapsed="false">
      <c r="A87" s="10" t="n">
        <v>82</v>
      </c>
      <c r="B87" s="11"/>
      <c r="C87" s="10" t="str">
        <f aca="false">IF(B87="","",INT((A87-1)/Carte!$B$4)+1)</f>
        <v/>
      </c>
      <c r="D87" s="7"/>
    </row>
    <row r="88" customFormat="false" ht="15" hidden="false" customHeight="false" outlineLevel="0" collapsed="false">
      <c r="A88" s="10" t="n">
        <v>83</v>
      </c>
      <c r="B88" s="11"/>
      <c r="C88" s="10" t="str">
        <f aca="false">IF(B88="","",INT((A88-1)/Carte!$B$4)+1)</f>
        <v/>
      </c>
      <c r="D88" s="7"/>
    </row>
    <row r="89" customFormat="false" ht="15" hidden="false" customHeight="false" outlineLevel="0" collapsed="false">
      <c r="A89" s="10" t="n">
        <v>84</v>
      </c>
      <c r="B89" s="11"/>
      <c r="C89" s="10" t="str">
        <f aca="false">IF(B89="","",INT((A89-1)/Carte!$B$4)+1)</f>
        <v/>
      </c>
      <c r="D89" s="7"/>
    </row>
    <row r="90" customFormat="false" ht="15" hidden="false" customHeight="false" outlineLevel="0" collapsed="false">
      <c r="A90" s="10" t="n">
        <v>85</v>
      </c>
      <c r="B90" s="11"/>
      <c r="C90" s="10" t="str">
        <f aca="false">IF(B90="","",INT((A90-1)/Carte!$B$4)+1)</f>
        <v/>
      </c>
      <c r="D90" s="7"/>
    </row>
    <row r="91" customFormat="false" ht="15" hidden="false" customHeight="false" outlineLevel="0" collapsed="false">
      <c r="A91" s="10" t="n">
        <v>86</v>
      </c>
      <c r="B91" s="11"/>
      <c r="C91" s="10" t="str">
        <f aca="false">IF(B91="","",INT((A91-1)/Carte!$B$4)+1)</f>
        <v/>
      </c>
      <c r="D91" s="7"/>
    </row>
    <row r="92" customFormat="false" ht="15" hidden="false" customHeight="false" outlineLevel="0" collapsed="false">
      <c r="A92" s="10" t="n">
        <v>87</v>
      </c>
      <c r="B92" s="11"/>
      <c r="C92" s="10" t="str">
        <f aca="false">IF(B92="","",INT((A92-1)/Carte!$B$4)+1)</f>
        <v/>
      </c>
      <c r="D92" s="7"/>
    </row>
    <row r="93" customFormat="false" ht="15" hidden="false" customHeight="false" outlineLevel="0" collapsed="false">
      <c r="A93" s="10" t="n">
        <v>88</v>
      </c>
      <c r="B93" s="11"/>
      <c r="C93" s="10" t="str">
        <f aca="false">IF(B93="","",INT((A93-1)/Carte!$B$4)+1)</f>
        <v/>
      </c>
      <c r="D93" s="7"/>
    </row>
    <row r="94" customFormat="false" ht="15" hidden="false" customHeight="false" outlineLevel="0" collapsed="false">
      <c r="A94" s="10" t="n">
        <v>89</v>
      </c>
      <c r="B94" s="11"/>
      <c r="C94" s="10" t="str">
        <f aca="false">IF(B94="","",INT((A94-1)/Carte!$B$4)+1)</f>
        <v/>
      </c>
      <c r="D94" s="7"/>
    </row>
    <row r="95" customFormat="false" ht="15" hidden="false" customHeight="false" outlineLevel="0" collapsed="false">
      <c r="A95" s="10" t="n">
        <v>90</v>
      </c>
      <c r="B95" s="11"/>
      <c r="C95" s="10" t="str">
        <f aca="false">IF(B95="","",INT((A95-1)/Carte!$B$4)+1)</f>
        <v/>
      </c>
      <c r="D95" s="7"/>
    </row>
    <row r="96" customFormat="false" ht="15" hidden="false" customHeight="false" outlineLevel="0" collapsed="false">
      <c r="A96" s="10" t="n">
        <v>91</v>
      </c>
      <c r="B96" s="11"/>
      <c r="C96" s="10" t="str">
        <f aca="false">IF(B96="","",INT((A96-1)/Carte!$B$4)+1)</f>
        <v/>
      </c>
      <c r="D96" s="7"/>
    </row>
    <row r="97" customFormat="false" ht="15" hidden="false" customHeight="false" outlineLevel="0" collapsed="false">
      <c r="A97" s="10" t="n">
        <v>92</v>
      </c>
      <c r="B97" s="11"/>
      <c r="C97" s="10" t="str">
        <f aca="false">IF(B97="","",INT((A97-1)/Carte!$B$4)+1)</f>
        <v/>
      </c>
      <c r="D97" s="7"/>
    </row>
    <row r="98" customFormat="false" ht="15" hidden="false" customHeight="false" outlineLevel="0" collapsed="false">
      <c r="A98" s="10" t="n">
        <v>93</v>
      </c>
      <c r="B98" s="11"/>
      <c r="C98" s="10" t="str">
        <f aca="false">IF(B98="","",INT((A98-1)/Carte!$B$4)+1)</f>
        <v/>
      </c>
      <c r="D98" s="7"/>
    </row>
    <row r="99" customFormat="false" ht="15" hidden="false" customHeight="false" outlineLevel="0" collapsed="false">
      <c r="A99" s="10" t="n">
        <v>94</v>
      </c>
      <c r="B99" s="11"/>
      <c r="C99" s="10" t="str">
        <f aca="false">IF(B99="","",INT((A99-1)/Carte!$B$4)+1)</f>
        <v/>
      </c>
      <c r="D99" s="7"/>
    </row>
    <row r="100" customFormat="false" ht="15" hidden="false" customHeight="false" outlineLevel="0" collapsed="false">
      <c r="A100" s="10" t="n">
        <v>95</v>
      </c>
      <c r="B100" s="11"/>
      <c r="C100" s="10" t="str">
        <f aca="false">IF(B100="","",INT((A100-1)/Carte!$B$4)+1)</f>
        <v/>
      </c>
      <c r="D100" s="7"/>
    </row>
    <row r="101" customFormat="false" ht="15" hidden="false" customHeight="false" outlineLevel="0" collapsed="false">
      <c r="A101" s="10" t="n">
        <v>96</v>
      </c>
      <c r="B101" s="11"/>
      <c r="C101" s="10" t="str">
        <f aca="false">IF(B101="","",INT((A101-1)/Carte!$B$4)+1)</f>
        <v/>
      </c>
      <c r="D101" s="7"/>
    </row>
    <row r="102" customFormat="false" ht="15" hidden="false" customHeight="false" outlineLevel="0" collapsed="false">
      <c r="A102" s="10" t="n">
        <v>97</v>
      </c>
      <c r="B102" s="11"/>
      <c r="C102" s="10" t="str">
        <f aca="false">IF(B102="","",INT((A102-1)/Carte!$B$4)+1)</f>
        <v/>
      <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
        <f aca="false">IF(B103="","",INT((A103-1)/Carte!$B$4)+1)</f>
        <v/>
      </c>
      <c r="D103" s="7"/>
    </row>
    <row r="104" customFormat="false" ht="15" hidden="false" customHeight="false" outlineLevel="0" collapsed="false">
      <c r="A104" s="10" t="n">
        <v>99</v>
      </c>
      <c r="B104" s="11"/>
      <c r="C104" s="10" t="str">
        <f aca="false">IF(B104="","",INT((A104-1)/Carte!$B$4)+1)</f>
        <v/>
      </c>
      <c r="D104" s="7"/>
    </row>
    <row r="105" customFormat="false" ht="15" hidden="false" customHeight="false" outlineLevel="0" collapsed="false">
      <c r="A105" s="10" t="n">
        <v>100</v>
      </c>
      <c r="B105" s="11"/>
      <c r="C105" s="10" t="str">
        <f aca="false">IF(B105="","",INT((A105-1)/Carte!$B$4)+1)</f>
        <v/>
      </c>
      <c r="D105" s="7"/>
    </row>
    <row r="106" customFormat="false" ht="15" hidden="false" customHeight="false" outlineLevel="0" collapsed="false">
      <c r="A106" s="10" t="n">
        <v>101</v>
      </c>
      <c r="B106" s="11"/>
      <c r="C106" s="10" t="str">
        <f aca="false">IF(B106="","",INT((A106-1)/Carte!$B$4)+1)</f>
        <v/>
      </c>
      <c r="D106" s="7"/>
    </row>
    <row r="107" customFormat="false" ht="15" hidden="false" customHeight="false" outlineLevel="0" collapsed="false">
      <c r="A107" s="10" t="n">
        <v>102</v>
      </c>
      <c r="B107" s="11"/>
      <c r="C107" s="10" t="str">
        <f aca="false">IF(B107="","",INT((A107-1)/Carte!$B$4)+1)</f>
        <v/>
      </c>
      <c r="D107" s="7"/>
    </row>
    <row r="108" customFormat="false" ht="15" hidden="false" customHeight="false" outlineLevel="0" collapsed="false">
      <c r="A108" s="10" t="n">
        <v>103</v>
      </c>
      <c r="B108" s="11"/>
      <c r="C108" s="10" t="str">
        <f aca="false">IF(B108="","",INT((A108-1)/Carte!$B$4)+1)</f>
        <v/>
      </c>
      <c r="D108" s="7"/>
    </row>
    <row r="109" customFormat="false" ht="15" hidden="false" customHeight="false" outlineLevel="0" collapsed="false">
      <c r="A109" s="10" t="n">
        <v>104</v>
      </c>
      <c r="B109" s="11"/>
      <c r="C109" s="10" t="str">
        <f aca="false">IF(B109="","",INT((A109-1)/Carte!$B$4)+1)</f>
        <v/>
      </c>
      <c r="D109" s="7"/>
    </row>
    <row r="110" customFormat="false" ht="15" hidden="false" customHeight="false" outlineLevel="0" collapsed="false">
      <c r="A110" s="10" t="n">
        <v>105</v>
      </c>
      <c r="B110" s="11"/>
      <c r="C110" s="10" t="str">
        <f aca="false">IF(B110="","",INT((A110-1)/Carte!$B$4)+1)</f>
        <v/>
      </c>
      <c r="D110" s="7"/>
    </row>
    <row r="111" customFormat="false" ht="15" hidden="false" customHeight="false" outlineLevel="0" collapsed="false">
      <c r="A111" s="10" t="n">
        <v>106</v>
      </c>
      <c r="B111" s="11"/>
      <c r="C111" s="10" t="str">
        <f aca="false">IF(B111="","",INT((A111-1)/Carte!$B$4)+1)</f>
        <v/>
      </c>
      <c r="D111" s="7"/>
    </row>
    <row r="112" customFormat="false" ht="15" hidden="false" customHeight="false" outlineLevel="0" collapsed="false">
      <c r="A112" s="10" t="n">
        <v>107</v>
      </c>
      <c r="B112" s="11"/>
      <c r="C112" s="10" t="str">
        <f aca="false">IF(B112="","",INT((A112-1)/Carte!$B$4)+1)</f>
        <v/>
      </c>
      <c r="D112" s="7"/>
    </row>
    <row r="113" customFormat="false" ht="15" hidden="false" customHeight="false" outlineLevel="0" collapsed="false">
      <c r="A113" s="10" t="n">
        <v>108</v>
      </c>
      <c r="B113" s="11"/>
      <c r="C113" s="10" t="str">
        <f aca="false">IF(B113="","",INT((A113-1)/Carte!$B$4)+1)</f>
        <v/>
      </c>
      <c r="D113" s="7"/>
    </row>
    <row r="114" customFormat="false" ht="15" hidden="false" customHeight="false" outlineLevel="0" collapsed="false">
      <c r="A114" s="10" t="n">
        <v>109</v>
      </c>
      <c r="B114" s="11"/>
      <c r="C114" s="10" t="str">
        <f aca="false">IF(B114="","",INT((A114-1)/Carte!$B$4)+1)</f>
        <v/>
      </c>
      <c r="D114" s="7"/>
    </row>
    <row r="115" customFormat="false" ht="15" hidden="false" customHeight="false" outlineLevel="0" collapsed="false">
      <c r="A115" s="10" t="n">
        <v>110</v>
      </c>
      <c r="B115" s="11"/>
      <c r="C115" s="10" t="str">
        <f aca="false">IF(B115="","",INT((A115-1)/Carte!$B$4)+1)</f>
        <v/>
      </c>
      <c r="D115" s="7"/>
    </row>
    <row r="116" customFormat="false" ht="15" hidden="false" customHeight="false" outlineLevel="0" collapsed="false">
      <c r="A116" s="10" t="n">
        <v>111</v>
      </c>
      <c r="B116" s="11"/>
      <c r="C116" s="10" t="str">
        <f aca="false">IF(B116="","",INT((A116-1)/Carte!$B$4)+1)</f>
        <v/>
      </c>
      <c r="D116" s="7"/>
    </row>
    <row r="117" customFormat="false" ht="15" hidden="false" customHeight="false" outlineLevel="0" collapsed="false">
      <c r="A117" s="10" t="n">
        <v>112</v>
      </c>
      <c r="B117" s="11"/>
      <c r="C117" s="10" t="str">
        <f aca="false">IF(B117="","",INT((A117-1)/Carte!$B$4)+1)</f>
        <v/>
      </c>
      <c r="D117" s="7"/>
    </row>
    <row r="118" customFormat="false" ht="15" hidden="false" customHeight="false" outlineLevel="0" collapsed="false">
      <c r="A118" s="10" t="n">
        <v>113</v>
      </c>
      <c r="B118" s="11"/>
      <c r="C118" s="10" t="str">
        <f aca="false">IF(B118="","",INT((A118-1)/Carte!$B$4)+1)</f>
        <v/>
      </c>
      <c r="D118" s="7"/>
    </row>
    <row r="119" customFormat="false" ht="15" hidden="false" customHeight="false" outlineLevel="0" collapsed="false">
      <c r="A119" s="10" t="n">
        <v>114</v>
      </c>
      <c r="B119" s="11"/>
      <c r="C119" s="10" t="str">
        <f aca="false">IF(B119="","",INT((A119-1)/Carte!$B$4)+1)</f>
        <v/>
      </c>
      <c r="D119" s="7"/>
    </row>
    <row r="120" customFormat="false" ht="15" hidden="false" customHeight="false" outlineLevel="0" collapsed="false">
      <c r="A120" s="10" t="n">
        <v>115</v>
      </c>
      <c r="B120" s="11"/>
      <c r="C120" s="10" t="str">
        <f aca="false">IF(B120="","",INT((A120-1)/Carte!$B$4)+1)</f>
        <v/>
      </c>
      <c r="D120" s="7"/>
    </row>
    <row r="121" customFormat="false" ht="15" hidden="false" customHeight="false" outlineLevel="0" collapsed="false">
      <c r="A121" s="10" t="n">
        <v>116</v>
      </c>
      <c r="B121" s="11"/>
      <c r="C121" s="10" t="str">
        <f aca="false">IF(B121="","",INT((A121-1)/Carte!$B$4)+1)</f>
        <v/>
      </c>
      <c r="D121" s="7"/>
    </row>
    <row r="122" customFormat="false" ht="15" hidden="false" customHeight="false" outlineLevel="0" collapsed="false">
      <c r="A122" s="10" t="n">
        <v>117</v>
      </c>
      <c r="B122" s="11"/>
      <c r="C122" s="10" t="str">
        <f aca="false">IF(B122="","",INT((A122-1)/Carte!$B$4)+1)</f>
        <v/>
      </c>
      <c r="D122" s="7"/>
    </row>
    <row r="123" customFormat="false" ht="15" hidden="false" customHeight="false" outlineLevel="0" collapsed="false">
      <c r="A123" s="10" t="n">
        <v>118</v>
      </c>
      <c r="B123" s="11"/>
      <c r="C123" s="10" t="str">
        <f aca="false">IF(B123="","",INT((A123-1)/Carte!$B$4)+1)</f>
        <v/>
      </c>
      <c r="D123" s="7"/>
    </row>
    <row r="124" customFormat="false" ht="15" hidden="false" customHeight="false" outlineLevel="0" collapsed="false">
      <c r="A124" s="10" t="n">
        <v>119</v>
      </c>
      <c r="B124" s="11"/>
      <c r="C124" s="10" t="str">
        <f aca="false">IF(B124="","",INT((A124-1)/Carte!$B$4)+1)</f>
        <v/>
      </c>
      <c r="D124" s="7"/>
    </row>
    <row r="125" customFormat="false" ht="15" hidden="false" customHeight="false" outlineLevel="0" collapsed="false">
      <c r="A125" s="10" t="n">
        <v>120</v>
      </c>
      <c r="B125" s="11"/>
      <c r="C125" s="10" t="str">
        <f aca="false">IF(B125="","",INT((A125-1)/Carte!$B$4)+1)</f>
        <v/>
      </c>
      <c r="D125" s="7"/>
    </row>
    <row r="126" customFormat="false" ht="15" hidden="false" customHeight="false" outlineLevel="0" collapsed="false">
      <c r="A126" s="10" t="n">
        <v>121</v>
      </c>
      <c r="B126" s="11"/>
      <c r="C126" s="10" t="str">
        <f aca="false">IF(B126="","",INT((A126-1)/Carte!$B$4)+1)</f>
        <v/>
      </c>
      <c r="D126" s="7"/>
    </row>
    <row r="127" customFormat="false" ht="15" hidden="false" customHeight="false" outlineLevel="0" collapsed="false">
      <c r="A127" s="10" t="n">
        <v>122</v>
      </c>
      <c r="B127" s="11"/>
      <c r="C127" s="10" t="str">
        <f aca="false">IF(B127="","",INT((A127-1)/Carte!$B$4)+1)</f>
        <v/>
      </c>
      <c r="D127" s="7"/>
    </row>
    <row r="128" customFormat="false" ht="15" hidden="false" customHeight="false" outlineLevel="0" collapsed="false">
      <c r="A128" s="10" t="n">
        <v>123</v>
      </c>
      <c r="B128" s="11"/>
      <c r="C128" s="10" t="str">
        <f aca="false">IF(B128="","",INT((A128-1)/Carte!$B$4)+1)</f>
        <v/>
      </c>
      <c r="D128" s="7"/>
    </row>
    <row r="129" customFormat="false" ht="15" hidden="false" customHeight="false" outlineLevel="0" collapsed="false">
      <c r="A129" s="10" t="n">
        <v>124</v>
      </c>
      <c r="B129" s="11"/>
      <c r="C129" s="10" t="str">
        <f aca="false">IF(B129="","",INT((A129-1)/Carte!$B$4)+1)</f>
        <v/>
      </c>
      <c r="D129" s="7"/>
    </row>
    <row r="130" customFormat="false" ht="15" hidden="false" customHeight="false" outlineLevel="0" collapsed="false">
      <c r="A130" s="10" t="n">
        <v>125</v>
      </c>
      <c r="B130" s="11"/>
      <c r="C130" s="10" t="str">
        <f aca="false">IF(B130="","",INT((A130-1)/Carte!$B$4)+1)</f>
        <v/>
      </c>
      <c r="D1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9" min="8" style="0" width="9"/>
    <col collapsed="false" customWidth="true" hidden="false" outlineLevel="0" max="11" min="10" style="0" width="10"/>
  </cols>
  <sheetData>
    <row r="1" customFormat="false" ht="24" hidden="false" customHeight="true" outlineLevel="0" collapsed="false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27</v>
      </c>
      <c r="B4" s="13" t="n">
        <v>5</v>
      </c>
    </row>
    <row r="5" customFormat="false" ht="23.85" hidden="false" customHeight="false" outlineLevel="0" collapsed="false">
      <c r="A5" s="12" t="s">
        <v>28</v>
      </c>
      <c r="B5" s="13" t="n">
        <v>5</v>
      </c>
    </row>
    <row r="6" customFormat="false" ht="15" hidden="false" customHeight="false" outlineLevel="0" collapsed="false">
      <c r="A6" s="14" t="s">
        <v>29</v>
      </c>
      <c r="B6" s="10" t="n">
        <f aca="false">COUNTIFS(A20:A44,"&lt;="&amp;B5,B20:B44,"&lt;&gt;")</f>
        <v>5</v>
      </c>
      <c r="C6" s="15" t="str">
        <f aca="false">IF(B6&lt;B5,"Phase 1 incomplète : limites provisoires","")</f>
        <v/>
      </c>
    </row>
    <row r="8" customFormat="false" ht="15" hidden="false" customHeight="false" outlineLevel="0" collapsed="false">
      <c r="A8" s="12" t="s">
        <v>30</v>
      </c>
      <c r="B8" s="16" t="n">
        <f aca="false">INDEX(Constantes!$B$5:$B$8,MATCH($B$4,Constantes!$A$5:$A$8,0))</f>
        <v>0.577</v>
      </c>
      <c r="C8" s="17" t="s">
        <v>31</v>
      </c>
      <c r="D8" s="16" t="n">
        <f aca="false">INDEX(Constantes!$C$5:$C$8,MATCH($B$4,Constantes!$A$5:$A$8,0))</f>
        <v>0</v>
      </c>
      <c r="E8" s="17" t="s">
        <v>32</v>
      </c>
      <c r="F8" s="16" t="n">
        <f aca="false">INDEX(Constantes!$D$5:$D$8,MATCH($B$4,Constantes!$A$5:$A$8,0))</f>
        <v>2.114</v>
      </c>
      <c r="G8" s="17" t="s">
        <v>33</v>
      </c>
    </row>
    <row r="9" customFormat="false" ht="15" hidden="false" customHeight="true" outlineLevel="0" collapsed="false">
      <c r="C9" s="9" t="s">
        <v>34</v>
      </c>
      <c r="D9" s="9" t="s">
        <v>35</v>
      </c>
      <c r="E9" s="9"/>
      <c r="F9" s="9"/>
      <c r="G9" s="9"/>
      <c r="H9" s="9"/>
      <c r="I9" s="9"/>
      <c r="J9" s="9"/>
    </row>
    <row r="10" customFormat="false" ht="23.85" hidden="false" customHeight="false" outlineLevel="0" collapsed="false">
      <c r="A10" s="12" t="s">
        <v>36</v>
      </c>
      <c r="B10" s="18" t="n">
        <f aca="false">IFERROR(AVERAGEIFS(B20:B44,A20:A44,"&lt;="&amp;B5),"")</f>
        <v>11.8836</v>
      </c>
      <c r="C10" s="19" t="s">
        <v>37</v>
      </c>
      <c r="D10" s="20" t="str">
        <f aca="false">IF(B10="","","sur les "&amp;B6&amp;" premiers sous-groupes")</f>
        <v>sur les 5 premiers sous-groupes</v>
      </c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A11" s="12" t="s">
        <v>38</v>
      </c>
      <c r="B11" s="18" t="n">
        <f aca="false">IFERROR(AVERAGEIFS(C20:C44,A20:A44,"&lt;="&amp;B5),"")</f>
        <v>0.0440000000000001</v>
      </c>
      <c r="C11" s="19" t="s">
        <v>39</v>
      </c>
      <c r="D11" s="20" t="str">
        <f aca="false">IF(B11="","","sur les "&amp;B6&amp;" premiers sous-groupes")</f>
        <v>sur les 5 premiers sous-groupes</v>
      </c>
      <c r="E11" s="20"/>
      <c r="F11" s="20"/>
      <c r="G11" s="20"/>
      <c r="H11" s="20"/>
      <c r="I11" s="20"/>
      <c r="J11" s="20"/>
    </row>
    <row r="12" customFormat="false" ht="15" hidden="false" customHeight="false" outlineLevel="0" collapsed="false">
      <c r="A12" s="12" t="s">
        <v>40</v>
      </c>
      <c r="B12" s="18" t="n">
        <f aca="false">IFERROR(B10+B8*B11,"")</f>
        <v>11.908988</v>
      </c>
      <c r="C12" s="19" t="s">
        <v>41</v>
      </c>
      <c r="D12" s="20" t="str">
        <f aca="false">IF(B12="","",FIXED(B10,4,TRUE())&amp;" + "&amp;FIXED(B8,3,TRUE())&amp;" × "&amp;FIXED(B11,4,TRUE())&amp;" = "&amp;FIXED(B12,4,TRUE()))</f>
        <v>11.8836 + 0.577 × 0.0440 = 11.9090</v>
      </c>
      <c r="E12" s="20"/>
      <c r="F12" s="20"/>
      <c r="G12" s="20"/>
      <c r="H12" s="20"/>
      <c r="I12" s="20"/>
      <c r="J12" s="20"/>
    </row>
    <row r="13" customFormat="false" ht="15" hidden="false" customHeight="false" outlineLevel="0" collapsed="false">
      <c r="A13" s="12" t="s">
        <v>42</v>
      </c>
      <c r="B13" s="18" t="n">
        <f aca="false">IFERROR(B10-B8*B11,"")</f>
        <v>11.858212</v>
      </c>
      <c r="C13" s="19" t="s">
        <v>43</v>
      </c>
      <c r="D13" s="20" t="str">
        <f aca="false">IF(B13="","",FIXED(B10,4,TRUE())&amp;" − "&amp;FIXED(B8,3,TRUE())&amp;" × "&amp;FIXED(B11,4,TRUE())&amp;" = "&amp;FIXED(B13,4,TRUE()))</f>
        <v>11.8836 − 0.577 × 0.0440 = 11.8582</v>
      </c>
      <c r="E13" s="20"/>
      <c r="F13" s="20"/>
      <c r="G13" s="20"/>
      <c r="H13" s="20"/>
      <c r="I13" s="20"/>
      <c r="J13" s="20"/>
    </row>
    <row r="14" customFormat="false" ht="15" hidden="false" customHeight="false" outlineLevel="0" collapsed="false">
      <c r="A14" s="12" t="s">
        <v>44</v>
      </c>
      <c r="B14" s="18" t="n">
        <f aca="false">IFERROR(F8*B11,"")</f>
        <v>0.0930160000000003</v>
      </c>
      <c r="C14" s="19" t="s">
        <v>45</v>
      </c>
      <c r="D14" s="20" t="str">
        <f aca="false">IF(B14="","",FIXED(F8,3,TRUE())&amp;" × "&amp;FIXED(B11,4,TRUE())&amp;" = "&amp;FIXED(B14,4,TRUE()))</f>
        <v>2.114 × 0.0440 = 0.0930</v>
      </c>
      <c r="E14" s="20"/>
      <c r="F14" s="20"/>
      <c r="G14" s="20"/>
      <c r="H14" s="20"/>
      <c r="I14" s="20"/>
      <c r="J14" s="20"/>
    </row>
    <row r="15" customFormat="false" ht="15" hidden="false" customHeight="false" outlineLevel="0" collapsed="false">
      <c r="A15" s="12" t="s">
        <v>46</v>
      </c>
      <c r="B15" s="18" t="n">
        <f aca="false">IFERROR(D8*B11,"")</f>
        <v>0</v>
      </c>
      <c r="C15" s="19" t="s">
        <v>47</v>
      </c>
      <c r="D15" s="20" t="str">
        <f aca="false">IF(B15="","",FIXED(D8,3,TRUE())&amp;" × "&amp;FIXED(B11,4,TRUE())&amp;" = "&amp;FIXED(B15,4,TRUE()))</f>
        <v>0.000 × 0.0440 = 0.0000</v>
      </c>
      <c r="E15" s="20"/>
      <c r="F15" s="20"/>
      <c r="G15" s="20"/>
      <c r="H15" s="20"/>
      <c r="I15" s="20"/>
      <c r="J15" s="20"/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1"/>
      <c r="I16" s="21"/>
      <c r="J16" s="21"/>
    </row>
    <row r="19" customFormat="false" ht="23.85" hidden="false" customHeight="false" outlineLevel="0" collapsed="false">
      <c r="A19" s="9" t="s">
        <v>23</v>
      </c>
      <c r="B19" s="9" t="s">
        <v>49</v>
      </c>
      <c r="C19" s="9" t="s">
        <v>50</v>
      </c>
      <c r="D19" s="9" t="s">
        <v>51</v>
      </c>
      <c r="E19" s="9" t="s">
        <v>52</v>
      </c>
      <c r="F19" s="9" t="s">
        <v>53</v>
      </c>
      <c r="G19" s="9" t="s">
        <v>54</v>
      </c>
      <c r="H19" s="9" t="s">
        <v>55</v>
      </c>
      <c r="I19" s="9" t="s">
        <v>56</v>
      </c>
      <c r="J19" s="9" t="s">
        <v>57</v>
      </c>
    </row>
    <row r="20" customFormat="false" ht="15" hidden="false" customHeight="false" outlineLevel="0" collapsed="false">
      <c r="A20" s="10" t="n">
        <v>1</v>
      </c>
      <c r="B20" s="22" t="n">
        <f aca="false">IF(COUNTIF(Saisie!$C$6:$C$130,A20)&lt;$B$4,"",AVERAGEIF(Saisie!$C$6:$C$130,A20,Saisie!$B$6:$B$130))</f>
        <v>11.864</v>
      </c>
      <c r="C20" s="16" t="n">
        <f aca="false">IF(B20="","",_xlfn.MAXIFS(Saisie!$B$6:$B$130,Saisie!$C$6:$C$130,A20)-_xlfn.MINIFS(Saisie!$B$6:$B$130,Saisie!$C$6:$C$130,A20))</f>
        <v>0.0400000000000009</v>
      </c>
      <c r="D20" s="23" t="str">
        <f aca="false">IF(A20&lt;=$B$5,"1","2")</f>
        <v>1</v>
      </c>
      <c r="E20" s="8" t="str">
        <f aca="false">IF(OR(B20="",$B$12=""),"",IF(OR(B20&gt;$B$12,B20&lt;$B$13,C20&gt;$B$14,C20&lt;$B$15),"R1",""))</f>
        <v/>
      </c>
      <c r="F20" s="8"/>
      <c r="G20" s="24" t="str">
        <f aca="false">IF(B20="","",IF(E20&amp;F20&amp;J20="","OK","ALARME "&amp;TRIM(E20&amp;" "&amp;F20&amp;" "&amp;J20)))</f>
        <v>OK</v>
      </c>
      <c r="H20" s="25" t="n">
        <f aca="false">IF(B20="",NA(),B20)</f>
        <v>11.864</v>
      </c>
      <c r="I20" s="25" t="n">
        <f aca="false">IF(C20="",NA(),C20)</f>
        <v>0.0400000000000009</v>
      </c>
      <c r="J20" s="8"/>
    </row>
    <row r="21" customFormat="false" ht="15" hidden="false" customHeight="false" outlineLevel="0" collapsed="false">
      <c r="A21" s="10" t="n">
        <v>2</v>
      </c>
      <c r="B21" s="22" t="n">
        <f aca="false">IF(COUNTIF(Saisie!$C$6:$C$130,A21)&lt;$B$4,"",AVERAGEIF(Saisie!$C$6:$C$130,A21,Saisie!$B$6:$B$130))</f>
        <v>11.862</v>
      </c>
      <c r="C21" s="16" t="n">
        <f aca="false">IF(B21="","",_xlfn.MAXIFS(Saisie!$B$6:$B$130,Saisie!$C$6:$C$130,A21)-_xlfn.MINIFS(Saisie!$B$6:$B$130,Saisie!$C$6:$C$130,A21))</f>
        <v>0.0500000000000007</v>
      </c>
      <c r="D21" s="23" t="str">
        <f aca="false">IF(A21&lt;=$B$5,"1","2")</f>
        <v>1</v>
      </c>
      <c r="E21" s="8" t="str">
        <f aca="false">IF(OR(B21="",$B$12=""),"",IF(OR(B21&gt;$B$12,B21&lt;$B$13,C21&gt;$B$14,C21&lt;$B$15),"R1",""))</f>
        <v/>
      </c>
      <c r="F21" s="8"/>
      <c r="G21" s="24" t="str">
        <f aca="false">IF(B21="","",IF(E21&amp;F21&amp;J21="","OK","ALARME "&amp;TRIM(E21&amp;" "&amp;F21&amp;" "&amp;J21)))</f>
        <v>OK</v>
      </c>
      <c r="H21" s="25" t="n">
        <f aca="false">IF(B21="",NA(),B21)</f>
        <v>11.862</v>
      </c>
      <c r="I21" s="25" t="n">
        <f aca="false">IF(C21="",NA(),C21)</f>
        <v>0.0500000000000007</v>
      </c>
      <c r="J21" s="8"/>
    </row>
    <row r="22" customFormat="false" ht="15" hidden="false" customHeight="false" outlineLevel="0" collapsed="false">
      <c r="A22" s="10" t="n">
        <v>3</v>
      </c>
      <c r="B22" s="22" t="n">
        <f aca="false">IF(COUNTIF(Saisie!$C$6:$C$130,A22)&lt;$B$4,"",AVERAGEIF(Saisie!$C$6:$C$130,A22,Saisie!$B$6:$B$130))</f>
        <v>11.884</v>
      </c>
      <c r="C22" s="16" t="n">
        <f aca="false">IF(B22="","",_xlfn.MAXIFS(Saisie!$B$6:$B$130,Saisie!$C$6:$C$130,A22)-_xlfn.MINIFS(Saisie!$B$6:$B$130,Saisie!$C$6:$C$130,A22))</f>
        <v>0.0500000000000007</v>
      </c>
      <c r="D22" s="23" t="str">
        <f aca="false">IF(A22&lt;=$B$5,"1","2")</f>
        <v>1</v>
      </c>
      <c r="E22" s="8" t="str">
        <f aca="false">IF(OR(B22="",$B$12=""),"",IF(OR(B22&gt;$B$12,B22&lt;$B$13,C22&gt;$B$14,C22&lt;$B$15),"R1",""))</f>
        <v/>
      </c>
      <c r="F22" s="8"/>
      <c r="G22" s="24" t="str">
        <f aca="false">IF(B22="","",IF(E22&amp;F22&amp;J22="","OK","ALARME "&amp;TRIM(E22&amp;" "&amp;F22&amp;" "&amp;J22)))</f>
        <v>OK</v>
      </c>
      <c r="H22" s="25" t="n">
        <f aca="false">IF(B22="",NA(),B22)</f>
        <v>11.884</v>
      </c>
      <c r="I22" s="25" t="n">
        <f aca="false">IF(C22="",NA(),C22)</f>
        <v>0.0500000000000007</v>
      </c>
      <c r="J22" s="8"/>
    </row>
    <row r="23" customFormat="false" ht="15" hidden="false" customHeight="false" outlineLevel="0" collapsed="false">
      <c r="A23" s="10" t="n">
        <v>4</v>
      </c>
      <c r="B23" s="22" t="n">
        <f aca="false">IF(COUNTIF(Saisie!$C$6:$C$130,A23)&lt;$B$4,"",AVERAGEIF(Saisie!$C$6:$C$130,A23,Saisie!$B$6:$B$130))</f>
        <v>11.898</v>
      </c>
      <c r="C23" s="16" t="n">
        <f aca="false">IF(B23="","",_xlfn.MAXIFS(Saisie!$B$6:$B$130,Saisie!$C$6:$C$130,A23)-_xlfn.MINIFS(Saisie!$B$6:$B$130,Saisie!$C$6:$C$130,A23))</f>
        <v>0.0399999999999992</v>
      </c>
      <c r="D23" s="23" t="str">
        <f aca="false">IF(A23&lt;=$B$5,"1","2")</f>
        <v>1</v>
      </c>
      <c r="E23" s="8" t="str">
        <f aca="false">IF(OR(B23="",$B$12=""),"",IF(OR(B23&gt;$B$12,B23&lt;$B$13,C23&gt;$B$14,C23&lt;$B$15),"R1",""))</f>
        <v/>
      </c>
      <c r="F23" s="8"/>
      <c r="G23" s="24" t="str">
        <f aca="false">IF(B23="","",IF(E23&amp;F23&amp;J23="","OK","ALARME "&amp;TRIM(E23&amp;" "&amp;F23&amp;" "&amp;J23)))</f>
        <v>OK</v>
      </c>
      <c r="H23" s="25" t="n">
        <f aca="false">IF(B23="",NA(),B23)</f>
        <v>11.898</v>
      </c>
      <c r="I23" s="25" t="n">
        <f aca="false">IF(C23="",NA(),C23)</f>
        <v>0.0399999999999992</v>
      </c>
      <c r="J23" s="8"/>
    </row>
    <row r="24" customFormat="false" ht="15" hidden="false" customHeight="false" outlineLevel="0" collapsed="false">
      <c r="A24" s="10" t="n">
        <v>5</v>
      </c>
      <c r="B24" s="22" t="n">
        <f aca="false">IF(COUNTIF(Saisie!$C$6:$C$130,A24)&lt;$B$4,"",AVERAGEIF(Saisie!$C$6:$C$130,A24,Saisie!$B$6:$B$130))</f>
        <v>11.91</v>
      </c>
      <c r="C24" s="16" t="n">
        <f aca="false">IF(B24="","",_xlfn.MAXIFS(Saisie!$B$6:$B$130,Saisie!$C$6:$C$130,A24)-_xlfn.MINIFS(Saisie!$B$6:$B$130,Saisie!$C$6:$C$130,A24))</f>
        <v>0.0399999999999992</v>
      </c>
      <c r="D24" s="23" t="str">
        <f aca="false">IF(A24&lt;=$B$5,"1","2")</f>
        <v>1</v>
      </c>
      <c r="E24" s="8" t="str">
        <f aca="false">IF(OR(B24="",$B$12=""),"",IF(OR(B24&gt;$B$12,B24&lt;$B$13,C24&gt;$B$14,C24&lt;$B$15),"R1",""))</f>
        <v>R1</v>
      </c>
      <c r="F24" s="8"/>
      <c r="G24" s="24" t="str">
        <f aca="false">IF(B24="","",IF(E24&amp;F24&amp;J24="","OK","ALARME "&amp;TRIM(E24&amp;" "&amp;F24&amp;" "&amp;J24)))</f>
        <v>ALARME R1</v>
      </c>
      <c r="H24" s="25" t="n">
        <f aca="false">IF(B24="",NA(),B24)</f>
        <v>11.91</v>
      </c>
      <c r="I24" s="25" t="n">
        <f aca="false">IF(C24="",NA(),C24)</f>
        <v>0.0399999999999992</v>
      </c>
      <c r="J24" s="8"/>
    </row>
    <row r="25" customFormat="false" ht="15" hidden="false" customHeight="false" outlineLevel="0" collapsed="false">
      <c r="A25" s="10" t="n">
        <v>6</v>
      </c>
      <c r="B25" s="22" t="n">
        <f aca="false">IF(COUNTIF(Saisie!$C$6:$C$130,A25)&lt;$B$4,"",AVERAGEIF(Saisie!$C$6:$C$130,A25,Saisie!$B$6:$B$130))</f>
        <v>11.902</v>
      </c>
      <c r="C25" s="16" t="n">
        <f aca="false">IF(B25="","",_xlfn.MAXIFS(Saisie!$B$6:$B$130,Saisie!$C$6:$C$130,A25)-_xlfn.MINIFS(Saisie!$B$6:$B$130,Saisie!$C$6:$C$130,A25))</f>
        <v>0.0800000000000001</v>
      </c>
      <c r="D25" s="23" t="str">
        <f aca="false">IF(A25&lt;=$B$5,"1","2")</f>
        <v>2</v>
      </c>
      <c r="E25" s="8" t="str">
        <f aca="false">IF(OR(B25="",$B$12=""),"",IF(OR(B25&gt;$B$12,B25&lt;$B$13,C25&gt;$B$14,C25&lt;$B$15),"R1",""))</f>
        <v/>
      </c>
      <c r="F25" s="8"/>
      <c r="G25" s="24" t="str">
        <f aca="false">IF(B25="","",IF(E25&amp;F25&amp;J25="","OK","ALARME "&amp;TRIM(E25&amp;" "&amp;F25&amp;" "&amp;J25)))</f>
        <v>OK</v>
      </c>
      <c r="H25" s="25" t="n">
        <f aca="false">IF(B25="",NA(),B25)</f>
        <v>11.902</v>
      </c>
      <c r="I25" s="25" t="n">
        <f aca="false">IF(C25="",NA(),C25)</f>
        <v>0.0800000000000001</v>
      </c>
      <c r="J25" s="8" t="str">
        <f aca="false">IF(B25="","",IF(COUNT(B20:B25)&lt;6,"",IF(OR(AND(B25&gt;B24,B24&gt;B23,B23&gt;B22,B22&gt;B21,B21&gt;B20),AND(B25&lt;B24,B24&lt;B23,B23&lt;B22,B22&lt;B21,B21&lt;B20)),"R3","")))</f>
        <v/>
      </c>
    </row>
    <row r="26" customFormat="false" ht="15" hidden="false" customHeight="false" outlineLevel="0" collapsed="false">
      <c r="A26" s="10" t="n">
        <v>7</v>
      </c>
      <c r="B26" s="22" t="n">
        <f aca="false">IF(COUNTIF(Saisie!$C$6:$C$130,A26)&lt;$B$4,"",AVERAGEIF(Saisie!$C$6:$C$130,A26,Saisie!$B$6:$B$130))</f>
        <v>11.928</v>
      </c>
      <c r="C26" s="16" t="n">
        <f aca="false">IF(B26="","",_xlfn.MAXIFS(Saisie!$B$6:$B$130,Saisie!$C$6:$C$130,A26)-_xlfn.MINIFS(Saisie!$B$6:$B$130,Saisie!$C$6:$C$130,A26))</f>
        <v>0.0500000000000007</v>
      </c>
      <c r="D26" s="23" t="str">
        <f aca="false">IF(A26&lt;=$B$5,"1","2")</f>
        <v>2</v>
      </c>
      <c r="E26" s="8" t="str">
        <f aca="false">IF(OR(B26="",$B$12=""),"",IF(OR(B26&gt;$B$12,B26&lt;$B$13,C26&gt;$B$14,C26&lt;$B$15),"R1",""))</f>
        <v>R1</v>
      </c>
      <c r="F26" s="8" t="str">
        <f aca="false">IF(OR(B26="",$B$10=""),"",IF(COUNT(B20:B26)&lt;7,"",IF(OR(COUNTIF(B20:B26,"&gt;"&amp;$B$10)=7,COUNTIF(B20:B26,"&lt;"&amp;$B$10)=7),"R2","")))</f>
        <v/>
      </c>
      <c r="G26" s="24" t="str">
        <f aca="false">IF(B26="","",IF(E26&amp;F26&amp;J26="","OK","ALARME "&amp;TRIM(E26&amp;" "&amp;F26&amp;" "&amp;J26)))</f>
        <v>ALARME R1</v>
      </c>
      <c r="H26" s="25" t="n">
        <f aca="false">IF(B26="",NA(),B26)</f>
        <v>11.928</v>
      </c>
      <c r="I26" s="25" t="n">
        <f aca="false">IF(C26="",NA(),C26)</f>
        <v>0.0500000000000007</v>
      </c>
      <c r="J26" s="8" t="str">
        <f aca="false">IF(B26="","",IF(COUNT(B21:B26)&lt;6,"",IF(OR(AND(B26&gt;B25,B25&gt;B24,B24&gt;B23,B23&gt;B22,B22&gt;B21),AND(B26&lt;B25,B25&lt;B24,B24&lt;B23,B23&lt;B22,B22&lt;B21)),"R3","")))</f>
        <v/>
      </c>
    </row>
    <row r="27" customFormat="false" ht="15" hidden="false" customHeight="false" outlineLevel="0" collapsed="false">
      <c r="A27" s="10" t="n">
        <v>8</v>
      </c>
      <c r="B27" s="22" t="n">
        <f aca="false">IF(COUNTIF(Saisie!$C$6:$C$130,A27)&lt;$B$4,"",AVERAGEIF(Saisie!$C$6:$C$130,A27,Saisie!$B$6:$B$130))</f>
        <v>11.9352</v>
      </c>
      <c r="C27" s="16" t="n">
        <f aca="false">IF(B27="","",_xlfn.MAXIFS(Saisie!$B$6:$B$130,Saisie!$C$6:$C$130,A27)-_xlfn.MINIFS(Saisie!$B$6:$B$130,Saisie!$C$6:$C$130,A27))</f>
        <v>0.0259999999999998</v>
      </c>
      <c r="D27" s="23" t="str">
        <f aca="false">IF(A27&lt;=$B$5,"1","2")</f>
        <v>2</v>
      </c>
      <c r="E27" s="8" t="str">
        <f aca="false">IF(OR(B27="",$B$12=""),"",IF(OR(B27&gt;$B$12,B27&lt;$B$13,C27&gt;$B$14,C27&lt;$B$15),"R1",""))</f>
        <v>R1</v>
      </c>
      <c r="F27" s="8" t="str">
        <f aca="false">IF(OR(B27="",$B$10=""),"",IF(COUNT(B21:B27)&lt;7,"",IF(OR(COUNTIF(B21:B27,"&gt;"&amp;$B$10)=7,COUNTIF(B21:B27,"&lt;"&amp;$B$10)=7),"R2","")))</f>
        <v/>
      </c>
      <c r="G27" s="24" t="str">
        <f aca="false">IF(B27="","",IF(E27&amp;F27&amp;J27="","OK","ALARME "&amp;TRIM(E27&amp;" "&amp;F27&amp;" "&amp;J27)))</f>
        <v>ALARME R1</v>
      </c>
      <c r="H27" s="25" t="n">
        <f aca="false">IF(B27="",NA(),B27)</f>
        <v>11.9352</v>
      </c>
      <c r="I27" s="25" t="n">
        <f aca="false">IF(C27="",NA(),C27)</f>
        <v>0.0259999999999998</v>
      </c>
      <c r="J27" s="8" t="str">
        <f aca="false">IF(B27="","",IF(COUNT(B22:B27)&lt;6,"",IF(OR(AND(B27&gt;B26,B26&gt;B25,B25&gt;B24,B24&gt;B23,B23&gt;B22),AND(B27&lt;B26,B26&lt;B25,B25&lt;B24,B24&lt;B23,B23&lt;B22)),"R3","")))</f>
        <v/>
      </c>
    </row>
    <row r="28" customFormat="false" ht="15" hidden="false" customHeight="false" outlineLevel="0" collapsed="false">
      <c r="A28" s="10" t="n">
        <v>9</v>
      </c>
      <c r="B28" s="22" t="n">
        <f aca="false">IF(COUNTIF(Saisie!$C$6:$C$130,A28)&lt;$B$4,"",AVERAGEIF(Saisie!$C$6:$C$130,A28,Saisie!$B$6:$B$130))</f>
        <v>11.9422</v>
      </c>
      <c r="C28" s="16" t="n">
        <f aca="false">IF(B28="","",_xlfn.MAXIFS(Saisie!$B$6:$B$130,Saisie!$C$6:$C$130,A28)-_xlfn.MINIFS(Saisie!$B$6:$B$130,Saisie!$C$6:$C$130,A28))</f>
        <v>0.0240000000000009</v>
      </c>
      <c r="D28" s="23" t="str">
        <f aca="false">IF(A28&lt;=$B$5,"1","2")</f>
        <v>2</v>
      </c>
      <c r="E28" s="8" t="str">
        <f aca="false">IF(OR(B28="",$B$12=""),"",IF(OR(B28&gt;$B$12,B28&lt;$B$13,C28&gt;$B$14,C28&lt;$B$15),"R1",""))</f>
        <v>R1</v>
      </c>
      <c r="F28" s="8" t="str">
        <f aca="false">IF(OR(B28="",$B$10=""),"",IF(COUNT(B22:B28)&lt;7,"",IF(OR(COUNTIF(B22:B28,"&gt;"&amp;$B$10)=7,COUNTIF(B22:B28,"&lt;"&amp;$B$10)=7),"R2","")))</f>
        <v>R2</v>
      </c>
      <c r="G28" s="24" t="str">
        <f aca="false">IF(B28="","",IF(E28&amp;F28&amp;J28="","OK","ALARME "&amp;TRIM(E28&amp;" "&amp;F28&amp;" "&amp;J28)))</f>
        <v>ALARME R1 R2</v>
      </c>
      <c r="H28" s="25" t="n">
        <f aca="false">IF(B28="",NA(),B28)</f>
        <v>11.9422</v>
      </c>
      <c r="I28" s="25" t="n">
        <f aca="false">IF(C28="",NA(),C28)</f>
        <v>0.0240000000000009</v>
      </c>
      <c r="J28" s="8" t="str">
        <f aca="false">IF(B28="","",IF(COUNT(B23:B28)&lt;6,"",IF(OR(AND(B28&gt;B27,B27&gt;B26,B26&gt;B25,B25&gt;B24,B24&gt;B23),AND(B28&lt;B27,B27&lt;B26,B26&lt;B25,B25&lt;B24,B24&lt;B23)),"R3","")))</f>
        <v/>
      </c>
    </row>
    <row r="29" customFormat="false" ht="15" hidden="false" customHeight="false" outlineLevel="0" collapsed="false">
      <c r="A29" s="10" t="n">
        <v>10</v>
      </c>
      <c r="B29" s="22" t="n">
        <f aca="false">IF(COUNTIF(Saisie!$C$6:$C$130,A29)&lt;$B$4,"",AVERAGEIF(Saisie!$C$6:$C$130,A29,Saisie!$B$6:$B$130))</f>
        <v>11.9604</v>
      </c>
      <c r="C29" s="16" t="n">
        <f aca="false">IF(B29="","",_xlfn.MAXIFS(Saisie!$B$6:$B$130,Saisie!$C$6:$C$130,A29)-_xlfn.MINIFS(Saisie!$B$6:$B$130,Saisie!$C$6:$C$130,A29))</f>
        <v>0.0399999999999992</v>
      </c>
      <c r="D29" s="23" t="str">
        <f aca="false">IF(A29&lt;=$B$5,"1","2")</f>
        <v>2</v>
      </c>
      <c r="E29" s="8" t="str">
        <f aca="false">IF(OR(B29="",$B$12=""),"",IF(OR(B29&gt;$B$12,B29&lt;$B$13,C29&gt;$B$14,C29&lt;$B$15),"R1",""))</f>
        <v>R1</v>
      </c>
      <c r="F29" s="8" t="str">
        <f aca="false">IF(OR(B29="",$B$10=""),"",IF(COUNT(B23:B29)&lt;7,"",IF(OR(COUNTIF(B23:B29,"&gt;"&amp;$B$10)=7,COUNTIF(B23:B29,"&lt;"&amp;$B$10)=7),"R2","")))</f>
        <v>R2</v>
      </c>
      <c r="G29" s="24" t="str">
        <f aca="false">IF(B29="","",IF(E29&amp;F29&amp;J29="","OK","ALARME "&amp;TRIM(E29&amp;" "&amp;F29&amp;" "&amp;J29)))</f>
        <v>ALARME R1 R2</v>
      </c>
      <c r="H29" s="25" t="n">
        <f aca="false">IF(B29="",NA(),B29)</f>
        <v>11.9604</v>
      </c>
      <c r="I29" s="25" t="n">
        <f aca="false">IF(C29="",NA(),C29)</f>
        <v>0.0399999999999992</v>
      </c>
      <c r="J29" s="8" t="str">
        <f aca="false">IF(B29="","",IF(COUNT(B24:B29)&lt;6,"",IF(OR(AND(B29&gt;B28,B28&gt;B27,B27&gt;B26,B26&gt;B25,B25&gt;B24),AND(B29&lt;B28,B28&lt;B27,B27&lt;B26,B26&lt;B25,B25&lt;B24)),"R3","")))</f>
        <v/>
      </c>
    </row>
    <row r="30" customFormat="false" ht="15" hidden="false" customHeight="false" outlineLevel="0" collapsed="false">
      <c r="A30" s="10" t="n">
        <v>11</v>
      </c>
      <c r="B30" s="22" t="str">
        <f aca="false">IF(COUNTIF(Saisie!$C$6:$C$130,A30)&lt;$B$4,"",AVERAGEIF(Saisie!$C$6:$C$130,A30,Saisie!$B$6:$B$130))</f>
        <v/>
      </c>
      <c r="C30" s="16" t="str">
        <f aca="false">IF(B30="","",_xlfn.MAXIFS(Saisie!$B$6:$B$130,Saisie!$C$6:$C$130,A30)-_xlfn.MINIFS(Saisie!$B$6:$B$130,Saisie!$C$6:$C$130,A30))</f>
        <v/>
      </c>
      <c r="D30" s="23" t="str">
        <f aca="false">IF(A30&lt;=$B$5,"1","2")</f>
        <v>2</v>
      </c>
      <c r="E30" s="8" t="str">
        <f aca="false">IF(OR(B30="",$B$12=""),"",IF(OR(B30&gt;$B$12,B30&lt;$B$13,C30&gt;$B$14,C30&lt;$B$15),"R1",""))</f>
        <v/>
      </c>
      <c r="F30" s="8" t="str">
        <f aca="false">IF(OR(B30="",$B$10=""),"",IF(COUNT(B24:B30)&lt;7,"",IF(OR(COUNTIF(B24:B30,"&gt;"&amp;$B$10)=7,COUNTIF(B24:B30,"&lt;"&amp;$B$10)=7),"R2","")))</f>
        <v/>
      </c>
      <c r="G30" s="24" t="str">
        <f aca="false">IF(B30="","",IF(E30&amp;F30&amp;J30="","OK","ALARME "&amp;TRIM(E30&amp;" "&amp;F30&amp;" "&amp;J30)))</f>
        <v/>
      </c>
      <c r="H30" s="25" t="e">
        <f aca="false">IF(B30="",NA(),B30)</f>
        <v>#N/A</v>
      </c>
      <c r="I30" s="25" t="e">
        <f aca="false">IF(C30="",NA(),C30)</f>
        <v>#N/A</v>
      </c>
      <c r="J30" s="8" t="str">
        <f aca="false">IF(B30="","",IF(COUNT(B25:B30)&lt;6,"",IF(OR(AND(B30&gt;B29,B29&gt;B28,B28&gt;B27,B27&gt;B26,B26&gt;B25),AND(B30&lt;B29,B29&lt;B28,B28&lt;B27,B27&lt;B26,B26&lt;B25)),"R3","")))</f>
        <v/>
      </c>
    </row>
    <row r="31" customFormat="false" ht="15" hidden="false" customHeight="false" outlineLevel="0" collapsed="false">
      <c r="A31" s="10" t="n">
        <v>12</v>
      </c>
      <c r="B31" s="22" t="str">
        <f aca="false">IF(COUNTIF(Saisie!$C$6:$C$130,A31)&lt;$B$4,"",AVERAGEIF(Saisie!$C$6:$C$130,A31,Saisie!$B$6:$B$130))</f>
        <v/>
      </c>
      <c r="C31" s="16" t="str">
        <f aca="false">IF(B31="","",_xlfn.MAXIFS(Saisie!$B$6:$B$130,Saisie!$C$6:$C$130,A31)-_xlfn.MINIFS(Saisie!$B$6:$B$130,Saisie!$C$6:$C$130,A31))</f>
        <v/>
      </c>
      <c r="D31" s="23" t="str">
        <f aca="false">IF(A31&lt;=$B$5,"1","2")</f>
        <v>2</v>
      </c>
      <c r="E31" s="8" t="str">
        <f aca="false">IF(OR(B31="",$B$12=""),"",IF(OR(B31&gt;$B$12,B31&lt;$B$13,C31&gt;$B$14,C31&lt;$B$15),"R1",""))</f>
        <v/>
      </c>
      <c r="F31" s="8" t="str">
        <f aca="false">IF(OR(B31="",$B$10=""),"",IF(COUNT(B25:B31)&lt;7,"",IF(OR(COUNTIF(B25:B31,"&gt;"&amp;$B$10)=7,COUNTIF(B25:B31,"&lt;"&amp;$B$10)=7),"R2","")))</f>
        <v/>
      </c>
      <c r="G31" s="24" t="str">
        <f aca="false">IF(B31="","",IF(E31&amp;F31&amp;J31="","OK","ALARME "&amp;TRIM(E31&amp;" "&amp;F31&amp;" "&amp;J31)))</f>
        <v/>
      </c>
      <c r="H31" s="25" t="e">
        <f aca="false">IF(B31="",NA(),B31)</f>
        <v>#N/A</v>
      </c>
      <c r="I31" s="25" t="e">
        <f aca="false">IF(C31="",NA(),C31)</f>
        <v>#N/A</v>
      </c>
      <c r="J31" s="8" t="str">
        <f aca="false">IF(B31="","",IF(COUNT(B26:B31)&lt;6,"",IF(OR(AND(B31&gt;B30,B30&gt;B29,B29&gt;B28,B28&gt;B27,B27&gt;B26),AND(B31&lt;B30,B30&lt;B29,B29&lt;B28,B28&lt;B27,B27&lt;B26)),"R3","")))</f>
        <v/>
      </c>
    </row>
    <row r="32" customFormat="false" ht="15" hidden="false" customHeight="false" outlineLevel="0" collapsed="false">
      <c r="A32" s="10" t="n">
        <v>13</v>
      </c>
      <c r="B32" s="22" t="str">
        <f aca="false">IF(COUNTIF(Saisie!$C$6:$C$130,A32)&lt;$B$4,"",AVERAGEIF(Saisie!$C$6:$C$130,A32,Saisie!$B$6:$B$130))</f>
        <v/>
      </c>
      <c r="C32" s="16" t="str">
        <f aca="false">IF(B32="","",_xlfn.MAXIFS(Saisie!$B$6:$B$130,Saisie!$C$6:$C$130,A32)-_xlfn.MINIFS(Saisie!$B$6:$B$130,Saisie!$C$6:$C$130,A32))</f>
        <v/>
      </c>
      <c r="D32" s="23" t="str">
        <f aca="false">IF(A32&lt;=$B$5,"1","2")</f>
        <v>2</v>
      </c>
      <c r="E32" s="8" t="str">
        <f aca="false">IF(OR(B32="",$B$12=""),"",IF(OR(B32&gt;$B$12,B32&lt;$B$13,C32&gt;$B$14,C32&lt;$B$15),"R1",""))</f>
        <v/>
      </c>
      <c r="F32" s="8" t="str">
        <f aca="false">IF(OR(B32="",$B$10=""),"",IF(COUNT(B26:B32)&lt;7,"",IF(OR(COUNTIF(B26:B32,"&gt;"&amp;$B$10)=7,COUNTIF(B26:B32,"&lt;"&amp;$B$10)=7),"R2","")))</f>
        <v/>
      </c>
      <c r="G32" s="24" t="str">
        <f aca="false">IF(B32="","",IF(E32&amp;F32&amp;J32="","OK","ALARME "&amp;TRIM(E32&amp;" "&amp;F32&amp;" "&amp;J32)))</f>
        <v/>
      </c>
      <c r="H32" s="25" t="e">
        <f aca="false">IF(B32="",NA(),B32)</f>
        <v>#N/A</v>
      </c>
      <c r="I32" s="25" t="e">
        <f aca="false">IF(C32="",NA(),C32)</f>
        <v>#N/A</v>
      </c>
      <c r="J32" s="8" t="str">
        <f aca="false">IF(B32="","",IF(COUNT(B27:B32)&lt;6,"",IF(OR(AND(B32&gt;B31,B31&gt;B30,B30&gt;B29,B29&gt;B28,B28&gt;B27),AND(B32&lt;B31,B31&lt;B30,B30&lt;B29,B29&lt;B28,B28&lt;B27)),"R3","")))</f>
        <v/>
      </c>
    </row>
    <row r="33" customFormat="false" ht="15" hidden="false" customHeight="false" outlineLevel="0" collapsed="false">
      <c r="A33" s="10" t="n">
        <v>14</v>
      </c>
      <c r="B33" s="22" t="str">
        <f aca="false">IF(COUNTIF(Saisie!$C$6:$C$130,A33)&lt;$B$4,"",AVERAGEIF(Saisie!$C$6:$C$130,A33,Saisie!$B$6:$B$130))</f>
        <v/>
      </c>
      <c r="C33" s="16" t="str">
        <f aca="false">IF(B33="","",_xlfn.MAXIFS(Saisie!$B$6:$B$130,Saisie!$C$6:$C$130,A33)-_xlfn.MINIFS(Saisie!$B$6:$B$130,Saisie!$C$6:$C$130,A33))</f>
        <v/>
      </c>
      <c r="D33" s="23" t="str">
        <f aca="false">IF(A33&lt;=$B$5,"1","2")</f>
        <v>2</v>
      </c>
      <c r="E33" s="8" t="str">
        <f aca="false">IF(OR(B33="",$B$12=""),"",IF(OR(B33&gt;$B$12,B33&lt;$B$13,C33&gt;$B$14,C33&lt;$B$15),"R1",""))</f>
        <v/>
      </c>
      <c r="F33" s="8" t="str">
        <f aca="false">IF(OR(B33="",$B$10=""),"",IF(COUNT(B27:B33)&lt;7,"",IF(OR(COUNTIF(B27:B33,"&gt;"&amp;$B$10)=7,COUNTIF(B27:B33,"&lt;"&amp;$B$10)=7),"R2","")))</f>
        <v/>
      </c>
      <c r="G33" s="24" t="str">
        <f aca="false">IF(B33="","",IF(E33&amp;F33&amp;J33="","OK","ALARME "&amp;TRIM(E33&amp;" "&amp;F33&amp;" "&amp;J33)))</f>
        <v/>
      </c>
      <c r="H33" s="25" t="e">
        <f aca="false">IF(B33="",NA(),B33)</f>
        <v>#N/A</v>
      </c>
      <c r="I33" s="25" t="e">
        <f aca="false">IF(C33="",NA(),C33)</f>
        <v>#N/A</v>
      </c>
      <c r="J33" s="8" t="str">
        <f aca="false">IF(B33="","",IF(COUNT(B28:B33)&lt;6,"",IF(OR(AND(B33&gt;B32,B32&gt;B31,B31&gt;B30,B30&gt;B29,B29&gt;B28),AND(B33&lt;B32,B32&lt;B31,B31&lt;B30,B30&lt;B29,B29&lt;B28)),"R3","")))</f>
        <v/>
      </c>
    </row>
    <row r="34" customFormat="false" ht="15" hidden="false" customHeight="false" outlineLevel="0" collapsed="false">
      <c r="A34" s="10" t="n">
        <v>15</v>
      </c>
      <c r="B34" s="22" t="str">
        <f aca="false">IF(COUNTIF(Saisie!$C$6:$C$130,A34)&lt;$B$4,"",AVERAGEIF(Saisie!$C$6:$C$130,A34,Saisie!$B$6:$B$130))</f>
        <v/>
      </c>
      <c r="C34" s="16" t="str">
        <f aca="false">IF(B34="","",_xlfn.MAXIFS(Saisie!$B$6:$B$130,Saisie!$C$6:$C$130,A34)-_xlfn.MINIFS(Saisie!$B$6:$B$130,Saisie!$C$6:$C$130,A34))</f>
        <v/>
      </c>
      <c r="D34" s="23" t="str">
        <f aca="false">IF(A34&lt;=$B$5,"1","2")</f>
        <v>2</v>
      </c>
      <c r="E34" s="8" t="str">
        <f aca="false">IF(OR(B34="",$B$12=""),"",IF(OR(B34&gt;$B$12,B34&lt;$B$13,C34&gt;$B$14,C34&lt;$B$15),"R1",""))</f>
        <v/>
      </c>
      <c r="F34" s="8" t="str">
        <f aca="false">IF(OR(B34="",$B$10=""),"",IF(COUNT(B28:B34)&lt;7,"",IF(OR(COUNTIF(B28:B34,"&gt;"&amp;$B$10)=7,COUNTIF(B28:B34,"&lt;"&amp;$B$10)=7),"R2","")))</f>
        <v/>
      </c>
      <c r="G34" s="24" t="str">
        <f aca="false">IF(B34="","",IF(E34&amp;F34&amp;J34="","OK","ALARME "&amp;TRIM(E34&amp;" "&amp;F34&amp;" "&amp;J34)))</f>
        <v/>
      </c>
      <c r="H34" s="25" t="e">
        <f aca="false">IF(B34="",NA(),B34)</f>
        <v>#N/A</v>
      </c>
      <c r="I34" s="25" t="e">
        <f aca="false">IF(C34="",NA(),C34)</f>
        <v>#N/A</v>
      </c>
      <c r="J34" s="8" t="str">
        <f aca="false">IF(B34="","",IF(COUNT(B29:B34)&lt;6,"",IF(OR(AND(B34&gt;B33,B33&gt;B32,B32&gt;B31,B31&gt;B30,B30&gt;B29),AND(B34&lt;B33,B33&lt;B32,B32&lt;B31,B31&lt;B30,B30&lt;B29)),"R3","")))</f>
        <v/>
      </c>
    </row>
    <row r="35" customFormat="false" ht="15" hidden="false" customHeight="false" outlineLevel="0" collapsed="false">
      <c r="A35" s="10" t="n">
        <v>16</v>
      </c>
      <c r="B35" s="22" t="str">
        <f aca="false">IF(COUNTIF(Saisie!$C$6:$C$130,A35)&lt;$B$4,"",AVERAGEIF(Saisie!$C$6:$C$130,A35,Saisie!$B$6:$B$130))</f>
        <v/>
      </c>
      <c r="C35" s="16" t="str">
        <f aca="false">IF(B35="","",_xlfn.MAXIFS(Saisie!$B$6:$B$130,Saisie!$C$6:$C$130,A35)-_xlfn.MINIFS(Saisie!$B$6:$B$130,Saisie!$C$6:$C$130,A35))</f>
        <v/>
      </c>
      <c r="D35" s="23" t="str">
        <f aca="false">IF(A35&lt;=$B$5,"1","2")</f>
        <v>2</v>
      </c>
      <c r="E35" s="8" t="str">
        <f aca="false">IF(OR(B35="",$B$12=""),"",IF(OR(B35&gt;$B$12,B35&lt;$B$13,C35&gt;$B$14,C35&lt;$B$15),"R1",""))</f>
        <v/>
      </c>
      <c r="F35" s="8" t="str">
        <f aca="false">IF(OR(B35="",$B$10=""),"",IF(COUNT(B29:B35)&lt;7,"",IF(OR(COUNTIF(B29:B35,"&gt;"&amp;$B$10)=7,COUNTIF(B29:B35,"&lt;"&amp;$B$10)=7),"R2","")))</f>
        <v/>
      </c>
      <c r="G35" s="24" t="str">
        <f aca="false">IF(B35="","",IF(E35&amp;F35&amp;J35="","OK","ALARME "&amp;TRIM(E35&amp;" "&amp;F35&amp;" "&amp;J35)))</f>
        <v/>
      </c>
      <c r="H35" s="25" t="e">
        <f aca="false">IF(B35="",NA(),B35)</f>
        <v>#N/A</v>
      </c>
      <c r="I35" s="25" t="e">
        <f aca="false">IF(C35="",NA(),C35)</f>
        <v>#N/A</v>
      </c>
      <c r="J35" s="8" t="str">
        <f aca="false">IF(B35="","",IF(COUNT(B30:B35)&lt;6,"",IF(OR(AND(B35&gt;B34,B34&gt;B33,B33&gt;B32,B32&gt;B31,B31&gt;B30),AND(B35&lt;B34,B34&lt;B33,B33&lt;B32,B32&lt;B31,B31&lt;B30)),"R3","")))</f>
        <v/>
      </c>
    </row>
    <row r="36" customFormat="false" ht="15" hidden="false" customHeight="false" outlineLevel="0" collapsed="false">
      <c r="A36" s="10" t="n">
        <v>17</v>
      </c>
      <c r="B36" s="22" t="str">
        <f aca="false">IF(COUNTIF(Saisie!$C$6:$C$130,A36)&lt;$B$4,"",AVERAGEIF(Saisie!$C$6:$C$130,A36,Saisie!$B$6:$B$130))</f>
        <v/>
      </c>
      <c r="C36" s="16" t="str">
        <f aca="false">IF(B36="","",_xlfn.MAXIFS(Saisie!$B$6:$B$130,Saisie!$C$6:$C$130,A36)-_xlfn.MINIFS(Saisie!$B$6:$B$130,Saisie!$C$6:$C$130,A36))</f>
        <v/>
      </c>
      <c r="D36" s="23" t="str">
        <f aca="false">IF(A36&lt;=$B$5,"1","2")</f>
        <v>2</v>
      </c>
      <c r="E36" s="8" t="str">
        <f aca="false">IF(OR(B36="",$B$12=""),"",IF(OR(B36&gt;$B$12,B36&lt;$B$13,C36&gt;$B$14,C36&lt;$B$15),"R1",""))</f>
        <v/>
      </c>
      <c r="F36" s="8" t="str">
        <f aca="false">IF(OR(B36="",$B$10=""),"",IF(COUNT(B30:B36)&lt;7,"",IF(OR(COUNTIF(B30:B36,"&gt;"&amp;$B$10)=7,COUNTIF(B30:B36,"&lt;"&amp;$B$10)=7),"R2","")))</f>
        <v/>
      </c>
      <c r="G36" s="24" t="str">
        <f aca="false">IF(B36="","",IF(E36&amp;F36&amp;J36="","OK","ALARME "&amp;TRIM(E36&amp;" "&amp;F36&amp;" "&amp;J36)))</f>
        <v/>
      </c>
      <c r="H36" s="25" t="e">
        <f aca="false">IF(B36="",NA(),B36)</f>
        <v>#N/A</v>
      </c>
      <c r="I36" s="25" t="e">
        <f aca="false">IF(C36="",NA(),C36)</f>
        <v>#N/A</v>
      </c>
      <c r="J36" s="8" t="str">
        <f aca="false">IF(B36="","",IF(COUNT(B31:B36)&lt;6,"",IF(OR(AND(B36&gt;B35,B35&gt;B34,B34&gt;B33,B33&gt;B32,B32&gt;B31),AND(B36&lt;B35,B35&lt;B34,B34&lt;B33,B33&lt;B32,B32&lt;B31)),"R3","")))</f>
        <v/>
      </c>
    </row>
    <row r="37" customFormat="false" ht="15" hidden="false" customHeight="false" outlineLevel="0" collapsed="false">
      <c r="A37" s="10" t="n">
        <v>18</v>
      </c>
      <c r="B37" s="22" t="str">
        <f aca="false">IF(COUNTIF(Saisie!$C$6:$C$130,A37)&lt;$B$4,"",AVERAGEIF(Saisie!$C$6:$C$130,A37,Saisie!$B$6:$B$130))</f>
        <v/>
      </c>
      <c r="C37" s="16" t="str">
        <f aca="false">IF(B37="","",_xlfn.MAXIFS(Saisie!$B$6:$B$130,Saisie!$C$6:$C$130,A37)-_xlfn.MINIFS(Saisie!$B$6:$B$130,Saisie!$C$6:$C$130,A37))</f>
        <v/>
      </c>
      <c r="D37" s="23" t="str">
        <f aca="false">IF(A37&lt;=$B$5,"1","2")</f>
        <v>2</v>
      </c>
      <c r="E37" s="8" t="str">
        <f aca="false">IF(OR(B37="",$B$12=""),"",IF(OR(B37&gt;$B$12,B37&lt;$B$13,C37&gt;$B$14,C37&lt;$B$15),"R1",""))</f>
        <v/>
      </c>
      <c r="F37" s="8" t="str">
        <f aca="false">IF(OR(B37="",$B$10=""),"",IF(COUNT(B31:B37)&lt;7,"",IF(OR(COUNTIF(B31:B37,"&gt;"&amp;$B$10)=7,COUNTIF(B31:B37,"&lt;"&amp;$B$10)=7),"R2","")))</f>
        <v/>
      </c>
      <c r="G37" s="24" t="str">
        <f aca="false">IF(B37="","",IF(E37&amp;F37&amp;J37="","OK","ALARME "&amp;TRIM(E37&amp;" "&amp;F37&amp;" "&amp;J37)))</f>
        <v/>
      </c>
      <c r="H37" s="25" t="e">
        <f aca="false">IF(B37="",NA(),B37)</f>
        <v>#N/A</v>
      </c>
      <c r="I37" s="25" t="e">
        <f aca="false">IF(C37="",NA(),C37)</f>
        <v>#N/A</v>
      </c>
      <c r="J37" s="8" t="str">
        <f aca="false">IF(B37="","",IF(COUNT(B32:B37)&lt;6,"",IF(OR(AND(B37&gt;B36,B36&gt;B35,B35&gt;B34,B34&gt;B33,B33&gt;B32),AND(B37&lt;B36,B36&lt;B35,B35&lt;B34,B34&lt;B33,B33&lt;B32)),"R3","")))</f>
        <v/>
      </c>
    </row>
    <row r="38" customFormat="false" ht="15" hidden="false" customHeight="false" outlineLevel="0" collapsed="false">
      <c r="A38" s="10" t="n">
        <v>19</v>
      </c>
      <c r="B38" s="22" t="str">
        <f aca="false">IF(COUNTIF(Saisie!$C$6:$C$130,A38)&lt;$B$4,"",AVERAGEIF(Saisie!$C$6:$C$130,A38,Saisie!$B$6:$B$130))</f>
        <v/>
      </c>
      <c r="C38" s="16" t="str">
        <f aca="false">IF(B38="","",_xlfn.MAXIFS(Saisie!$B$6:$B$130,Saisie!$C$6:$C$130,A38)-_xlfn.MINIFS(Saisie!$B$6:$B$130,Saisie!$C$6:$C$130,A38))</f>
        <v/>
      </c>
      <c r="D38" s="23" t="str">
        <f aca="false">IF(A38&lt;=$B$5,"1","2")</f>
        <v>2</v>
      </c>
      <c r="E38" s="8" t="str">
        <f aca="false">IF(OR(B38="",$B$12=""),"",IF(OR(B38&gt;$B$12,B38&lt;$B$13,C38&gt;$B$14,C38&lt;$B$15),"R1",""))</f>
        <v/>
      </c>
      <c r="F38" s="8" t="str">
        <f aca="false">IF(OR(B38="",$B$10=""),"",IF(COUNT(B32:B38)&lt;7,"",IF(OR(COUNTIF(B32:B38,"&gt;"&amp;$B$10)=7,COUNTIF(B32:B38,"&lt;"&amp;$B$10)=7),"R2","")))</f>
        <v/>
      </c>
      <c r="G38" s="24" t="str">
        <f aca="false">IF(B38="","",IF(E38&amp;F38&amp;J38="","OK","ALARME "&amp;TRIM(E38&amp;" "&amp;F38&amp;" "&amp;J38)))</f>
        <v/>
      </c>
      <c r="H38" s="25" t="e">
        <f aca="false">IF(B38="",NA(),B38)</f>
        <v>#N/A</v>
      </c>
      <c r="I38" s="25" t="e">
        <f aca="false">IF(C38="",NA(),C38)</f>
        <v>#N/A</v>
      </c>
      <c r="J38" s="8" t="str">
        <f aca="false">IF(B38="","",IF(COUNT(B33:B38)&lt;6,"",IF(OR(AND(B38&gt;B37,B37&gt;B36,B36&gt;B35,B35&gt;B34,B34&gt;B33),AND(B38&lt;B37,B37&lt;B36,B36&lt;B35,B35&lt;B34,B34&lt;B33)),"R3","")))</f>
        <v/>
      </c>
    </row>
    <row r="39" customFormat="false" ht="15" hidden="false" customHeight="false" outlineLevel="0" collapsed="false">
      <c r="A39" s="10" t="n">
        <v>20</v>
      </c>
      <c r="B39" s="22" t="str">
        <f aca="false">IF(COUNTIF(Saisie!$C$6:$C$130,A39)&lt;$B$4,"",AVERAGEIF(Saisie!$C$6:$C$130,A39,Saisie!$B$6:$B$130))</f>
        <v/>
      </c>
      <c r="C39" s="16" t="str">
        <f aca="false">IF(B39="","",_xlfn.MAXIFS(Saisie!$B$6:$B$130,Saisie!$C$6:$C$130,A39)-_xlfn.MINIFS(Saisie!$B$6:$B$130,Saisie!$C$6:$C$130,A39))</f>
        <v/>
      </c>
      <c r="D39" s="23" t="str">
        <f aca="false">IF(A39&lt;=$B$5,"1","2")</f>
        <v>2</v>
      </c>
      <c r="E39" s="8" t="str">
        <f aca="false">IF(OR(B39="",$B$12=""),"",IF(OR(B39&gt;$B$12,B39&lt;$B$13,C39&gt;$B$14,C39&lt;$B$15),"R1",""))</f>
        <v/>
      </c>
      <c r="F39" s="8" t="str">
        <f aca="false">IF(OR(B39="",$B$10=""),"",IF(COUNT(B33:B39)&lt;7,"",IF(OR(COUNTIF(B33:B39,"&gt;"&amp;$B$10)=7,COUNTIF(B33:B39,"&lt;"&amp;$B$10)=7),"R2","")))</f>
        <v/>
      </c>
      <c r="G39" s="24" t="str">
        <f aca="false">IF(B39="","",IF(E39&amp;F39&amp;J39="","OK","ALARME "&amp;TRIM(E39&amp;" "&amp;F39&amp;" "&amp;J39)))</f>
        <v/>
      </c>
      <c r="H39" s="25" t="e">
        <f aca="false">IF(B39="",NA(),B39)</f>
        <v>#N/A</v>
      </c>
      <c r="I39" s="25" t="e">
        <f aca="false">IF(C39="",NA(),C39)</f>
        <v>#N/A</v>
      </c>
      <c r="J39" s="8" t="str">
        <f aca="false">IF(B39="","",IF(COUNT(B34:B39)&lt;6,"",IF(OR(AND(B39&gt;B38,B38&gt;B37,B37&gt;B36,B36&gt;B35,B35&gt;B34),AND(B39&lt;B38,B38&lt;B37,B37&lt;B36,B36&lt;B35,B35&lt;B34)),"R3","")))</f>
        <v/>
      </c>
    </row>
    <row r="40" customFormat="false" ht="15" hidden="false" customHeight="false" outlineLevel="0" collapsed="false">
      <c r="A40" s="10" t="n">
        <v>21</v>
      </c>
      <c r="B40" s="22" t="str">
        <f aca="false">IF(COUNTIF(Saisie!$C$6:$C$130,A40)&lt;$B$4,"",AVERAGEIF(Saisie!$C$6:$C$130,A40,Saisie!$B$6:$B$130))</f>
        <v/>
      </c>
      <c r="C40" s="16" t="str">
        <f aca="false">IF(B40="","",_xlfn.MAXIFS(Saisie!$B$6:$B$130,Saisie!$C$6:$C$130,A40)-_xlfn.MINIFS(Saisie!$B$6:$B$130,Saisie!$C$6:$C$130,A40))</f>
        <v/>
      </c>
      <c r="D40" s="23" t="str">
        <f aca="false">IF(A40&lt;=$B$5,"1","2")</f>
        <v>2</v>
      </c>
      <c r="E40" s="8" t="str">
        <f aca="false">IF(OR(B40="",$B$12=""),"",IF(OR(B40&gt;$B$12,B40&lt;$B$13,C40&gt;$B$14,C40&lt;$B$15),"R1",""))</f>
        <v/>
      </c>
      <c r="F40" s="8" t="str">
        <f aca="false">IF(OR(B40="",$B$10=""),"",IF(COUNT(B34:B40)&lt;7,"",IF(OR(COUNTIF(B34:B40,"&gt;"&amp;$B$10)=7,COUNTIF(B34:B40,"&lt;"&amp;$B$10)=7),"R2","")))</f>
        <v/>
      </c>
      <c r="G40" s="24" t="str">
        <f aca="false">IF(B40="","",IF(E40&amp;F40&amp;J40="","OK","ALARME "&amp;TRIM(E40&amp;" "&amp;F40&amp;" "&amp;J40)))</f>
        <v/>
      </c>
      <c r="H40" s="25" t="e">
        <f aca="false">IF(B40="",NA(),B40)</f>
        <v>#N/A</v>
      </c>
      <c r="I40" s="25" t="e">
        <f aca="false">IF(C40="",NA(),C40)</f>
        <v>#N/A</v>
      </c>
      <c r="J40" s="8" t="str">
        <f aca="false">IF(B40="","",IF(COUNT(B35:B40)&lt;6,"",IF(OR(AND(B40&gt;B39,B39&gt;B38,B38&gt;B37,B37&gt;B36,B36&gt;B35),AND(B40&lt;B39,B39&lt;B38,B38&lt;B37,B37&lt;B36,B36&lt;B35)),"R3","")))</f>
        <v/>
      </c>
    </row>
    <row r="41" customFormat="false" ht="15" hidden="false" customHeight="false" outlineLevel="0" collapsed="false">
      <c r="A41" s="10" t="n">
        <v>22</v>
      </c>
      <c r="B41" s="22" t="str">
        <f aca="false">IF(COUNTIF(Saisie!$C$6:$C$130,A41)&lt;$B$4,"",AVERAGEIF(Saisie!$C$6:$C$130,A41,Saisie!$B$6:$B$130))</f>
        <v/>
      </c>
      <c r="C41" s="16" t="str">
        <f aca="false">IF(B41="","",_xlfn.MAXIFS(Saisie!$B$6:$B$130,Saisie!$C$6:$C$130,A41)-_xlfn.MINIFS(Saisie!$B$6:$B$130,Saisie!$C$6:$C$130,A41))</f>
        <v/>
      </c>
      <c r="D41" s="23" t="str">
        <f aca="false">IF(A41&lt;=$B$5,"1","2")</f>
        <v>2</v>
      </c>
      <c r="E41" s="8" t="str">
        <f aca="false">IF(OR(B41="",$B$12=""),"",IF(OR(B41&gt;$B$12,B41&lt;$B$13,C41&gt;$B$14,C41&lt;$B$15),"R1",""))</f>
        <v/>
      </c>
      <c r="F41" s="8" t="str">
        <f aca="false">IF(OR(B41="",$B$10=""),"",IF(COUNT(B35:B41)&lt;7,"",IF(OR(COUNTIF(B35:B41,"&gt;"&amp;$B$10)=7,COUNTIF(B35:B41,"&lt;"&amp;$B$10)=7),"R2","")))</f>
        <v/>
      </c>
      <c r="G41" s="24" t="str">
        <f aca="false">IF(B41="","",IF(E41&amp;F41&amp;J41="","OK","ALARME "&amp;TRIM(E41&amp;" "&amp;F41&amp;" "&amp;J41)))</f>
        <v/>
      </c>
      <c r="H41" s="25" t="e">
        <f aca="false">IF(B41="",NA(),B41)</f>
        <v>#N/A</v>
      </c>
      <c r="I41" s="25" t="e">
        <f aca="false">IF(C41="",NA(),C41)</f>
        <v>#N/A</v>
      </c>
      <c r="J41" s="8" t="str">
        <f aca="false">IF(B41="","",IF(COUNT(B36:B41)&lt;6,"",IF(OR(AND(B41&gt;B40,B40&gt;B39,B39&gt;B38,B38&gt;B37,B37&gt;B36),AND(B41&lt;B40,B40&lt;B39,B39&lt;B38,B38&lt;B37,B37&lt;B36)),"R3","")))</f>
        <v/>
      </c>
    </row>
    <row r="42" customFormat="false" ht="15" hidden="false" customHeight="false" outlineLevel="0" collapsed="false">
      <c r="A42" s="10" t="n">
        <v>23</v>
      </c>
      <c r="B42" s="22" t="str">
        <f aca="false">IF(COUNTIF(Saisie!$C$6:$C$130,A42)&lt;$B$4,"",AVERAGEIF(Saisie!$C$6:$C$130,A42,Saisie!$B$6:$B$130))</f>
        <v/>
      </c>
      <c r="C42" s="16" t="str">
        <f aca="false">IF(B42="","",_xlfn.MAXIFS(Saisie!$B$6:$B$130,Saisie!$C$6:$C$130,A42)-_xlfn.MINIFS(Saisie!$B$6:$B$130,Saisie!$C$6:$C$130,A42))</f>
        <v/>
      </c>
      <c r="D42" s="23" t="str">
        <f aca="false">IF(A42&lt;=$B$5,"1","2")</f>
        <v>2</v>
      </c>
      <c r="E42" s="8" t="str">
        <f aca="false">IF(OR(B42="",$B$12=""),"",IF(OR(B42&gt;$B$12,B42&lt;$B$13,C42&gt;$B$14,C42&lt;$B$15),"R1",""))</f>
        <v/>
      </c>
      <c r="F42" s="8" t="str">
        <f aca="false">IF(OR(B42="",$B$10=""),"",IF(COUNT(B36:B42)&lt;7,"",IF(OR(COUNTIF(B36:B42,"&gt;"&amp;$B$10)=7,COUNTIF(B36:B42,"&lt;"&amp;$B$10)=7),"R2","")))</f>
        <v/>
      </c>
      <c r="G42" s="24" t="str">
        <f aca="false">IF(B42="","",IF(E42&amp;F42&amp;J42="","OK","ALARME "&amp;TRIM(E42&amp;" "&amp;F42&amp;" "&amp;J42)))</f>
        <v/>
      </c>
      <c r="H42" s="25" t="e">
        <f aca="false">IF(B42="",NA(),B42)</f>
        <v>#N/A</v>
      </c>
      <c r="I42" s="25" t="e">
        <f aca="false">IF(C42="",NA(),C42)</f>
        <v>#N/A</v>
      </c>
      <c r="J42" s="8" t="str">
        <f aca="false">IF(B42="","",IF(COUNT(B37:B42)&lt;6,"",IF(OR(AND(B42&gt;B41,B41&gt;B40,B40&gt;B39,B39&gt;B38,B38&gt;B37),AND(B42&lt;B41,B41&lt;B40,B40&lt;B39,B39&lt;B38,B38&lt;B37)),"R3","")))</f>
        <v/>
      </c>
    </row>
    <row r="43" customFormat="false" ht="15" hidden="false" customHeight="false" outlineLevel="0" collapsed="false">
      <c r="A43" s="10" t="n">
        <v>24</v>
      </c>
      <c r="B43" s="22" t="str">
        <f aca="false">IF(COUNTIF(Saisie!$C$6:$C$130,A43)&lt;$B$4,"",AVERAGEIF(Saisie!$C$6:$C$130,A43,Saisie!$B$6:$B$130))</f>
        <v/>
      </c>
      <c r="C43" s="16" t="str">
        <f aca="false">IF(B43="","",_xlfn.MAXIFS(Saisie!$B$6:$B$130,Saisie!$C$6:$C$130,A43)-_xlfn.MINIFS(Saisie!$B$6:$B$130,Saisie!$C$6:$C$130,A43))</f>
        <v/>
      </c>
      <c r="D43" s="23" t="str">
        <f aca="false">IF(A43&lt;=$B$5,"1","2")</f>
        <v>2</v>
      </c>
      <c r="E43" s="8" t="str">
        <f aca="false">IF(OR(B43="",$B$12=""),"",IF(OR(B43&gt;$B$12,B43&lt;$B$13,C43&gt;$B$14,C43&lt;$B$15),"R1",""))</f>
        <v/>
      </c>
      <c r="F43" s="8" t="str">
        <f aca="false">IF(OR(B43="",$B$10=""),"",IF(COUNT(B37:B43)&lt;7,"",IF(OR(COUNTIF(B37:B43,"&gt;"&amp;$B$10)=7,COUNTIF(B37:B43,"&lt;"&amp;$B$10)=7),"R2","")))</f>
        <v/>
      </c>
      <c r="G43" s="24" t="str">
        <f aca="false">IF(B43="","",IF(E43&amp;F43&amp;J43="","OK","ALARME "&amp;TRIM(E43&amp;" "&amp;F43&amp;" "&amp;J43)))</f>
        <v/>
      </c>
      <c r="H43" s="25" t="e">
        <f aca="false">IF(B43="",NA(),B43)</f>
        <v>#N/A</v>
      </c>
      <c r="I43" s="25" t="e">
        <f aca="false">IF(C43="",NA(),C43)</f>
        <v>#N/A</v>
      </c>
      <c r="J43" s="8" t="str">
        <f aca="false">IF(B43="","",IF(COUNT(B38:B43)&lt;6,"",IF(OR(AND(B43&gt;B42,B42&gt;B41,B41&gt;B40,B40&gt;B39,B39&gt;B38),AND(B43&lt;B42,B42&lt;B41,B41&lt;B40,B40&lt;B39,B39&lt;B38)),"R3","")))</f>
        <v/>
      </c>
    </row>
    <row r="44" customFormat="false" ht="15" hidden="false" customHeight="false" outlineLevel="0" collapsed="false">
      <c r="A44" s="10" t="n">
        <v>25</v>
      </c>
      <c r="B44" s="22" t="str">
        <f aca="false">IF(COUNTIF(Saisie!$C$6:$C$130,A44)&lt;$B$4,"",AVERAGEIF(Saisie!$C$6:$C$130,A44,Saisie!$B$6:$B$130))</f>
        <v/>
      </c>
      <c r="C44" s="16" t="str">
        <f aca="false">IF(B44="","",_xlfn.MAXIFS(Saisie!$B$6:$B$130,Saisie!$C$6:$C$130,A44)-_xlfn.MINIFS(Saisie!$B$6:$B$130,Saisie!$C$6:$C$130,A44))</f>
        <v/>
      </c>
      <c r="D44" s="23" t="str">
        <f aca="false">IF(A44&lt;=$B$5,"1","2")</f>
        <v>2</v>
      </c>
      <c r="E44" s="8" t="str">
        <f aca="false">IF(OR(B44="",$B$12=""),"",IF(OR(B44&gt;$B$12,B44&lt;$B$13,C44&gt;$B$14,C44&lt;$B$15),"R1",""))</f>
        <v/>
      </c>
      <c r="F44" s="8" t="str">
        <f aca="false">IF(OR(B44="",$B$10=""),"",IF(COUNT(B38:B44)&lt;7,"",IF(OR(COUNTIF(B38:B44,"&gt;"&amp;$B$10)=7,COUNTIF(B38:B44,"&lt;"&amp;$B$10)=7),"R2","")))</f>
        <v/>
      </c>
      <c r="G44" s="24" t="str">
        <f aca="false">IF(B44="","",IF(E44&amp;F44&amp;J44="","OK","ALARME "&amp;TRIM(E44&amp;" "&amp;F44&amp;" "&amp;J44)))</f>
        <v/>
      </c>
      <c r="H44" s="25" t="e">
        <f aca="false">IF(B44="",NA(),B44)</f>
        <v>#N/A</v>
      </c>
      <c r="I44" s="25" t="e">
        <f aca="false">IF(C44="",NA(),C44)</f>
        <v>#N/A</v>
      </c>
      <c r="J44" s="8" t="str">
        <f aca="false">IF(B44="","",IF(COUNT(B39:B44)&lt;6,"",IF(OR(AND(B44&gt;B43,B43&gt;B42,B42&gt;B41,B41&gt;B40,B40&gt;B39),AND(B44&lt;B43,B43&lt;B42,B42&lt;B41,B41&lt;B40,B40&lt;B39)),"R3","")))</f>
        <v/>
      </c>
    </row>
    <row r="47" customFormat="false" ht="15" hidden="false" customHeight="false" outlineLevel="0" collapsed="false">
      <c r="A47" s="9" t="s">
        <v>58</v>
      </c>
      <c r="B47" s="9" t="s">
        <v>59</v>
      </c>
      <c r="C47" s="9" t="s">
        <v>60</v>
      </c>
      <c r="D47" s="9" t="s">
        <v>61</v>
      </c>
      <c r="E47" s="9" t="s">
        <v>62</v>
      </c>
      <c r="F47" s="9" t="s">
        <v>63</v>
      </c>
      <c r="G47" s="9" t="s">
        <v>64</v>
      </c>
      <c r="H47" s="9" t="s">
        <v>65</v>
      </c>
    </row>
    <row r="48" customFormat="false" ht="15" hidden="false" customHeight="false" outlineLevel="0" collapsed="false">
      <c r="B48" s="26" t="n">
        <v>0.5</v>
      </c>
      <c r="C48" s="22" t="n">
        <f aca="false">$B$12</f>
        <v>11.908988</v>
      </c>
      <c r="D48" s="22" t="n">
        <f aca="false">$B$10</f>
        <v>11.8836</v>
      </c>
      <c r="E48" s="22" t="n">
        <f aca="false">$B$13</f>
        <v>11.858212</v>
      </c>
      <c r="F48" s="22" t="n">
        <f aca="false">$B$14</f>
        <v>0.0930160000000003</v>
      </c>
      <c r="G48" s="22" t="n">
        <f aca="false">$B$11</f>
        <v>0.0440000000000001</v>
      </c>
      <c r="H48" s="22" t="n">
        <f aca="false">$B$15</f>
        <v>0</v>
      </c>
    </row>
    <row r="49" customFormat="false" ht="15" hidden="false" customHeight="false" outlineLevel="0" collapsed="false">
      <c r="B49" s="26" t="n">
        <v>25.5</v>
      </c>
      <c r="C49" s="22" t="n">
        <f aca="false">$B$12</f>
        <v>11.908988</v>
      </c>
      <c r="D49" s="22" t="n">
        <f aca="false">$B$10</f>
        <v>11.8836</v>
      </c>
      <c r="E49" s="22" t="n">
        <f aca="false">$B$13</f>
        <v>11.858212</v>
      </c>
      <c r="F49" s="22" t="n">
        <f aca="false">$B$14</f>
        <v>0.0930160000000003</v>
      </c>
      <c r="G49" s="22" t="n">
        <f aca="false">$B$11</f>
        <v>0.0440000000000001</v>
      </c>
      <c r="H49" s="22" t="n">
        <f aca="false">$B$15</f>
        <v>0</v>
      </c>
    </row>
    <row r="51" customFormat="false" ht="15" hidden="false" customHeight="false" outlineLevel="0" collapsed="false">
      <c r="A51" s="9" t="s">
        <v>66</v>
      </c>
      <c r="B51" s="9" t="s">
        <v>59</v>
      </c>
      <c r="C51" s="9" t="s">
        <v>67</v>
      </c>
      <c r="D51" s="9" t="s">
        <v>68</v>
      </c>
    </row>
    <row r="52" customFormat="false" ht="15" hidden="false" customHeight="false" outlineLevel="0" collapsed="false">
      <c r="B52" s="26" t="n">
        <f aca="false">$B$5+0.5</f>
        <v>5.5</v>
      </c>
      <c r="C52" s="16" t="n">
        <f aca="false">MIN(B20:B44,B13)</f>
        <v>11.858212</v>
      </c>
      <c r="D52" s="16" t="n">
        <v>0</v>
      </c>
    </row>
    <row r="53" customFormat="false" ht="15" hidden="false" customHeight="false" outlineLevel="0" collapsed="false">
      <c r="B53" s="26" t="n">
        <f aca="false">$B$5+0.5</f>
        <v>5.5</v>
      </c>
      <c r="C53" s="16" t="n">
        <f aca="false">MAX(B20:B44,B12)</f>
        <v>11.9604</v>
      </c>
      <c r="D53" s="16" t="n">
        <f aca="false">MAX(C20:C44,B14)</f>
        <v>0.0930160000000003</v>
      </c>
    </row>
  </sheetData>
  <mergeCells count="8">
    <mergeCell ref="D9:J9"/>
    <mergeCell ref="D10:J10"/>
    <mergeCell ref="D11:J11"/>
    <mergeCell ref="D12:J12"/>
    <mergeCell ref="D13:J13"/>
    <mergeCell ref="D14:J14"/>
    <mergeCell ref="D15:J15"/>
    <mergeCell ref="A16:J16"/>
  </mergeCells>
  <conditionalFormatting sqref="G20:G44">
    <cfRule type="expression" priority="2" aboveAverage="0" equalAverage="0" bottom="0" percent="0" rank="0" text="" dxfId="0">
      <formula>LEFT(G20,6)="ALARME"</formula>
    </cfRule>
    <cfRule type="expression" priority="3" aboveAverage="0" equalAverage="0" bottom="0" percent="0" rank="0" text="" dxfId="1">
      <formula>G20="OK"</formula>
    </cfRule>
  </conditionalFormatting>
  <dataValidations count="1">
    <dataValidation allowBlank="false" errorStyle="stop" operator="between" showDropDown="false" showErrorMessage="false" showInputMessage="false" sqref="B4" type="whole">
      <formula1>2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34"/>
    <col collapsed="false" customWidth="true" hidden="false" outlineLevel="0" max="5" min="5" style="0" width="16"/>
    <col collapsed="false" customWidth="true" hidden="false" outlineLevel="0" max="7" min="6" style="0" width="4"/>
  </cols>
  <sheetData>
    <row r="1" customFormat="false" ht="24" hidden="false" customHeight="true" outlineLevel="0" collapsed="false">
      <c r="A1" s="1" t="s">
        <v>69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70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27" t="s">
        <v>71</v>
      </c>
      <c r="B4" s="27"/>
      <c r="C4" s="27"/>
      <c r="D4" s="27"/>
      <c r="E4" s="27"/>
    </row>
    <row r="5" customFormat="false" ht="45" hidden="false" customHeight="true" outlineLevel="0" collapsed="false">
      <c r="A5" s="28" t="s">
        <v>72</v>
      </c>
      <c r="B5" s="28"/>
      <c r="C5" s="28"/>
      <c r="D5" s="28"/>
      <c r="E5" s="28"/>
    </row>
    <row r="7" customFormat="false" ht="15" hidden="false" customHeight="true" outlineLevel="0" collapsed="false">
      <c r="A7" s="27" t="s">
        <v>73</v>
      </c>
      <c r="B7" s="27"/>
      <c r="C7" s="27"/>
      <c r="D7" s="27"/>
      <c r="E7" s="27"/>
    </row>
    <row r="8" customFormat="false" ht="31.5" hidden="false" customHeight="true" outlineLevel="0" collapsed="false">
      <c r="A8" s="28" t="s">
        <v>74</v>
      </c>
      <c r="B8" s="28"/>
      <c r="C8" s="28"/>
      <c r="D8" s="28"/>
      <c r="E8" s="28"/>
    </row>
    <row r="9" customFormat="false" ht="15" hidden="false" customHeight="false" outlineLevel="0" collapsed="false">
      <c r="A9" s="9" t="s">
        <v>75</v>
      </c>
      <c r="B9" s="9" t="s">
        <v>76</v>
      </c>
      <c r="C9" s="9" t="s">
        <v>77</v>
      </c>
      <c r="D9" s="9" t="s">
        <v>78</v>
      </c>
    </row>
    <row r="10" customFormat="false" ht="15" hidden="false" customHeight="false" outlineLevel="0" collapsed="false">
      <c r="A10" s="29" t="s">
        <v>79</v>
      </c>
      <c r="B10" s="30" t="s">
        <v>80</v>
      </c>
      <c r="C10" s="30" t="s">
        <v>81</v>
      </c>
      <c r="D10" s="30" t="s">
        <v>82</v>
      </c>
    </row>
    <row r="11" customFormat="false" ht="15" hidden="false" customHeight="false" outlineLevel="0" collapsed="false">
      <c r="A11" s="29" t="s">
        <v>83</v>
      </c>
      <c r="B11" s="30" t="s">
        <v>84</v>
      </c>
      <c r="C11" s="30" t="s">
        <v>85</v>
      </c>
      <c r="D11" s="30" t="s">
        <v>86</v>
      </c>
    </row>
    <row r="13" customFormat="false" ht="15" hidden="false" customHeight="true" outlineLevel="0" collapsed="false">
      <c r="A13" s="27" t="s">
        <v>87</v>
      </c>
      <c r="B13" s="27"/>
      <c r="C13" s="27"/>
      <c r="D13" s="27"/>
      <c r="E13" s="27"/>
    </row>
    <row r="14" customFormat="false" ht="45" hidden="false" customHeight="true" outlineLevel="0" collapsed="false">
      <c r="A14" s="28" t="s">
        <v>88</v>
      </c>
      <c r="B14" s="28"/>
      <c r="C14" s="28"/>
      <c r="D14" s="28"/>
      <c r="E14" s="28"/>
    </row>
    <row r="15" customFormat="false" ht="15" hidden="false" customHeight="false" outlineLevel="0" collapsed="false">
      <c r="A15" s="9" t="s">
        <v>75</v>
      </c>
      <c r="B15" s="9" t="s">
        <v>76</v>
      </c>
      <c r="C15" s="9" t="s">
        <v>77</v>
      </c>
      <c r="D15" s="9" t="s">
        <v>78</v>
      </c>
    </row>
    <row r="16" customFormat="false" ht="15" hidden="false" customHeight="false" outlineLevel="0" collapsed="false">
      <c r="A16" s="29" t="s">
        <v>79</v>
      </c>
      <c r="B16" s="30" t="s">
        <v>89</v>
      </c>
      <c r="C16" s="30" t="s">
        <v>90</v>
      </c>
      <c r="D16" s="30" t="s">
        <v>91</v>
      </c>
    </row>
    <row r="17" customFormat="false" ht="15" hidden="false" customHeight="false" outlineLevel="0" collapsed="false">
      <c r="A17" s="29" t="s">
        <v>83</v>
      </c>
      <c r="B17" s="30" t="s">
        <v>64</v>
      </c>
      <c r="C17" s="30" t="s">
        <v>92</v>
      </c>
      <c r="D17" s="30" t="s">
        <v>93</v>
      </c>
    </row>
    <row r="18" customFormat="false" ht="30" hidden="false" customHeight="true" outlineLevel="0" collapsed="false">
      <c r="A18" s="31" t="s">
        <v>94</v>
      </c>
      <c r="B18" s="31"/>
      <c r="C18" s="31"/>
      <c r="D18" s="31"/>
      <c r="E18" s="31"/>
    </row>
    <row r="20" customFormat="false" ht="15" hidden="false" customHeight="true" outlineLevel="0" collapsed="false">
      <c r="A20" s="27" t="s">
        <v>95</v>
      </c>
      <c r="B20" s="27"/>
      <c r="C20" s="27"/>
      <c r="D20" s="27"/>
      <c r="E20" s="27"/>
    </row>
    <row r="21" customFormat="false" ht="15" hidden="false" customHeight="false" outlineLevel="0" collapsed="false">
      <c r="A21" s="14" t="s">
        <v>96</v>
      </c>
      <c r="B21" s="10" t="n">
        <f aca="false">Carte!B4</f>
        <v>5</v>
      </c>
    </row>
    <row r="22" customFormat="false" ht="15" hidden="false" customHeight="false" outlineLevel="0" collapsed="false">
      <c r="A22" s="14" t="s">
        <v>97</v>
      </c>
      <c r="B22" s="10" t="n">
        <f aca="false">Carte!B6</f>
        <v>5</v>
      </c>
    </row>
    <row r="23" customFormat="false" ht="15" hidden="false" customHeight="false" outlineLevel="0" collapsed="false">
      <c r="A23" s="14" t="s">
        <v>98</v>
      </c>
      <c r="B23" s="22" t="n">
        <f aca="false">Carte!B10</f>
        <v>11.8836</v>
      </c>
    </row>
    <row r="24" customFormat="false" ht="15" hidden="false" customHeight="false" outlineLevel="0" collapsed="false">
      <c r="A24" s="14" t="s">
        <v>64</v>
      </c>
      <c r="B24" s="22" t="n">
        <f aca="false">Carte!B11</f>
        <v>0.0440000000000001</v>
      </c>
    </row>
    <row r="25" customFormat="false" ht="15" hidden="false" customHeight="false" outlineLevel="0" collapsed="false">
      <c r="A25" s="14" t="s">
        <v>99</v>
      </c>
      <c r="B25" s="16" t="n">
        <f aca="false">INDEX(Constantes!$E$5:$E$8,MATCH(Carte!$B$4,Constantes!$A$5:$A$8,0))</f>
        <v>2.326</v>
      </c>
      <c r="C25" s="16" t="n">
        <f aca="false">INDEX(Constantes!$F$5:$F$8,MATCH(Carte!$B$4,Constantes!$A$5:$A$8,0))</f>
        <v>0.864</v>
      </c>
    </row>
    <row r="26" customFormat="false" ht="15" hidden="false" customHeight="false" outlineLevel="0" collapsed="false">
      <c r="A26" s="14" t="s">
        <v>100</v>
      </c>
      <c r="B26" s="22" t="n">
        <f aca="false">IFERROR(B24/B25,"")</f>
        <v>0.0189165950128977</v>
      </c>
    </row>
    <row r="27" customFormat="false" ht="27.75" hidden="false" customHeight="true" outlineLevel="0" collapsed="false">
      <c r="A27" s="14" t="s">
        <v>101</v>
      </c>
      <c r="B27" s="18" t="n">
        <f aca="false">IFERROR(B23+3*B26/SQRT(B21),"")</f>
        <v>11.908979275411</v>
      </c>
      <c r="C27" s="17" t="str">
        <f aca="false">IFERROR("avec A₂ : "&amp;FIXED(Carte!B12,4,TRUE()),"")</f>
        <v>avec A₂ : 11.9090</v>
      </c>
    </row>
    <row r="28" customFormat="false" ht="23.85" hidden="false" customHeight="false" outlineLevel="0" collapsed="false">
      <c r="A28" s="14" t="s">
        <v>102</v>
      </c>
      <c r="B28" s="18" t="n">
        <f aca="false">IFERROR(B23-3*B26/SQRT(B21),"")</f>
        <v>11.858220724589</v>
      </c>
      <c r="C28" s="17" t="str">
        <f aca="false">IFERROR("avec A₂ : "&amp;FIXED(Carte!B13,4,TRUE()),"")</f>
        <v>avec A₂ : 11.8582</v>
      </c>
    </row>
    <row r="29" customFormat="false" ht="23.85" hidden="false" customHeight="false" outlineLevel="0" collapsed="false">
      <c r="A29" s="14" t="s">
        <v>103</v>
      </c>
      <c r="B29" s="18" t="n">
        <f aca="false">IFERROR((B25+3*C25)*B26,"")</f>
        <v>0.0930318142734311</v>
      </c>
      <c r="C29" s="17" t="str">
        <f aca="false">IFERROR("avec D₄ : "&amp;FIXED(Carte!B14,4,TRUE()),"")</f>
        <v>avec D₄ : 0.0930</v>
      </c>
    </row>
    <row r="30" customFormat="false" ht="27.75" hidden="false" customHeight="true" outlineLevel="0" collapsed="false">
      <c r="A30" s="14" t="s">
        <v>104</v>
      </c>
      <c r="B30" s="18" t="n">
        <f aca="false">IFERROR(MAX(0,(B25-3*C25)*B26),"")</f>
        <v>0</v>
      </c>
      <c r="C30" s="17" t="str">
        <f aca="false">IFERROR("avec D₃ : "&amp;FIXED(Carte!B15,4,TRUE()),"")</f>
        <v>avec D₃ : 0.0000</v>
      </c>
    </row>
    <row r="32" customFormat="false" ht="15" hidden="false" customHeight="true" outlineLevel="0" collapsed="false">
      <c r="A32" s="31" t="s">
        <v>105</v>
      </c>
      <c r="B32" s="31"/>
      <c r="C32" s="31"/>
      <c r="D32" s="31"/>
      <c r="E32" s="31"/>
    </row>
    <row r="34" customFormat="false" ht="15" hidden="false" customHeight="true" outlineLevel="0" collapsed="false">
      <c r="A34" s="27" t="s">
        <v>106</v>
      </c>
      <c r="B34" s="27"/>
      <c r="C34" s="27"/>
      <c r="D34" s="27"/>
      <c r="E34" s="27"/>
    </row>
    <row r="35" customFormat="false" ht="30" hidden="false" customHeight="true" outlineLevel="0" collapsed="false">
      <c r="A35" s="28" t="s">
        <v>107</v>
      </c>
      <c r="B35" s="28"/>
      <c r="C35" s="28"/>
      <c r="D35" s="28"/>
      <c r="E35" s="28"/>
    </row>
    <row r="36" customFormat="false" ht="15" hidden="false" customHeight="false" outlineLevel="0" collapsed="false">
      <c r="A36" s="12" t="s">
        <v>108</v>
      </c>
      <c r="B36" s="32"/>
    </row>
    <row r="37" customFormat="false" ht="15" hidden="false" customHeight="false" outlineLevel="0" collapsed="false">
      <c r="A37" s="12" t="s">
        <v>109</v>
      </c>
      <c r="B37" s="32"/>
    </row>
    <row r="38" customFormat="false" ht="15" hidden="false" customHeight="false" outlineLevel="0" collapsed="false">
      <c r="A38" s="14" t="s">
        <v>110</v>
      </c>
      <c r="B38" s="22" t="str">
        <f aca="false">IF(COUNT(B36:B37)&lt;2,"",B36+INDEX(Constantes!$G$5:$G$8,MATCH(Carte!$B$4,Constantes!$A$5:$A$8,0))*B37)</f>
        <v/>
      </c>
    </row>
    <row r="39" customFormat="false" ht="15" hidden="false" customHeight="false" outlineLevel="0" collapsed="false">
      <c r="A39" s="14" t="s">
        <v>111</v>
      </c>
      <c r="B39" s="22" t="str">
        <f aca="false">IF(COUNT(B36:B37)&lt;2,"",B36-INDEX(Constantes!$G$5:$G$8,MATCH(Carte!$B$4,Constantes!$A$5:$A$8,0))*B37)</f>
        <v/>
      </c>
    </row>
    <row r="40" customFormat="false" ht="15" hidden="false" customHeight="false" outlineLevel="0" collapsed="false">
      <c r="A40" s="14" t="s">
        <v>112</v>
      </c>
      <c r="B40" s="22" t="str">
        <f aca="false">IF(COUNT(B36:B37)&lt;2,"",INDEX(Constantes!$E$5:$E$8,MATCH(Carte!$B$4,Constantes!$A$5:$A$8,0))*B37)</f>
        <v/>
      </c>
    </row>
    <row r="41" customFormat="false" ht="15" hidden="false" customHeight="false" outlineLevel="0" collapsed="false">
      <c r="A41" s="14" t="s">
        <v>113</v>
      </c>
      <c r="B41" s="22" t="str">
        <f aca="false">IF(COUNT(B36:B37)&lt;2,"",INDEX(Constantes!$I$5:$I$8,MATCH(Carte!$B$4,Constantes!$A$5:$A$8,0))*B37)</f>
        <v/>
      </c>
    </row>
    <row r="42" customFormat="false" ht="15" hidden="false" customHeight="false" outlineLevel="0" collapsed="false">
      <c r="A42" s="14" t="s">
        <v>114</v>
      </c>
      <c r="B42" s="22" t="str">
        <f aca="false">IF(COUNT(B36:B37)&lt;2,"",INDEX(Constantes!$H$5:$H$8,MATCH(Carte!$B$4,Constantes!$A$5:$A$8,0))*B37)</f>
        <v/>
      </c>
    </row>
  </sheetData>
  <mergeCells count="11">
    <mergeCell ref="A4:E4"/>
    <mergeCell ref="A5:E5"/>
    <mergeCell ref="A7:E7"/>
    <mergeCell ref="A8:E8"/>
    <mergeCell ref="A13:E13"/>
    <mergeCell ref="A14:E14"/>
    <mergeCell ref="A18:E18"/>
    <mergeCell ref="A20:E20"/>
    <mergeCell ref="A32:E32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24" hidden="false" customHeight="true" outlineLevel="0" collapsed="false">
      <c r="A1" s="1" t="s">
        <v>115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9" t="s">
        <v>117</v>
      </c>
      <c r="B4" s="9" t="s">
        <v>118</v>
      </c>
      <c r="C4" s="9" t="s">
        <v>119</v>
      </c>
      <c r="D4" s="9" t="s">
        <v>120</v>
      </c>
      <c r="E4" s="9" t="s">
        <v>121</v>
      </c>
      <c r="F4" s="9" t="s">
        <v>122</v>
      </c>
      <c r="G4" s="9" t="s">
        <v>123</v>
      </c>
      <c r="H4" s="9" t="s">
        <v>124</v>
      </c>
      <c r="I4" s="9" t="s">
        <v>125</v>
      </c>
    </row>
    <row r="5" customFormat="false" ht="15" hidden="false" customHeight="false" outlineLevel="0" collapsed="false">
      <c r="A5" s="33" t="n">
        <v>2</v>
      </c>
      <c r="B5" s="34" t="n">
        <v>1.88</v>
      </c>
      <c r="C5" s="34" t="n">
        <v>0</v>
      </c>
      <c r="D5" s="34" t="n">
        <v>3.267</v>
      </c>
      <c r="E5" s="34" t="n">
        <v>1.128</v>
      </c>
      <c r="F5" s="34" t="n">
        <v>0.853</v>
      </c>
      <c r="G5" s="34" t="n">
        <v>2.121</v>
      </c>
      <c r="H5" s="34" t="n">
        <v>0</v>
      </c>
      <c r="I5" s="34" t="n">
        <v>3.686</v>
      </c>
    </row>
    <row r="6" customFormat="false" ht="15" hidden="false" customHeight="false" outlineLevel="0" collapsed="false">
      <c r="A6" s="33" t="n">
        <v>3</v>
      </c>
      <c r="B6" s="34" t="n">
        <v>1.023</v>
      </c>
      <c r="C6" s="34" t="n">
        <v>0</v>
      </c>
      <c r="D6" s="34" t="n">
        <v>2.574</v>
      </c>
      <c r="E6" s="34" t="n">
        <v>1.693</v>
      </c>
      <c r="F6" s="34" t="n">
        <v>0.888</v>
      </c>
      <c r="G6" s="34" t="n">
        <v>1.732</v>
      </c>
      <c r="H6" s="34" t="n">
        <v>0</v>
      </c>
      <c r="I6" s="34" t="n">
        <v>4.358</v>
      </c>
    </row>
    <row r="7" customFormat="false" ht="15" hidden="false" customHeight="false" outlineLevel="0" collapsed="false">
      <c r="A7" s="33" t="n">
        <v>4</v>
      </c>
      <c r="B7" s="34" t="n">
        <v>0.729</v>
      </c>
      <c r="C7" s="34" t="n">
        <v>0</v>
      </c>
      <c r="D7" s="34" t="n">
        <v>2.282</v>
      </c>
      <c r="E7" s="34" t="n">
        <v>2.059</v>
      </c>
      <c r="F7" s="34" t="n">
        <v>0.88</v>
      </c>
      <c r="G7" s="34" t="n">
        <v>1.5</v>
      </c>
      <c r="H7" s="34" t="n">
        <v>0</v>
      </c>
      <c r="I7" s="34" t="n">
        <v>4.698</v>
      </c>
    </row>
    <row r="8" customFormat="false" ht="15" hidden="false" customHeight="false" outlineLevel="0" collapsed="false">
      <c r="A8" s="33" t="n">
        <v>5</v>
      </c>
      <c r="B8" s="34" t="n">
        <v>0.577</v>
      </c>
      <c r="C8" s="34" t="n">
        <v>0</v>
      </c>
      <c r="D8" s="34" t="n">
        <v>2.114</v>
      </c>
      <c r="E8" s="34" t="n">
        <v>2.326</v>
      </c>
      <c r="F8" s="34" t="n">
        <v>0.864</v>
      </c>
      <c r="G8" s="34" t="n">
        <v>1.342</v>
      </c>
      <c r="H8" s="34" t="n">
        <v>0</v>
      </c>
      <c r="I8" s="34" t="n">
        <v>4.918</v>
      </c>
    </row>
    <row r="11" customFormat="false" ht="57.45" hidden="false" customHeight="false" outlineLevel="0" collapsed="false">
      <c r="A11" s="12" t="s">
        <v>126</v>
      </c>
    </row>
    <row r="12" customFormat="false" ht="15" hidden="false" customHeight="false" outlineLevel="0" collapsed="false">
      <c r="A12" s="35" t="s">
        <v>121</v>
      </c>
      <c r="B12" s="36" t="s">
        <v>127</v>
      </c>
    </row>
    <row r="13" customFormat="false" ht="15" hidden="false" customHeight="false" outlineLevel="0" collapsed="false">
      <c r="A13" s="35" t="s">
        <v>122</v>
      </c>
      <c r="B13" s="36" t="s">
        <v>128</v>
      </c>
    </row>
    <row r="14" customFormat="false" ht="15" hidden="false" customHeight="false" outlineLevel="0" collapsed="false">
      <c r="A14" s="35" t="s">
        <v>123</v>
      </c>
      <c r="B14" s="36" t="s">
        <v>129</v>
      </c>
    </row>
    <row r="15" customFormat="false" ht="15" hidden="false" customHeight="false" outlineLevel="0" collapsed="false">
      <c r="A15" s="35" t="s">
        <v>118</v>
      </c>
      <c r="B15" s="36" t="s">
        <v>130</v>
      </c>
    </row>
    <row r="16" customFormat="false" ht="15" hidden="false" customHeight="false" outlineLevel="0" collapsed="false">
      <c r="A16" s="35" t="s">
        <v>131</v>
      </c>
      <c r="B16" s="36" t="s">
        <v>132</v>
      </c>
    </row>
    <row r="17" customFormat="false" ht="15" hidden="false" customHeight="false" outlineLevel="0" collapsed="false">
      <c r="A17" s="35" t="s">
        <v>133</v>
      </c>
      <c r="B17" s="36" t="s">
        <v>134</v>
      </c>
    </row>
    <row r="19" customFormat="false" ht="15" hidden="false" customHeight="false" outlineLevel="0" collapsed="false">
      <c r="A19" s="1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2026-10-01T11:24:05Z</dcterms:created>
  <dc:creator>openpyxl</dc:creator>
  <dc:description/>
  <dc:language>en-US</dc:language>
  <cp:lastModifiedBy/>
  <dcterms:modified xsi:type="dcterms:W3CDTF">2026-10-01T13:24:10Z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