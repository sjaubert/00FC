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BTS ATI/OI/MSP SPC/"/>
    </mc:Choice>
  </mc:AlternateContent>
  <xr:revisionPtr revIDLastSave="3" documentId="11_6C2DA74E6A4C8229E365469E0A365B2373CB86DC" xr6:coauthVersionLast="47" xr6:coauthVersionMax="47" xr10:uidLastSave="{28294E5C-A10B-4562-8656-73159768A102}"/>
  <bookViews>
    <workbookView xWindow="-120" yWindow="-120" windowWidth="29040" windowHeight="15840" activeTab="1" xr2:uid="{00000000-000D-0000-FFFF-FFFF00000000}"/>
  </bookViews>
  <sheets>
    <sheet name="1er relevé" sheetId="1" r:id="rId1"/>
    <sheet name="2ème relev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2" l="1"/>
  <c r="K30" i="2"/>
  <c r="K31" i="2"/>
  <c r="K32" i="2"/>
  <c r="K33" i="2"/>
  <c r="K28" i="2"/>
  <c r="E28" i="2"/>
  <c r="F28" i="2" l="1"/>
  <c r="E29" i="2" l="1"/>
  <c r="F29" i="2" s="1"/>
  <c r="E30" i="2" l="1"/>
  <c r="F30" i="2" s="1"/>
  <c r="E31" i="2" l="1"/>
  <c r="F31" i="2" s="1"/>
  <c r="E32" i="2" l="1"/>
  <c r="F32" i="2" s="1"/>
  <c r="E33" i="2" l="1"/>
  <c r="F33" i="2" s="1"/>
  <c r="E34" i="2" l="1"/>
  <c r="F34" i="2" s="1"/>
  <c r="G35" i="2" l="1"/>
  <c r="I28" i="2" l="1"/>
  <c r="I31" i="2"/>
  <c r="I32" i="2"/>
  <c r="I34" i="2"/>
  <c r="I29" i="2"/>
  <c r="I30" i="2"/>
  <c r="I33" i="2"/>
</calcChain>
</file>

<file path=xl/sharedStrings.xml><?xml version="1.0" encoding="utf-8"?>
<sst xmlns="http://schemas.openxmlformats.org/spreadsheetml/2006/main" count="27" uniqueCount="16">
  <si>
    <t>diamètre (mm)</t>
  </si>
  <si>
    <t>Moyenne</t>
  </si>
  <si>
    <t>Etendue</t>
  </si>
  <si>
    <t>Ecart-type</t>
  </si>
  <si>
    <t xml:space="preserve">Moyenne </t>
  </si>
  <si>
    <t>Classes</t>
  </si>
  <si>
    <t>Effectif de la classe</t>
  </si>
  <si>
    <t>Min =</t>
  </si>
  <si>
    <t>Max =</t>
  </si>
  <si>
    <t>Amplitude de la série :</t>
  </si>
  <si>
    <t>Amplitude d'une classe</t>
  </si>
  <si>
    <t>Effectifs cumulés</t>
  </si>
  <si>
    <t>Fréquences cumulées</t>
  </si>
  <si>
    <t>Quantiles empiriques</t>
  </si>
  <si>
    <t>Quantiles théoriques</t>
  </si>
  <si>
    <t>1er relevé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</si>
</sst>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/>
    <xf numFmtId="9" fontId="0" fillId="34" borderId="10" xfId="42" applyFont="1" applyFill="1" applyBorder="1"/>
    <xf numFmtId="0" fontId="16" fillId="34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vertical="center" wrapText="1"/>
    </xf>
    <xf numFmtId="0" fontId="16" fillId="34" borderId="10" xfId="0" applyFont="1" applyFill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164" fontId="16" fillId="35" borderId="10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1" xfId="0" applyBorder="1"/>
    <xf numFmtId="0" fontId="0" fillId="0" borderId="0" xfId="0" applyProtection="1">
      <protection locked="0"/>
    </xf>
    <xf numFmtId="0" fontId="0" fillId="0" borderId="10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19" fillId="36" borderId="10" xfId="0" applyFont="1" applyFill="1" applyBorder="1" applyAlignment="1" applyProtection="1">
      <alignment horizontal="center"/>
      <protection locked="0"/>
    </xf>
    <xf numFmtId="164" fontId="0" fillId="33" borderId="12" xfId="0" applyNumberFormat="1" applyFill="1" applyBorder="1" applyAlignment="1">
      <alignment horizontal="center" vertical="center"/>
    </xf>
    <xf numFmtId="164" fontId="0" fillId="33" borderId="10" xfId="0" applyNumberFormat="1" applyFill="1" applyBorder="1" applyAlignment="1">
      <alignment horizontal="center" vertical="center"/>
    </xf>
    <xf numFmtId="0" fontId="18" fillId="33" borderId="10" xfId="0" applyFont="1" applyFill="1" applyBorder="1"/>
    <xf numFmtId="0" fontId="0" fillId="0" borderId="0" xfId="0" applyAlignment="1" applyProtection="1">
      <alignment horizontal="center"/>
      <protection locked="0"/>
    </xf>
    <xf numFmtId="0" fontId="0" fillId="33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179613</xdr:colOff>
      <xdr:row>1</xdr:row>
      <xdr:rowOff>81642</xdr:rowOff>
    </xdr:from>
    <xdr:to>
      <xdr:col>16</xdr:col>
      <xdr:colOff>108857</xdr:colOff>
      <xdr:row>7</xdr:row>
      <xdr:rowOff>557893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53934" y="272142"/>
          <a:ext cx="9644744" cy="292553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800"/>
            <a:t>TP MSP - Cartes de contrôles</a:t>
          </a:r>
        </a:p>
        <a:p>
          <a:endParaRPr lang="fr-FR" sz="3200"/>
        </a:p>
        <a:p>
          <a:r>
            <a:rPr lang="fr-FR" sz="1600"/>
            <a:t>Pour la fabrication d'un axe de VTT</a:t>
          </a:r>
          <a:r>
            <a:rPr lang="fr-FR" sz="1600" baseline="0"/>
            <a:t> de diamètre </a:t>
          </a:r>
          <a:r>
            <a:rPr lang="fr-F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20±  0,02mm.</a:t>
          </a:r>
          <a:r>
            <a:rPr lang="fr-F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Nous effectuons dix relevés de 5 mesures à intervalles réguliers.</a:t>
          </a:r>
          <a:endParaRPr lang="fr-FR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600">
              <a:solidFill>
                <a:schemeClr val="dk1"/>
              </a:solidFill>
              <a:latin typeface="+mn-lt"/>
              <a:ea typeface="+mn-ea"/>
              <a:cs typeface="+mn-cs"/>
            </a:rPr>
            <a:t>Toutes les heures on a relevé un échantillon de 5 pièces sur 10 heures. Le relevé se</a:t>
          </a:r>
          <a:r>
            <a:rPr lang="fr-FR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 trouve dans le fichier "TP_MSP_relevé1_dfi.csv"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Avec ces données remplissez le tableau ci-dessous et répondez aux questions.</a:t>
          </a:r>
          <a:endParaRPr lang="fr-FR" sz="16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fr-FR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400"/>
        </a:p>
        <a:p>
          <a:endParaRPr lang="fr-FR" sz="1100"/>
        </a:p>
      </xdr:txBody>
    </xdr:sp>
    <xdr:clientData/>
  </xdr:twoCellAnchor>
  <xdr:twoCellAnchor>
    <xdr:from>
      <xdr:col>0</xdr:col>
      <xdr:colOff>495451</xdr:colOff>
      <xdr:row>20</xdr:row>
      <xdr:rowOff>158295</xdr:rowOff>
    </xdr:from>
    <xdr:to>
      <xdr:col>13</xdr:col>
      <xdr:colOff>204107</xdr:colOff>
      <xdr:row>44</xdr:row>
      <xdr:rowOff>27214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95451" y="5805259"/>
          <a:ext cx="9165620" cy="4440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1) Calculer Moyenne, étendue et écart-type de ces 10 échantillons</a:t>
          </a:r>
        </a:p>
        <a:p>
          <a:endParaRPr lang="fr-FR" sz="16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fr-FR" sz="16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2) En vous aidant du cours (pages 6 et 7) calculer les limites de contrôle et de </a:t>
          </a:r>
        </a:p>
        <a:p>
          <a:r>
            <a:rPr lang="fr-FR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surveillance pour la moyenne et l'étendue </a:t>
          </a:r>
        </a:p>
        <a:p>
          <a:endParaRPr lang="fr-FR" sz="16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fr-FR" sz="16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3) Réaliser les cartes de contrôles des moyennes et des étendues en plaçant les    </a:t>
          </a:r>
        </a:p>
        <a:p>
          <a:r>
            <a:rPr lang="fr-FR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limites déterminées au 2)</a:t>
          </a:r>
        </a:p>
        <a:p>
          <a:endParaRPr lang="fr-FR" sz="16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fr-FR" sz="16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4) Calculer Cm et Cmk. Tracer les cartes de contrôle de la moyenne et de </a:t>
          </a:r>
        </a:p>
        <a:p>
          <a:r>
            <a:rPr lang="fr-FR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l'étendue puis placer TS et TI. Calculer le pourcentage de rebut.</a:t>
          </a:r>
          <a:endParaRPr lang="fr-FR" sz="14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endParaRPr lang="fr-FR" sz="16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endParaRPr lang="fr-FR" sz="16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fr-FR" sz="16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5) En vous aidant de la page 9 du cours interpréter vos résultats</a:t>
          </a:r>
        </a:p>
        <a:p>
          <a:endParaRPr lang="fr-FR" sz="1100"/>
        </a:p>
      </xdr:txBody>
    </xdr:sp>
    <xdr:clientData/>
  </xdr:twoCellAnchor>
  <xdr:twoCellAnchor editAs="oneCell">
    <xdr:from>
      <xdr:col>0</xdr:col>
      <xdr:colOff>46263</xdr:colOff>
      <xdr:row>0</xdr:row>
      <xdr:rowOff>46264</xdr:rowOff>
    </xdr:from>
    <xdr:to>
      <xdr:col>0</xdr:col>
      <xdr:colOff>1102178</xdr:colOff>
      <xdr:row>6</xdr:row>
      <xdr:rowOff>17085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63" y="46264"/>
          <a:ext cx="1055915" cy="1113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4</xdr:row>
      <xdr:rowOff>76200</xdr:rowOff>
    </xdr:from>
    <xdr:to>
      <xdr:col>14</xdr:col>
      <xdr:colOff>114300</xdr:colOff>
      <xdr:row>19</xdr:row>
      <xdr:rowOff>304799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2276475" y="838200"/>
              <a:ext cx="8829675" cy="308609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1) Déterminer la moyenne et l'écart-type de cet échantillon de 50 mesures (cellules I22 et I23) </a:t>
              </a:r>
            </a:p>
            <a:p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2) On souhaite faire l'histogramme de ces 50 mesures. Pour cela nous allons les regrouper en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fr-FR" sz="1100" b="0" i="1" u="none" strike="noStrike" baseline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r>
                        <a:rPr lang="fr-FR" sz="1100" b="0" i="1" u="none" strike="noStrike" baseline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50</m:t>
                      </m:r>
                    </m:e>
                  </m:rad>
                  <m:r>
                    <a:rPr lang="fr-FR" sz="1100" b="0" i="1" u="none" strike="noStrike" baseline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≅7 </m:t>
                  </m:r>
                  <m:r>
                    <a:rPr lang="fr-FR" sz="1100" b="0" i="1" u="none" strike="noStrike" baseline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𝑐𝑙𝑎𝑠𝑠𝑒𝑠</m:t>
                  </m:r>
                </m:oMath>
              </a14:m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    Après avoir trouvé le min et le max de la série des 50 mesures déterminez l'amplitude des classes, </a:t>
              </a: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    remplir ensuite les colonnes G et H du tableau ci-dessous. </a:t>
              </a:r>
            </a:p>
            <a:p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3) Effectif des classes. Sélectionnez les cellules de  G28:G34 puis utilisez la formule suivante</a:t>
              </a: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     et </a:t>
              </a:r>
              <a:r>
                <a:rPr lang="fr-F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valider en appuyant en </a:t>
              </a:r>
              <a:r>
                <a:rPr lang="fr-FR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même temps</a:t>
              </a:r>
              <a:r>
                <a:rPr lang="fr-FR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fr-F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sur les touches </a:t>
              </a:r>
              <a:r>
                <a:rPr lang="fr-F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[CTRL] [SHIFT] puis [ENTREE]</a:t>
              </a:r>
            </a:p>
            <a:p>
              <a:endParaRPr lang="fr-FR" sz="1100" b="1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4) Représenter l'histogramme de la série de données </a:t>
              </a:r>
            </a:p>
            <a:p>
              <a:endParaRPr lang="fr-F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5) </a:t>
              </a:r>
              <a:r>
                <a:rPr lang="fr-FR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Calculer Cm et Cmk. Tracer les cartes de contrôle de la moyenne et de </a:t>
              </a:r>
              <a:endParaRPr lang="fr-FR">
                <a:effectLst/>
              </a:endParaRPr>
            </a:p>
            <a:p>
              <a:r>
                <a:rPr lang="fr-FR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l'étendue puis placer TS et TI (même procédé que pour le 1er relevé)</a:t>
              </a:r>
            </a:p>
            <a:p>
              <a:endParaRPr lang="fr-F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6) Interpréter vos résultats</a:t>
              </a:r>
            </a:p>
            <a:p>
              <a:endParaRPr lang="fr-F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fr-F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514067B6-AEDA-4C14-997C-6209A75D610A}"/>
                </a:ext>
              </a:extLst>
            </xdr:cNvPr>
            <xdr:cNvSpPr txBox="1"/>
          </xdr:nvSpPr>
          <xdr:spPr>
            <a:xfrm>
              <a:off x="2276475" y="838200"/>
              <a:ext cx="8829675" cy="308609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1) Déterminer la moyenne et l'écart-type de cet échantillon de 50 mesures (cellules I22 et I23) </a:t>
              </a:r>
            </a:p>
            <a:p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2) On souhaite faire l'histogramme de ces 50 mesures. Pour cela nous allons les regrouper en </a:t>
              </a:r>
              <a:r>
                <a:rPr lang="fr-FR" sz="1100" b="0" i="0" u="none" strike="noStrike" baseline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√50</a:t>
              </a:r>
              <a:r>
                <a:rPr lang="fr-FR" sz="1100" b="0" i="0" u="none" strike="noStrike" baseline="0">
                  <a:solidFill>
                    <a:schemeClr val="dk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≅7 𝑐𝑙𝑎𝑠𝑠𝑒𝑠</a:t>
              </a:r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    Après avoir trouvé le min et le max de la série des 50 mesures déterminez l'amplitude des classes, </a:t>
              </a: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    remplir ensuite les colonnes G et H du tableau ci-dessous. </a:t>
              </a:r>
            </a:p>
            <a:p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3) Effectif des classes. Sélectionnez les cellules de  G28:G34 puis utilisez la formule suivante</a:t>
              </a: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     et </a:t>
              </a:r>
              <a:r>
                <a:rPr lang="fr-F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valider en appuyant en </a:t>
              </a:r>
              <a:r>
                <a:rPr lang="fr-FR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même temps</a:t>
              </a:r>
              <a:r>
                <a:rPr lang="fr-FR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fr-F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sur les touches </a:t>
              </a:r>
              <a:r>
                <a:rPr lang="fr-F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[CTRL] [SHIFT] puis [ENTREE]</a:t>
              </a:r>
            </a:p>
            <a:p>
              <a:endParaRPr lang="fr-FR" sz="1100" b="1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4) Représenter l'histogramme de la série de données </a:t>
              </a:r>
            </a:p>
            <a:p>
              <a:endParaRPr lang="fr-F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5) </a:t>
              </a:r>
              <a:r>
                <a:rPr lang="fr-FR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Calculer Cm et Cmk. Tracer les cartes de contrôle de la moyenne et de </a:t>
              </a:r>
              <a:endParaRPr lang="fr-FR">
                <a:effectLst/>
              </a:endParaRPr>
            </a:p>
            <a:p>
              <a:r>
                <a:rPr lang="fr-FR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l'étendue puis placer TS et TI (même procédé que pour le 1er relevé)</a:t>
              </a:r>
            </a:p>
            <a:p>
              <a:endParaRPr lang="fr-F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6) Interpréter vos résultats</a:t>
              </a:r>
            </a:p>
            <a:p>
              <a:endParaRPr lang="fr-F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fr-F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fr-FR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  <xdr:oneCellAnchor>
    <xdr:from>
      <xdr:col>9</xdr:col>
      <xdr:colOff>41770</xdr:colOff>
      <xdr:row>20</xdr:row>
      <xdr:rowOff>107448</xdr:rowOff>
    </xdr:from>
    <xdr:ext cx="4488473" cy="405432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7223620" y="4069848"/>
          <a:ext cx="4488473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0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NE PAS MODIFIER LES CELLULES GRISEES</a:t>
          </a:r>
        </a:p>
      </xdr:txBody>
    </xdr:sp>
    <xdr:clientData/>
  </xdr:oneCellAnchor>
  <xdr:twoCellAnchor>
    <xdr:from>
      <xdr:col>2</xdr:col>
      <xdr:colOff>742950</xdr:colOff>
      <xdr:row>0</xdr:row>
      <xdr:rowOff>28575</xdr:rowOff>
    </xdr:from>
    <xdr:to>
      <xdr:col>14</xdr:col>
      <xdr:colOff>112184</xdr:colOff>
      <xdr:row>4</xdr:row>
      <xdr:rowOff>85725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266950" y="28575"/>
          <a:ext cx="8837084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 b="1"/>
            <a:t>Après réglage</a:t>
          </a:r>
          <a:r>
            <a:rPr lang="fr-FR" sz="1200" b="1" baseline="0"/>
            <a:t> on réalise un deuxième relevé de 5 pièces toutes les heures et on obtient les données ci-jointes.</a:t>
          </a:r>
        </a:p>
        <a:p>
          <a:r>
            <a:rPr lang="fr-FR" sz="1200" b="1" baseline="0"/>
            <a:t>Le but est de déterminer si le procédé est devenu capable et/ou bien centré</a:t>
          </a:r>
          <a:endParaRPr lang="fr-FR" sz="1400" b="1" baseline="0"/>
        </a:p>
        <a:p>
          <a:endParaRPr lang="fr-FR" sz="1100"/>
        </a:p>
      </xdr:txBody>
    </xdr:sp>
    <xdr:clientData/>
  </xdr:twoCellAnchor>
  <xdr:twoCellAnchor editAs="oneCell">
    <xdr:from>
      <xdr:col>9</xdr:col>
      <xdr:colOff>485775</xdr:colOff>
      <xdr:row>12</xdr:row>
      <xdr:rowOff>0</xdr:rowOff>
    </xdr:from>
    <xdr:to>
      <xdr:col>13</xdr:col>
      <xdr:colOff>161584</xdr:colOff>
      <xdr:row>13</xdr:row>
      <xdr:rowOff>190452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7625" y="2286000"/>
          <a:ext cx="2723809" cy="3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opLeftCell="A12" zoomScale="70" zoomScaleNormal="70" workbookViewId="0">
      <selection sqref="A1:XFD8"/>
    </sheetView>
  </sheetViews>
  <sheetFormatPr baseColWidth="10" defaultRowHeight="15" x14ac:dyDescent="0.25"/>
  <cols>
    <col min="1" max="1" width="16.85546875" style="16" customWidth="1"/>
    <col min="2" max="2" width="3.7109375" style="16" customWidth="1"/>
    <col min="3" max="3" width="17.140625" style="16" customWidth="1"/>
    <col min="4" max="4" width="3.7109375" style="16" customWidth="1"/>
    <col min="5" max="5" width="17.140625" style="16" customWidth="1"/>
    <col min="6" max="6" width="3.7109375" style="16" customWidth="1"/>
    <col min="7" max="7" width="17.140625" style="16" customWidth="1"/>
    <col min="8" max="8" width="3.7109375" style="16" customWidth="1"/>
    <col min="9" max="9" width="17.140625" style="16" customWidth="1"/>
    <col min="10" max="10" width="3.7109375" style="16" customWidth="1"/>
    <col min="11" max="11" width="17.140625" style="16" customWidth="1"/>
    <col min="12" max="12" width="3.7109375" style="16" customWidth="1"/>
    <col min="13" max="13" width="17.140625" style="16" customWidth="1"/>
    <col min="14" max="14" width="3.7109375" style="16" customWidth="1"/>
    <col min="15" max="15" width="17.140625" style="16" customWidth="1"/>
    <col min="16" max="16" width="3.7109375" style="16" customWidth="1"/>
    <col min="17" max="17" width="17.140625" style="16" customWidth="1"/>
    <col min="18" max="18" width="3.7109375" style="16" customWidth="1"/>
    <col min="19" max="19" width="17.140625" style="16" customWidth="1"/>
    <col min="20" max="20" width="3.7109375" style="16" customWidth="1"/>
    <col min="21" max="21" width="17.140625" style="16" customWidth="1"/>
    <col min="22" max="16384" width="11.42578125" style="16"/>
  </cols>
  <sheetData>
    <row r="1" spans="1:22" s="23" customFormat="1" x14ac:dyDescent="0.25"/>
    <row r="2" spans="1:22" s="23" customFormat="1" x14ac:dyDescent="0.25"/>
    <row r="3" spans="1:22" s="23" customFormat="1" x14ac:dyDescent="0.25"/>
    <row r="4" spans="1:22" s="23" customFormat="1" x14ac:dyDescent="0.25"/>
    <row r="5" spans="1:22" s="23" customFormat="1" x14ac:dyDescent="0.25"/>
    <row r="6" spans="1:22" s="23" customFormat="1" x14ac:dyDescent="0.25"/>
    <row r="7" spans="1:22" s="23" customFormat="1" ht="117.75" customHeight="1" x14ac:dyDescent="0.25"/>
    <row r="8" spans="1:22" s="23" customFormat="1" ht="50.25" customHeight="1" x14ac:dyDescent="0.25"/>
    <row r="9" spans="1:22" s="18" customFormat="1" ht="18" customHeight="1" x14ac:dyDescent="0.35">
      <c r="A9" s="19" t="s">
        <v>15</v>
      </c>
    </row>
    <row r="11" spans="1:22" x14ac:dyDescent="0.25">
      <c r="B11"/>
      <c r="C11" s="14" t="s">
        <v>0</v>
      </c>
      <c r="D11"/>
      <c r="E11" s="14" t="s">
        <v>0</v>
      </c>
      <c r="F11"/>
      <c r="G11" s="14" t="s">
        <v>0</v>
      </c>
      <c r="H11"/>
      <c r="I11" s="14" t="s">
        <v>0</v>
      </c>
      <c r="J11"/>
      <c r="K11" s="14" t="s">
        <v>0</v>
      </c>
      <c r="L11"/>
      <c r="M11" s="14" t="s">
        <v>0</v>
      </c>
      <c r="N11"/>
      <c r="O11" s="14" t="s">
        <v>0</v>
      </c>
      <c r="P11"/>
      <c r="Q11" s="14" t="s">
        <v>0</v>
      </c>
      <c r="R11"/>
      <c r="S11" s="14" t="s">
        <v>0</v>
      </c>
      <c r="T11"/>
      <c r="U11" s="14" t="s">
        <v>0</v>
      </c>
      <c r="V11"/>
    </row>
    <row r="12" spans="1:22" x14ac:dyDescent="0.25">
      <c r="B12" s="24">
        <v>1</v>
      </c>
      <c r="C12" s="1"/>
      <c r="D12" s="24">
        <v>2</v>
      </c>
      <c r="E12" s="1"/>
      <c r="F12" s="24">
        <v>3</v>
      </c>
      <c r="G12" s="1"/>
      <c r="H12" s="24">
        <v>4</v>
      </c>
      <c r="I12" s="1"/>
      <c r="J12" s="24">
        <v>5</v>
      </c>
      <c r="K12" s="1"/>
      <c r="L12" s="24">
        <v>6</v>
      </c>
      <c r="M12" s="1"/>
      <c r="N12" s="24">
        <v>7</v>
      </c>
      <c r="O12" s="1"/>
      <c r="P12" s="24">
        <v>8</v>
      </c>
      <c r="Q12" s="1"/>
      <c r="R12" s="24">
        <v>9</v>
      </c>
      <c r="S12" s="1"/>
      <c r="T12" s="24">
        <v>10</v>
      </c>
      <c r="U12" s="1"/>
      <c r="V12"/>
    </row>
    <row r="13" spans="1:22" x14ac:dyDescent="0.25">
      <c r="B13" s="24"/>
      <c r="C13" s="1"/>
      <c r="D13" s="24"/>
      <c r="E13" s="1"/>
      <c r="F13" s="24"/>
      <c r="G13" s="1"/>
      <c r="H13" s="24"/>
      <c r="I13" s="1"/>
      <c r="J13" s="24"/>
      <c r="K13" s="1"/>
      <c r="L13" s="24"/>
      <c r="M13" s="1"/>
      <c r="N13" s="24"/>
      <c r="O13" s="1"/>
      <c r="P13" s="24"/>
      <c r="Q13" s="1"/>
      <c r="R13" s="24"/>
      <c r="S13" s="1"/>
      <c r="T13" s="24"/>
      <c r="U13" s="1"/>
      <c r="V13"/>
    </row>
    <row r="14" spans="1:22" x14ac:dyDescent="0.25">
      <c r="B14" s="24"/>
      <c r="C14" s="1"/>
      <c r="D14" s="24"/>
      <c r="E14" s="1"/>
      <c r="F14" s="24"/>
      <c r="G14" s="1"/>
      <c r="H14" s="24"/>
      <c r="I14" s="1"/>
      <c r="J14" s="24"/>
      <c r="K14" s="1"/>
      <c r="L14" s="24"/>
      <c r="M14" s="1"/>
      <c r="N14" s="24"/>
      <c r="O14" s="1"/>
      <c r="P14" s="24"/>
      <c r="Q14" s="1"/>
      <c r="R14" s="24"/>
      <c r="S14" s="1"/>
      <c r="T14" s="24"/>
      <c r="U14" s="1"/>
      <c r="V14"/>
    </row>
    <row r="15" spans="1:22" x14ac:dyDescent="0.25">
      <c r="B15" s="24"/>
      <c r="C15" s="1"/>
      <c r="D15" s="24"/>
      <c r="E15" s="1"/>
      <c r="F15" s="24"/>
      <c r="G15" s="1"/>
      <c r="H15" s="24"/>
      <c r="I15" s="1"/>
      <c r="J15" s="24"/>
      <c r="K15" s="1"/>
      <c r="L15" s="24"/>
      <c r="M15" s="1"/>
      <c r="N15" s="24"/>
      <c r="O15" s="1"/>
      <c r="P15" s="24"/>
      <c r="Q15" s="1"/>
      <c r="R15" s="24"/>
      <c r="S15" s="1"/>
      <c r="T15" s="24"/>
      <c r="U15" s="1"/>
      <c r="V15"/>
    </row>
    <row r="16" spans="1:22" x14ac:dyDescent="0.25">
      <c r="B16" s="25"/>
      <c r="C16" s="15"/>
      <c r="D16" s="25"/>
      <c r="E16" s="15"/>
      <c r="F16" s="25"/>
      <c r="G16" s="15"/>
      <c r="H16" s="25"/>
      <c r="I16" s="15"/>
      <c r="J16" s="25"/>
      <c r="K16" s="15"/>
      <c r="L16" s="25"/>
      <c r="M16" s="15"/>
      <c r="N16" s="25"/>
      <c r="O16" s="15"/>
      <c r="P16" s="25"/>
      <c r="Q16" s="15"/>
      <c r="R16" s="25"/>
      <c r="S16" s="15"/>
      <c r="T16" s="25"/>
      <c r="U16" s="15"/>
      <c r="V16" s="1" t="s">
        <v>4</v>
      </c>
    </row>
    <row r="17" spans="1:22" ht="15.75" x14ac:dyDescent="0.25">
      <c r="A17" s="22" t="s">
        <v>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5.75" x14ac:dyDescent="0.25">
      <c r="A18" s="22" t="s">
        <v>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15.75" x14ac:dyDescent="0.25">
      <c r="A19" s="22" t="s">
        <v>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</sheetData>
  <mergeCells count="11">
    <mergeCell ref="A1:XFD8"/>
    <mergeCell ref="N12:N16"/>
    <mergeCell ref="P12:P16"/>
    <mergeCell ref="R12:R16"/>
    <mergeCell ref="T12:T16"/>
    <mergeCell ref="B12:B16"/>
    <mergeCell ref="D12:D16"/>
    <mergeCell ref="F12:F16"/>
    <mergeCell ref="H12:H16"/>
    <mergeCell ref="J12:J16"/>
    <mergeCell ref="L12:L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51"/>
  <sheetViews>
    <sheetView tabSelected="1" workbookViewId="0">
      <selection activeCell="K42" sqref="K42"/>
    </sheetView>
  </sheetViews>
  <sheetFormatPr baseColWidth="10" defaultRowHeight="15" x14ac:dyDescent="0.25"/>
  <cols>
    <col min="4" max="4" width="12.85546875" customWidth="1"/>
    <col min="5" max="5" width="14.28515625" customWidth="1"/>
    <col min="6" max="6" width="12" customWidth="1"/>
  </cols>
  <sheetData>
    <row r="2" spans="1:2" x14ac:dyDescent="0.25">
      <c r="A2">
        <v>20.023</v>
      </c>
      <c r="B2" s="26">
        <v>1</v>
      </c>
    </row>
    <row r="3" spans="1:2" x14ac:dyDescent="0.25">
      <c r="A3">
        <v>20.02</v>
      </c>
      <c r="B3" s="26"/>
    </row>
    <row r="4" spans="1:2" x14ac:dyDescent="0.25">
      <c r="A4">
        <v>20.018000000000001</v>
      </c>
      <c r="B4" s="26"/>
    </row>
    <row r="5" spans="1:2" x14ac:dyDescent="0.25">
      <c r="A5">
        <v>20.016999999999999</v>
      </c>
      <c r="B5" s="26"/>
    </row>
    <row r="6" spans="1:2" x14ac:dyDescent="0.25">
      <c r="A6">
        <v>20.02</v>
      </c>
      <c r="B6" s="26"/>
    </row>
    <row r="7" spans="1:2" x14ac:dyDescent="0.25">
      <c r="A7">
        <v>20.015000000000001</v>
      </c>
      <c r="B7" s="26">
        <v>2</v>
      </c>
    </row>
    <row r="8" spans="1:2" x14ac:dyDescent="0.25">
      <c r="A8">
        <v>20.024000000000001</v>
      </c>
      <c r="B8" s="26"/>
    </row>
    <row r="9" spans="1:2" x14ac:dyDescent="0.25">
      <c r="A9">
        <v>20.013000000000002</v>
      </c>
      <c r="B9" s="26"/>
    </row>
    <row r="10" spans="1:2" x14ac:dyDescent="0.25">
      <c r="A10">
        <v>20.018999999999998</v>
      </c>
      <c r="B10" s="26"/>
    </row>
    <row r="11" spans="1:2" x14ac:dyDescent="0.25">
      <c r="A11">
        <v>20.02</v>
      </c>
      <c r="B11" s="26"/>
    </row>
    <row r="12" spans="1:2" x14ac:dyDescent="0.25">
      <c r="A12">
        <v>20.013000000000002</v>
      </c>
      <c r="B12" s="26">
        <v>3</v>
      </c>
    </row>
    <row r="13" spans="1:2" x14ac:dyDescent="0.25">
      <c r="A13">
        <v>20.02</v>
      </c>
      <c r="B13" s="26"/>
    </row>
    <row r="14" spans="1:2" x14ac:dyDescent="0.25">
      <c r="A14">
        <v>20.024000000000001</v>
      </c>
      <c r="B14" s="26"/>
    </row>
    <row r="15" spans="1:2" x14ac:dyDescent="0.25">
      <c r="A15">
        <v>20.015999999999998</v>
      </c>
      <c r="B15" s="26"/>
    </row>
    <row r="16" spans="1:2" x14ac:dyDescent="0.25">
      <c r="A16">
        <v>20.015000000000001</v>
      </c>
      <c r="B16" s="26"/>
    </row>
    <row r="17" spans="1:11" x14ac:dyDescent="0.25">
      <c r="A17">
        <v>20.02</v>
      </c>
      <c r="B17" s="26">
        <v>4</v>
      </c>
    </row>
    <row r="18" spans="1:11" x14ac:dyDescent="0.25">
      <c r="A18">
        <v>20.012</v>
      </c>
      <c r="B18" s="26"/>
    </row>
    <row r="19" spans="1:11" x14ac:dyDescent="0.25">
      <c r="A19">
        <v>20.013000000000002</v>
      </c>
      <c r="B19" s="26"/>
    </row>
    <row r="20" spans="1:11" ht="27" customHeight="1" x14ac:dyDescent="0.25">
      <c r="A20">
        <v>20.018999999999998</v>
      </c>
      <c r="B20" s="26"/>
    </row>
    <row r="21" spans="1:11" x14ac:dyDescent="0.25">
      <c r="A21">
        <v>20.016999999999999</v>
      </c>
      <c r="B21" s="26"/>
    </row>
    <row r="22" spans="1:11" x14ac:dyDescent="0.25">
      <c r="A22">
        <v>20.033999999999999</v>
      </c>
      <c r="B22" s="26">
        <v>5</v>
      </c>
      <c r="E22" s="6" t="s">
        <v>7</v>
      </c>
      <c r="F22" s="9"/>
      <c r="H22" s="6" t="s">
        <v>1</v>
      </c>
      <c r="I22" s="11"/>
    </row>
    <row r="23" spans="1:11" x14ac:dyDescent="0.25">
      <c r="A23">
        <v>20.021000000000001</v>
      </c>
      <c r="B23" s="26"/>
      <c r="E23" s="6" t="s">
        <v>8</v>
      </c>
      <c r="F23" s="9"/>
      <c r="H23" s="6" t="s">
        <v>3</v>
      </c>
      <c r="I23" s="11"/>
    </row>
    <row r="24" spans="1:11" ht="28.5" customHeight="1" x14ac:dyDescent="0.25">
      <c r="A24">
        <v>20.021000000000001</v>
      </c>
      <c r="B24" s="26"/>
      <c r="E24" s="7" t="s">
        <v>9</v>
      </c>
      <c r="F24" s="9"/>
    </row>
    <row r="25" spans="1:11" ht="30" x14ac:dyDescent="0.25">
      <c r="A25">
        <v>20.024999999999999</v>
      </c>
      <c r="B25" s="26"/>
      <c r="E25" s="8" t="s">
        <v>10</v>
      </c>
      <c r="F25" s="10"/>
    </row>
    <row r="26" spans="1:11" x14ac:dyDescent="0.25">
      <c r="A26">
        <v>20.018000000000001</v>
      </c>
      <c r="B26" s="26"/>
    </row>
    <row r="27" spans="1:11" ht="30" x14ac:dyDescent="0.25">
      <c r="A27">
        <v>20.012</v>
      </c>
      <c r="B27" s="26">
        <v>6</v>
      </c>
      <c r="E27" s="27" t="s">
        <v>5</v>
      </c>
      <c r="F27" s="27"/>
      <c r="G27" s="5" t="s">
        <v>6</v>
      </c>
      <c r="H27" s="5" t="s">
        <v>11</v>
      </c>
      <c r="I27" s="5" t="s">
        <v>12</v>
      </c>
      <c r="J27" s="5" t="s">
        <v>14</v>
      </c>
      <c r="K27" s="5" t="s">
        <v>13</v>
      </c>
    </row>
    <row r="28" spans="1:11" x14ac:dyDescent="0.25">
      <c r="A28">
        <v>20.018999999999998</v>
      </c>
      <c r="B28" s="26"/>
      <c r="E28" s="2">
        <f>F22</f>
        <v>0</v>
      </c>
      <c r="F28" s="20">
        <f>E28+$F$25</f>
        <v>0</v>
      </c>
      <c r="G28" s="1"/>
      <c r="H28" s="1"/>
      <c r="I28" s="4" t="str">
        <f>IF($G$35,H28/$G$35,"")</f>
        <v/>
      </c>
      <c r="J28" s="12"/>
      <c r="K28" s="13" t="str">
        <f>IF($I$23,(F28-$I$22)/$I$23,"")</f>
        <v/>
      </c>
    </row>
    <row r="29" spans="1:11" x14ac:dyDescent="0.25">
      <c r="A29">
        <v>20.021000000000001</v>
      </c>
      <c r="B29" s="26"/>
      <c r="E29" s="21">
        <f>F28</f>
        <v>0</v>
      </c>
      <c r="F29" s="20">
        <f t="shared" ref="F29:F34" si="0">E29+$F$25</f>
        <v>0</v>
      </c>
      <c r="G29" s="1"/>
      <c r="H29" s="1"/>
      <c r="I29" s="4" t="str">
        <f t="shared" ref="I29:I34" si="1">IF($G$35,H29/$G$35,"")</f>
        <v/>
      </c>
      <c r="J29" s="12"/>
      <c r="K29" s="13" t="str">
        <f t="shared" ref="K29:K33" si="2">IF($I$23,(F29-$I$22)/$I$23,"")</f>
        <v/>
      </c>
    </row>
    <row r="30" spans="1:11" x14ac:dyDescent="0.25">
      <c r="A30">
        <v>20.015000000000001</v>
      </c>
      <c r="B30" s="26"/>
      <c r="E30" s="21">
        <f t="shared" ref="E30:E34" si="3">F29</f>
        <v>0</v>
      </c>
      <c r="F30" s="20">
        <f t="shared" si="0"/>
        <v>0</v>
      </c>
      <c r="G30" s="1"/>
      <c r="H30" s="1"/>
      <c r="I30" s="4" t="str">
        <f t="shared" si="1"/>
        <v/>
      </c>
      <c r="J30" s="12"/>
      <c r="K30" s="13" t="str">
        <f t="shared" si="2"/>
        <v/>
      </c>
    </row>
    <row r="31" spans="1:11" x14ac:dyDescent="0.25">
      <c r="A31">
        <v>20.02</v>
      </c>
      <c r="B31" s="26"/>
      <c r="E31" s="21">
        <f t="shared" si="3"/>
        <v>0</v>
      </c>
      <c r="F31" s="20">
        <f t="shared" si="0"/>
        <v>0</v>
      </c>
      <c r="G31" s="1"/>
      <c r="H31" s="1"/>
      <c r="I31" s="4" t="str">
        <f t="shared" si="1"/>
        <v/>
      </c>
      <c r="J31" s="12"/>
      <c r="K31" s="13" t="str">
        <f t="shared" si="2"/>
        <v/>
      </c>
    </row>
    <row r="32" spans="1:11" x14ac:dyDescent="0.25">
      <c r="A32">
        <v>20.018000000000001</v>
      </c>
      <c r="B32" s="26">
        <v>7</v>
      </c>
      <c r="E32" s="21">
        <f t="shared" si="3"/>
        <v>0</v>
      </c>
      <c r="F32" s="20">
        <f t="shared" si="0"/>
        <v>0</v>
      </c>
      <c r="G32" s="1"/>
      <c r="H32" s="1"/>
      <c r="I32" s="4" t="str">
        <f t="shared" si="1"/>
        <v/>
      </c>
      <c r="J32" s="12"/>
      <c r="K32" s="13" t="str">
        <f t="shared" si="2"/>
        <v/>
      </c>
    </row>
    <row r="33" spans="1:11" x14ac:dyDescent="0.25">
      <c r="A33">
        <v>20.024000000000001</v>
      </c>
      <c r="B33" s="26"/>
      <c r="E33" s="21">
        <f t="shared" si="3"/>
        <v>0</v>
      </c>
      <c r="F33" s="20">
        <f t="shared" si="0"/>
        <v>0</v>
      </c>
      <c r="G33" s="1"/>
      <c r="H33" s="1"/>
      <c r="I33" s="4" t="str">
        <f t="shared" si="1"/>
        <v/>
      </c>
      <c r="J33" s="12"/>
      <c r="K33" s="13" t="str">
        <f t="shared" si="2"/>
        <v/>
      </c>
    </row>
    <row r="34" spans="1:11" x14ac:dyDescent="0.25">
      <c r="A34">
        <v>20.023</v>
      </c>
      <c r="B34" s="26"/>
      <c r="E34" s="21">
        <f t="shared" si="3"/>
        <v>0</v>
      </c>
      <c r="F34" s="20">
        <f t="shared" si="0"/>
        <v>0</v>
      </c>
      <c r="G34" s="1"/>
      <c r="H34" s="1"/>
      <c r="I34" s="4" t="str">
        <f t="shared" si="1"/>
        <v/>
      </c>
    </row>
    <row r="35" spans="1:11" x14ac:dyDescent="0.25">
      <c r="A35">
        <v>20.015999999999998</v>
      </c>
      <c r="B35" s="26"/>
      <c r="G35" s="3">
        <f>SUM(G28:G34)</f>
        <v>0</v>
      </c>
    </row>
    <row r="36" spans="1:11" x14ac:dyDescent="0.25">
      <c r="A36">
        <v>20.021999999999998</v>
      </c>
      <c r="B36" s="26"/>
    </row>
    <row r="37" spans="1:11" x14ac:dyDescent="0.25">
      <c r="A37">
        <v>20.015999999999998</v>
      </c>
      <c r="B37" s="26">
        <v>8</v>
      </c>
    </row>
    <row r="38" spans="1:11" x14ac:dyDescent="0.25">
      <c r="A38">
        <v>20.013999999999999</v>
      </c>
      <c r="B38" s="26"/>
    </row>
    <row r="39" spans="1:11" x14ac:dyDescent="0.25">
      <c r="A39">
        <v>20.018999999999998</v>
      </c>
      <c r="B39" s="26"/>
    </row>
    <row r="40" spans="1:11" x14ac:dyDescent="0.25">
      <c r="A40">
        <v>20.018999999999998</v>
      </c>
      <c r="B40" s="26"/>
    </row>
    <row r="41" spans="1:11" x14ac:dyDescent="0.25">
      <c r="A41">
        <v>20.016999999999999</v>
      </c>
      <c r="B41" s="26"/>
    </row>
    <row r="42" spans="1:11" x14ac:dyDescent="0.25">
      <c r="A42">
        <v>20.015999999999998</v>
      </c>
      <c r="B42" s="26">
        <v>9</v>
      </c>
    </row>
    <row r="43" spans="1:11" x14ac:dyDescent="0.25">
      <c r="A43">
        <v>20.021000000000001</v>
      </c>
      <c r="B43" s="26"/>
    </row>
    <row r="44" spans="1:11" x14ac:dyDescent="0.25">
      <c r="A44">
        <v>20.024000000000001</v>
      </c>
      <c r="B44" s="26"/>
    </row>
    <row r="45" spans="1:11" x14ac:dyDescent="0.25">
      <c r="A45">
        <v>20.018000000000001</v>
      </c>
      <c r="B45" s="26"/>
    </row>
    <row r="46" spans="1:11" x14ac:dyDescent="0.25">
      <c r="A46">
        <v>20.026</v>
      </c>
      <c r="B46" s="26"/>
    </row>
    <row r="47" spans="1:11" x14ac:dyDescent="0.25">
      <c r="A47">
        <v>20.013999999999999</v>
      </c>
      <c r="B47" s="26">
        <v>10</v>
      </c>
    </row>
    <row r="48" spans="1:11" x14ac:dyDescent="0.25">
      <c r="A48">
        <v>20.018999999999998</v>
      </c>
      <c r="B48" s="26"/>
    </row>
    <row r="49" spans="1:2" x14ac:dyDescent="0.25">
      <c r="A49">
        <v>20.026</v>
      </c>
      <c r="B49" s="26"/>
    </row>
    <row r="50" spans="1:2" x14ac:dyDescent="0.25">
      <c r="A50">
        <v>20.015999999999998</v>
      </c>
      <c r="B50" s="26"/>
    </row>
    <row r="51" spans="1:2" x14ac:dyDescent="0.25">
      <c r="A51">
        <v>20.021999999999998</v>
      </c>
      <c r="B51" s="26"/>
    </row>
  </sheetData>
  <sheetProtection selectLockedCells="1" selectUnlockedCells="1"/>
  <mergeCells count="11">
    <mergeCell ref="B32:B36"/>
    <mergeCell ref="B37:B41"/>
    <mergeCell ref="B42:B46"/>
    <mergeCell ref="B47:B51"/>
    <mergeCell ref="E27:F27"/>
    <mergeCell ref="B27:B31"/>
    <mergeCell ref="B2:B6"/>
    <mergeCell ref="B7:B11"/>
    <mergeCell ref="B12:B16"/>
    <mergeCell ref="B17:B21"/>
    <mergeCell ref="B22:B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1er relevé</vt:lpstr>
      <vt:lpstr>2ème relevé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JAUBERT</dc:creator>
  <cp:lastModifiedBy>Stéphane JAUBERT</cp:lastModifiedBy>
  <dcterms:created xsi:type="dcterms:W3CDTF">2019-04-17T13:02:02Z</dcterms:created>
  <dcterms:modified xsi:type="dcterms:W3CDTF">2022-09-28T11:50:25Z</dcterms:modified>
</cp:coreProperties>
</file>