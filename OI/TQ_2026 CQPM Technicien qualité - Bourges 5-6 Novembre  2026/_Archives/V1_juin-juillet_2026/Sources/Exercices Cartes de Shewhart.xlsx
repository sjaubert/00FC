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TS ATI/OI/MSP SPC/"/>
    </mc:Choice>
  </mc:AlternateContent>
  <xr:revisionPtr revIDLastSave="0" documentId="8_{8D8BA323-7246-463D-AA01-AA51975D78B7}" xr6:coauthVersionLast="47" xr6:coauthVersionMax="47" xr10:uidLastSave="{00000000-0000-0000-0000-000000000000}"/>
  <bookViews>
    <workbookView xWindow="-120" yWindow="-120" windowWidth="29040" windowHeight="15840" xr2:uid="{B2D75090-8B5E-45C8-9892-60BA43124679}"/>
  </bookViews>
  <sheets>
    <sheet name="SP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3" i="1"/>
  <c r="H23" i="1" l="1"/>
  <c r="I23" i="1" s="1"/>
  <c r="G23" i="1"/>
  <c r="H24" i="1" s="1"/>
  <c r="I24" i="1" s="1"/>
  <c r="F4" i="1"/>
  <c r="G25" i="1" l="1"/>
  <c r="G24" i="1"/>
  <c r="H25" i="1"/>
  <c r="I25" i="1" s="1"/>
</calcChain>
</file>

<file path=xl/sharedStrings.xml><?xml version="1.0" encoding="utf-8"?>
<sst xmlns="http://schemas.openxmlformats.org/spreadsheetml/2006/main" count="9" uniqueCount="9">
  <si>
    <t>X</t>
  </si>
  <si>
    <t>p</t>
  </si>
  <si>
    <t>n =</t>
  </si>
  <si>
    <t>(taille de chaque lot)</t>
  </si>
  <si>
    <t>Nombre de données :</t>
  </si>
  <si>
    <t>LC</t>
  </si>
  <si>
    <t>LSC</t>
  </si>
  <si>
    <t>LIC</t>
  </si>
  <si>
    <t>carte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</si>
</sst>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'SPC1'!$B$3:$B$122</c:f>
              <c:numCache>
                <c:formatCode>General</c:formatCode>
                <c:ptCount val="120"/>
                <c:pt idx="0">
                  <c:v>0.02</c:v>
                </c:pt>
                <c:pt idx="1">
                  <c:v>2.6666666666666668E-2</c:v>
                </c:pt>
                <c:pt idx="2">
                  <c:v>1.3333333333333334E-2</c:v>
                </c:pt>
                <c:pt idx="3">
                  <c:v>3.3333333333333333E-2</c:v>
                </c:pt>
                <c:pt idx="4">
                  <c:v>0.04</c:v>
                </c:pt>
                <c:pt idx="5">
                  <c:v>6.6666666666666666E-2</c:v>
                </c:pt>
                <c:pt idx="6">
                  <c:v>3.3333333333333333E-2</c:v>
                </c:pt>
                <c:pt idx="7">
                  <c:v>2.6666666666666668E-2</c:v>
                </c:pt>
                <c:pt idx="8">
                  <c:v>0.02</c:v>
                </c:pt>
                <c:pt idx="9">
                  <c:v>7.3333333333333334E-2</c:v>
                </c:pt>
                <c:pt idx="10">
                  <c:v>0.06</c:v>
                </c:pt>
                <c:pt idx="11">
                  <c:v>1.3333333333333334E-2</c:v>
                </c:pt>
                <c:pt idx="12">
                  <c:v>4.6666666666666669E-2</c:v>
                </c:pt>
                <c:pt idx="13">
                  <c:v>5.3333333333333337E-2</c:v>
                </c:pt>
                <c:pt idx="14">
                  <c:v>2.6666666666666668E-2</c:v>
                </c:pt>
                <c:pt idx="15">
                  <c:v>1.3333333333333334E-2</c:v>
                </c:pt>
                <c:pt idx="16">
                  <c:v>0.04</c:v>
                </c:pt>
                <c:pt idx="17">
                  <c:v>3.3333333333333333E-2</c:v>
                </c:pt>
                <c:pt idx="18">
                  <c:v>2.6666666666666668E-2</c:v>
                </c:pt>
                <c:pt idx="19">
                  <c:v>0.02</c:v>
                </c:pt>
                <c:pt idx="20">
                  <c:v>0.04</c:v>
                </c:pt>
                <c:pt idx="21">
                  <c:v>4.6666666666666669E-2</c:v>
                </c:pt>
                <c:pt idx="22">
                  <c:v>0.06</c:v>
                </c:pt>
                <c:pt idx="23">
                  <c:v>6.6666666666666666E-2</c:v>
                </c:pt>
                <c:pt idx="24">
                  <c:v>9.3333333333333338E-2</c:v>
                </c:pt>
                <c:pt idx="25">
                  <c:v>8.666666666666667E-2</c:v>
                </c:pt>
                <c:pt idx="26">
                  <c:v>6.6666666666666666E-2</c:v>
                </c:pt>
                <c:pt idx="27">
                  <c:v>0.06</c:v>
                </c:pt>
                <c:pt idx="28">
                  <c:v>5.3333333333333337E-2</c:v>
                </c:pt>
                <c:pt idx="29">
                  <c:v>6.6666666666666666E-2</c:v>
                </c:pt>
                <c:pt idx="30">
                  <c:v>0.02</c:v>
                </c:pt>
                <c:pt idx="31">
                  <c:v>1.3333333333333334E-2</c:v>
                </c:pt>
                <c:pt idx="32">
                  <c:v>2.6666666666666668E-2</c:v>
                </c:pt>
                <c:pt idx="33">
                  <c:v>0.04</c:v>
                </c:pt>
                <c:pt idx="34">
                  <c:v>2.6666666666666668E-2</c:v>
                </c:pt>
                <c:pt idx="35">
                  <c:v>6.6666666666666666E-2</c:v>
                </c:pt>
                <c:pt idx="36">
                  <c:v>5.3333333333333337E-2</c:v>
                </c:pt>
                <c:pt idx="37">
                  <c:v>4.6666666666666669E-2</c:v>
                </c:pt>
                <c:pt idx="38">
                  <c:v>9.3333333333333338E-2</c:v>
                </c:pt>
                <c:pt idx="39">
                  <c:v>8.666666666666667E-2</c:v>
                </c:pt>
                <c:pt idx="40">
                  <c:v>2.6666666666666668E-2</c:v>
                </c:pt>
                <c:pt idx="41">
                  <c:v>5.3333333333333337E-2</c:v>
                </c:pt>
                <c:pt idx="42">
                  <c:v>2.6666666666666668E-2</c:v>
                </c:pt>
                <c:pt idx="43">
                  <c:v>6.6666666666666666E-2</c:v>
                </c:pt>
                <c:pt idx="44">
                  <c:v>9.3333333333333338E-2</c:v>
                </c:pt>
                <c:pt idx="45">
                  <c:v>5.3333333333333337E-2</c:v>
                </c:pt>
                <c:pt idx="46">
                  <c:v>0.08</c:v>
                </c:pt>
                <c:pt idx="47">
                  <c:v>2.6666666666666668E-2</c:v>
                </c:pt>
                <c:pt idx="48">
                  <c:v>3.3333333333333333E-2</c:v>
                </c:pt>
                <c:pt idx="49">
                  <c:v>9.3333333333333338E-2</c:v>
                </c:pt>
                <c:pt idx="50">
                  <c:v>1.3333333333333334E-2</c:v>
                </c:pt>
                <c:pt idx="51">
                  <c:v>5.3333333333333337E-2</c:v>
                </c:pt>
                <c:pt idx="52">
                  <c:v>0.04</c:v>
                </c:pt>
                <c:pt idx="53">
                  <c:v>6.6666666666666666E-2</c:v>
                </c:pt>
                <c:pt idx="54">
                  <c:v>5.3333333333333337E-2</c:v>
                </c:pt>
                <c:pt idx="55">
                  <c:v>0.04</c:v>
                </c:pt>
                <c:pt idx="56">
                  <c:v>2.6666666666666668E-2</c:v>
                </c:pt>
                <c:pt idx="57">
                  <c:v>0.04</c:v>
                </c:pt>
                <c:pt idx="58">
                  <c:v>0.1</c:v>
                </c:pt>
                <c:pt idx="59">
                  <c:v>2.6666666666666668E-2</c:v>
                </c:pt>
                <c:pt idx="60">
                  <c:v>4.6666666666666669E-2</c:v>
                </c:pt>
                <c:pt idx="61">
                  <c:v>1.3333333333333334E-2</c:v>
                </c:pt>
                <c:pt idx="62">
                  <c:v>0.04</c:v>
                </c:pt>
                <c:pt idx="63">
                  <c:v>0.06</c:v>
                </c:pt>
                <c:pt idx="64">
                  <c:v>6.6666666666666666E-2</c:v>
                </c:pt>
                <c:pt idx="65">
                  <c:v>4.6666666666666669E-2</c:v>
                </c:pt>
                <c:pt idx="66">
                  <c:v>0.06</c:v>
                </c:pt>
                <c:pt idx="67">
                  <c:v>0.10666666666666667</c:v>
                </c:pt>
                <c:pt idx="68">
                  <c:v>7.3333333333333334E-2</c:v>
                </c:pt>
                <c:pt idx="69">
                  <c:v>8.666666666666667E-2</c:v>
                </c:pt>
                <c:pt idx="70">
                  <c:v>0.02</c:v>
                </c:pt>
                <c:pt idx="71">
                  <c:v>8.666666666666667E-2</c:v>
                </c:pt>
                <c:pt idx="72">
                  <c:v>0.02</c:v>
                </c:pt>
                <c:pt idx="73">
                  <c:v>4.6666666666666669E-2</c:v>
                </c:pt>
                <c:pt idx="74">
                  <c:v>0.02</c:v>
                </c:pt>
                <c:pt idx="75">
                  <c:v>1.3333333333333334E-2</c:v>
                </c:pt>
                <c:pt idx="76">
                  <c:v>0.06</c:v>
                </c:pt>
                <c:pt idx="77">
                  <c:v>2.6666666666666668E-2</c:v>
                </c:pt>
                <c:pt idx="78">
                  <c:v>8.666666666666667E-2</c:v>
                </c:pt>
                <c:pt idx="79">
                  <c:v>0.02</c:v>
                </c:pt>
                <c:pt idx="80">
                  <c:v>0.04</c:v>
                </c:pt>
                <c:pt idx="81">
                  <c:v>6.6666666666666671E-3</c:v>
                </c:pt>
                <c:pt idx="82">
                  <c:v>2.6666666666666668E-2</c:v>
                </c:pt>
                <c:pt idx="83">
                  <c:v>8.666666666666667E-2</c:v>
                </c:pt>
                <c:pt idx="84">
                  <c:v>0.08</c:v>
                </c:pt>
                <c:pt idx="85">
                  <c:v>6.6666666666666666E-2</c:v>
                </c:pt>
                <c:pt idx="86">
                  <c:v>1.3333333333333334E-2</c:v>
                </c:pt>
                <c:pt idx="87">
                  <c:v>3.3333333333333333E-2</c:v>
                </c:pt>
                <c:pt idx="88">
                  <c:v>4.6666666666666669E-2</c:v>
                </c:pt>
                <c:pt idx="89">
                  <c:v>6.6666666666666666E-2</c:v>
                </c:pt>
                <c:pt idx="90">
                  <c:v>2.6666666666666668E-2</c:v>
                </c:pt>
                <c:pt idx="91">
                  <c:v>1.3333333333333334E-2</c:v>
                </c:pt>
                <c:pt idx="92">
                  <c:v>1.3333333333333334E-2</c:v>
                </c:pt>
                <c:pt idx="93">
                  <c:v>0.04</c:v>
                </c:pt>
                <c:pt idx="94">
                  <c:v>2.6666666666666668E-2</c:v>
                </c:pt>
                <c:pt idx="95">
                  <c:v>6.6666666666666666E-2</c:v>
                </c:pt>
                <c:pt idx="96">
                  <c:v>5.3333333333333337E-2</c:v>
                </c:pt>
                <c:pt idx="97">
                  <c:v>9.3333333333333338E-2</c:v>
                </c:pt>
                <c:pt idx="98">
                  <c:v>0.04</c:v>
                </c:pt>
                <c:pt idx="99">
                  <c:v>2.6666666666666668E-2</c:v>
                </c:pt>
                <c:pt idx="100">
                  <c:v>4.6666666666666669E-2</c:v>
                </c:pt>
                <c:pt idx="101">
                  <c:v>2.6666666666666668E-2</c:v>
                </c:pt>
                <c:pt idx="102">
                  <c:v>5.3333333333333337E-2</c:v>
                </c:pt>
                <c:pt idx="103">
                  <c:v>4.6666666666666669E-2</c:v>
                </c:pt>
                <c:pt idx="104">
                  <c:v>0.02</c:v>
                </c:pt>
                <c:pt idx="105">
                  <c:v>0.04</c:v>
                </c:pt>
                <c:pt idx="106">
                  <c:v>4.6666666666666669E-2</c:v>
                </c:pt>
                <c:pt idx="107">
                  <c:v>5.3333333333333337E-2</c:v>
                </c:pt>
                <c:pt idx="108">
                  <c:v>2.6666666666666668E-2</c:v>
                </c:pt>
                <c:pt idx="109">
                  <c:v>0.08</c:v>
                </c:pt>
                <c:pt idx="110">
                  <c:v>0.04</c:v>
                </c:pt>
                <c:pt idx="111">
                  <c:v>0.11333333333333333</c:v>
                </c:pt>
                <c:pt idx="112">
                  <c:v>3.3333333333333333E-2</c:v>
                </c:pt>
                <c:pt idx="113">
                  <c:v>6.6666666666666666E-2</c:v>
                </c:pt>
                <c:pt idx="114">
                  <c:v>5.3333333333333337E-2</c:v>
                </c:pt>
                <c:pt idx="115">
                  <c:v>0.06</c:v>
                </c:pt>
                <c:pt idx="116">
                  <c:v>7.3333333333333334E-2</c:v>
                </c:pt>
                <c:pt idx="117">
                  <c:v>4.6666666666666669E-2</c:v>
                </c:pt>
                <c:pt idx="118">
                  <c:v>1.3333333333333334E-2</c:v>
                </c:pt>
                <c:pt idx="119">
                  <c:v>5.3333333333333337E-2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F-400B-9571-47B667E2B7F1}"/>
            </c:ext>
          </c:extLst>
        </c:ser>
        <c:ser>
          <c:idx val="1"/>
          <c:order val="1"/>
          <c:tx>
            <c:v>LC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'SPC1'!$G$22:$H$22</c:f>
              <c:numCache>
                <c:formatCode>General</c:formatCode>
                <c:ptCount val="2"/>
                <c:pt idx="0">
                  <c:v>1</c:v>
                </c:pt>
                <c:pt idx="1">
                  <c:v>120</c:v>
                </c:pt>
              </c:numCache>
            </c:numRef>
          </c:xVal>
          <c:yVal>
            <c:numRef>
              <c:f>'SPC1'!$G$23:$H$23</c:f>
              <c:numCache>
                <c:formatCode>General</c:formatCode>
                <c:ptCount val="2"/>
                <c:pt idx="0">
                  <c:v>4.7277777777777794E-2</c:v>
                </c:pt>
                <c:pt idx="1">
                  <c:v>4.7277777777777794E-2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AF-400B-9571-47B667E2B7F1}"/>
            </c:ext>
          </c:extLst>
        </c:ser>
        <c:ser>
          <c:idx val="2"/>
          <c:order val="2"/>
          <c:tx>
            <c:v>LSC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'SPC1'!$G$22:$H$22</c:f>
              <c:numCache>
                <c:formatCode>General</c:formatCode>
                <c:ptCount val="2"/>
                <c:pt idx="0">
                  <c:v>1</c:v>
                </c:pt>
                <c:pt idx="1">
                  <c:v>120</c:v>
                </c:pt>
              </c:numCache>
            </c:numRef>
          </c:xVal>
          <c:yVal>
            <c:numRef>
              <c:f>'SPC1'!$G$24:$H$24</c:f>
              <c:numCache>
                <c:formatCode>General</c:formatCode>
                <c:ptCount val="2"/>
                <c:pt idx="0">
                  <c:v>9.9263885252471179E-2</c:v>
                </c:pt>
                <c:pt idx="1">
                  <c:v>9.9263885252471179E-2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AF-400B-9571-47B667E2B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241120"/>
        <c:axId val="667374288"/>
      </c:scatterChart>
      <c:valAx>
        <c:axId val="82924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7374288"/>
        <c:crosses val="autoZero"/>
        <c:crossBetween val="midCat"/>
        <c:majorUnit val="2"/>
      </c:valAx>
      <c:valAx>
        <c:axId val="6673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9241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Carte np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'SPC1'!$A$3:$A$122</c:f>
              <c:numCache>
                <c:formatCode>General</c:formatCode>
                <c:ptCount val="12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11</c:v>
                </c:pt>
                <c:pt idx="10">
                  <c:v>9</c:v>
                </c:pt>
                <c:pt idx="11">
                  <c:v>2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6</c:v>
                </c:pt>
                <c:pt idx="21">
                  <c:v>7</c:v>
                </c:pt>
                <c:pt idx="22">
                  <c:v>9</c:v>
                </c:pt>
                <c:pt idx="23">
                  <c:v>10</c:v>
                </c:pt>
                <c:pt idx="24">
                  <c:v>14</c:v>
                </c:pt>
                <c:pt idx="25">
                  <c:v>13</c:v>
                </c:pt>
                <c:pt idx="26">
                  <c:v>10</c:v>
                </c:pt>
                <c:pt idx="27">
                  <c:v>9</c:v>
                </c:pt>
                <c:pt idx="28">
                  <c:v>8</c:v>
                </c:pt>
                <c:pt idx="29">
                  <c:v>10</c:v>
                </c:pt>
                <c:pt idx="30">
                  <c:v>3</c:v>
                </c:pt>
                <c:pt idx="31">
                  <c:v>2</c:v>
                </c:pt>
                <c:pt idx="32">
                  <c:v>4</c:v>
                </c:pt>
                <c:pt idx="33">
                  <c:v>6</c:v>
                </c:pt>
                <c:pt idx="34">
                  <c:v>4</c:v>
                </c:pt>
                <c:pt idx="35">
                  <c:v>10</c:v>
                </c:pt>
                <c:pt idx="36">
                  <c:v>8</c:v>
                </c:pt>
                <c:pt idx="37">
                  <c:v>7</c:v>
                </c:pt>
                <c:pt idx="38">
                  <c:v>14</c:v>
                </c:pt>
                <c:pt idx="39">
                  <c:v>13</c:v>
                </c:pt>
                <c:pt idx="40">
                  <c:v>4</c:v>
                </c:pt>
                <c:pt idx="41">
                  <c:v>8</c:v>
                </c:pt>
                <c:pt idx="42">
                  <c:v>4</c:v>
                </c:pt>
                <c:pt idx="43">
                  <c:v>10</c:v>
                </c:pt>
                <c:pt idx="44">
                  <c:v>14</c:v>
                </c:pt>
                <c:pt idx="45">
                  <c:v>8</c:v>
                </c:pt>
                <c:pt idx="46">
                  <c:v>12</c:v>
                </c:pt>
                <c:pt idx="47">
                  <c:v>4</c:v>
                </c:pt>
                <c:pt idx="48">
                  <c:v>5</c:v>
                </c:pt>
                <c:pt idx="49">
                  <c:v>14</c:v>
                </c:pt>
                <c:pt idx="50">
                  <c:v>2</c:v>
                </c:pt>
                <c:pt idx="51">
                  <c:v>8</c:v>
                </c:pt>
                <c:pt idx="52">
                  <c:v>6</c:v>
                </c:pt>
                <c:pt idx="53">
                  <c:v>10</c:v>
                </c:pt>
                <c:pt idx="54">
                  <c:v>8</c:v>
                </c:pt>
                <c:pt idx="55">
                  <c:v>6</c:v>
                </c:pt>
                <c:pt idx="56">
                  <c:v>4</c:v>
                </c:pt>
                <c:pt idx="57">
                  <c:v>6</c:v>
                </c:pt>
                <c:pt idx="58">
                  <c:v>15</c:v>
                </c:pt>
                <c:pt idx="59">
                  <c:v>4</c:v>
                </c:pt>
                <c:pt idx="60">
                  <c:v>7</c:v>
                </c:pt>
                <c:pt idx="61">
                  <c:v>2</c:v>
                </c:pt>
                <c:pt idx="62">
                  <c:v>6</c:v>
                </c:pt>
                <c:pt idx="63">
                  <c:v>9</c:v>
                </c:pt>
                <c:pt idx="64">
                  <c:v>10</c:v>
                </c:pt>
                <c:pt idx="65">
                  <c:v>7</c:v>
                </c:pt>
                <c:pt idx="66">
                  <c:v>9</c:v>
                </c:pt>
                <c:pt idx="67">
                  <c:v>16</c:v>
                </c:pt>
                <c:pt idx="68">
                  <c:v>11</c:v>
                </c:pt>
                <c:pt idx="69">
                  <c:v>13</c:v>
                </c:pt>
                <c:pt idx="70">
                  <c:v>3</c:v>
                </c:pt>
                <c:pt idx="71">
                  <c:v>13</c:v>
                </c:pt>
                <c:pt idx="72">
                  <c:v>3</c:v>
                </c:pt>
                <c:pt idx="73">
                  <c:v>7</c:v>
                </c:pt>
                <c:pt idx="74">
                  <c:v>3</c:v>
                </c:pt>
                <c:pt idx="75">
                  <c:v>2</c:v>
                </c:pt>
                <c:pt idx="76">
                  <c:v>9</c:v>
                </c:pt>
                <c:pt idx="77">
                  <c:v>4</c:v>
                </c:pt>
                <c:pt idx="78">
                  <c:v>13</c:v>
                </c:pt>
                <c:pt idx="79">
                  <c:v>3</c:v>
                </c:pt>
                <c:pt idx="80">
                  <c:v>6</c:v>
                </c:pt>
                <c:pt idx="81">
                  <c:v>1</c:v>
                </c:pt>
                <c:pt idx="82">
                  <c:v>4</c:v>
                </c:pt>
                <c:pt idx="83">
                  <c:v>13</c:v>
                </c:pt>
                <c:pt idx="84">
                  <c:v>12</c:v>
                </c:pt>
                <c:pt idx="85">
                  <c:v>10</c:v>
                </c:pt>
                <c:pt idx="86">
                  <c:v>2</c:v>
                </c:pt>
                <c:pt idx="87">
                  <c:v>5</c:v>
                </c:pt>
                <c:pt idx="88">
                  <c:v>7</c:v>
                </c:pt>
                <c:pt idx="89">
                  <c:v>10</c:v>
                </c:pt>
                <c:pt idx="90">
                  <c:v>4</c:v>
                </c:pt>
                <c:pt idx="91">
                  <c:v>2</c:v>
                </c:pt>
                <c:pt idx="92">
                  <c:v>2</c:v>
                </c:pt>
                <c:pt idx="93">
                  <c:v>6</c:v>
                </c:pt>
                <c:pt idx="94">
                  <c:v>4</c:v>
                </c:pt>
                <c:pt idx="95">
                  <c:v>10</c:v>
                </c:pt>
                <c:pt idx="96">
                  <c:v>8</c:v>
                </c:pt>
                <c:pt idx="97">
                  <c:v>14</c:v>
                </c:pt>
                <c:pt idx="98">
                  <c:v>6</c:v>
                </c:pt>
                <c:pt idx="99">
                  <c:v>4</c:v>
                </c:pt>
                <c:pt idx="100">
                  <c:v>7</c:v>
                </c:pt>
                <c:pt idx="101">
                  <c:v>4</c:v>
                </c:pt>
                <c:pt idx="102">
                  <c:v>8</c:v>
                </c:pt>
                <c:pt idx="103">
                  <c:v>7</c:v>
                </c:pt>
                <c:pt idx="104">
                  <c:v>3</c:v>
                </c:pt>
                <c:pt idx="105">
                  <c:v>6</c:v>
                </c:pt>
                <c:pt idx="106">
                  <c:v>7</c:v>
                </c:pt>
                <c:pt idx="107">
                  <c:v>8</c:v>
                </c:pt>
                <c:pt idx="108">
                  <c:v>4</c:v>
                </c:pt>
                <c:pt idx="109">
                  <c:v>12</c:v>
                </c:pt>
                <c:pt idx="110">
                  <c:v>6</c:v>
                </c:pt>
                <c:pt idx="111">
                  <c:v>17</c:v>
                </c:pt>
                <c:pt idx="112">
                  <c:v>5</c:v>
                </c:pt>
                <c:pt idx="113">
                  <c:v>10</c:v>
                </c:pt>
                <c:pt idx="114">
                  <c:v>8</c:v>
                </c:pt>
                <c:pt idx="115">
                  <c:v>9</c:v>
                </c:pt>
                <c:pt idx="116">
                  <c:v>11</c:v>
                </c:pt>
                <c:pt idx="117">
                  <c:v>7</c:v>
                </c:pt>
                <c:pt idx="118">
                  <c:v>2</c:v>
                </c:pt>
                <c:pt idx="11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7-48F8-A8D7-B07CCD5015B8}"/>
            </c:ext>
          </c:extLst>
        </c:ser>
        <c:ser>
          <c:idx val="1"/>
          <c:order val="1"/>
          <c:tx>
            <c:v>LC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'SPC1'!$G$22:$H$22</c:f>
              <c:numCache>
                <c:formatCode>General</c:formatCode>
                <c:ptCount val="2"/>
                <c:pt idx="0">
                  <c:v>1</c:v>
                </c:pt>
                <c:pt idx="1">
                  <c:v>120</c:v>
                </c:pt>
              </c:numCache>
            </c:numRef>
          </c:xVal>
          <c:yVal>
            <c:numRef>
              <c:f>'SPC1'!$I$23:$J$23</c:f>
              <c:numCache>
                <c:formatCode>General</c:formatCode>
                <c:ptCount val="2"/>
                <c:pt idx="0">
                  <c:v>7.0916666666666694</c:v>
                </c:pt>
                <c:pt idx="1">
                  <c:v>7.0916666666666694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7-48F8-A8D7-B07CCD5015B8}"/>
            </c:ext>
          </c:extLst>
        </c:ser>
        <c:ser>
          <c:idx val="2"/>
          <c:order val="2"/>
          <c:tx>
            <c:v>LSC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'SPC1'!$G$22:$H$22</c:f>
              <c:numCache>
                <c:formatCode>General</c:formatCode>
                <c:ptCount val="2"/>
                <c:pt idx="0">
                  <c:v>1</c:v>
                </c:pt>
                <c:pt idx="1">
                  <c:v>120</c:v>
                </c:pt>
              </c:numCache>
            </c:numRef>
          </c:xVal>
          <c:yVal>
            <c:numRef>
              <c:f>'SPC1'!$I$24:$J$24</c:f>
              <c:numCache>
                <c:formatCode>General</c:formatCode>
                <c:ptCount val="2"/>
                <c:pt idx="0">
                  <c:v>14.889582787870676</c:v>
                </c:pt>
                <c:pt idx="1">
                  <c:v>14.889582787870676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17-48F8-A8D7-B07CCD50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908528"/>
        <c:axId val="940901040"/>
      </c:scatterChart>
      <c:valAx>
        <c:axId val="94090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901040"/>
        <c:crosses val="autoZero"/>
        <c:crossBetween val="midCat"/>
        <c:majorUnit val="2"/>
      </c:valAx>
      <c:valAx>
        <c:axId val="9409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90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383241</xdr:colOff>
      <xdr:row>5</xdr:row>
      <xdr:rowOff>160043</xdr:rowOff>
    </xdr:from>
    <xdr:to>
      <xdr:col>28</xdr:col>
      <xdr:colOff>571499</xdr:colOff>
      <xdr:row>20</xdr:row>
      <xdr:rowOff>45743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361BC29-5D62-4A0D-9902-BD9000C4C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521073</xdr:colOff>
      <xdr:row>28</xdr:row>
      <xdr:rowOff>135589</xdr:rowOff>
    </xdr:from>
    <xdr:to>
      <xdr:col>28</xdr:col>
      <xdr:colOff>627529</xdr:colOff>
      <xdr:row>43</xdr:row>
      <xdr:rowOff>21289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F6952DD-9FEA-4DCC-98D9-DF1958E6A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9C16-D15E-4F4F-9C1E-730767B2839C}">
  <dimension ref="A2:J122"/>
  <sheetViews>
    <sheetView tabSelected="1" topLeftCell="A7" zoomScale="70" zoomScaleNormal="70" workbookViewId="0">
      <selection activeCell="M26" sqref="M26"/>
    </sheetView>
  </sheetViews>
  <sheetFormatPr baseColWidth="10" defaultRowHeight="15" x14ac:dyDescent="0.25"/>
  <cols>
    <col min="1" max="2" width="11.42578125" style="1"/>
    <col min="4" max="4" width="4.85546875" customWidth="1"/>
    <col min="5" max="5" width="15" customWidth="1"/>
    <col min="6" max="6" width="4.42578125" customWidth="1"/>
  </cols>
  <sheetData>
    <row r="2" spans="1:6" x14ac:dyDescent="0.25">
      <c r="A2" s="6" t="s">
        <v>0</v>
      </c>
      <c r="B2" s="6" t="s">
        <v>1</v>
      </c>
      <c r="C2" s="2" t="s">
        <v>2</v>
      </c>
      <c r="D2" s="3">
        <v>150</v>
      </c>
      <c r="E2" t="s">
        <v>3</v>
      </c>
    </row>
    <row r="3" spans="1:6" x14ac:dyDescent="0.25">
      <c r="A3" s="1">
        <v>3</v>
      </c>
      <c r="B3" s="1">
        <f>A3/$D$2</f>
        <v>0.02</v>
      </c>
    </row>
    <row r="4" spans="1:6" x14ac:dyDescent="0.25">
      <c r="A4" s="1">
        <v>4</v>
      </c>
      <c r="B4" s="1">
        <f t="shared" ref="B4:B67" si="0">A4/$D$2</f>
        <v>2.6666666666666668E-2</v>
      </c>
      <c r="D4" s="4" t="s">
        <v>4</v>
      </c>
      <c r="E4" s="4"/>
      <c r="F4" s="4">
        <f>COUNT(B3:B122)</f>
        <v>120</v>
      </c>
    </row>
    <row r="5" spans="1:6" x14ac:dyDescent="0.25">
      <c r="A5" s="1">
        <v>2</v>
      </c>
      <c r="B5" s="1">
        <f t="shared" si="0"/>
        <v>1.3333333333333334E-2</v>
      </c>
    </row>
    <row r="6" spans="1:6" x14ac:dyDescent="0.25">
      <c r="A6" s="1">
        <v>5</v>
      </c>
      <c r="B6" s="1">
        <f t="shared" si="0"/>
        <v>3.3333333333333333E-2</v>
      </c>
    </row>
    <row r="7" spans="1:6" x14ac:dyDescent="0.25">
      <c r="A7" s="1">
        <v>6</v>
      </c>
      <c r="B7" s="1">
        <f t="shared" si="0"/>
        <v>0.04</v>
      </c>
    </row>
    <row r="8" spans="1:6" x14ac:dyDescent="0.25">
      <c r="A8" s="1">
        <v>10</v>
      </c>
      <c r="B8" s="1">
        <f t="shared" si="0"/>
        <v>6.6666666666666666E-2</v>
      </c>
    </row>
    <row r="9" spans="1:6" x14ac:dyDescent="0.25">
      <c r="A9" s="1">
        <v>5</v>
      </c>
      <c r="B9" s="1">
        <f t="shared" si="0"/>
        <v>3.3333333333333333E-2</v>
      </c>
    </row>
    <row r="10" spans="1:6" x14ac:dyDescent="0.25">
      <c r="A10" s="1">
        <v>4</v>
      </c>
      <c r="B10" s="1">
        <f t="shared" si="0"/>
        <v>2.6666666666666668E-2</v>
      </c>
    </row>
    <row r="11" spans="1:6" x14ac:dyDescent="0.25">
      <c r="A11" s="1">
        <v>3</v>
      </c>
      <c r="B11" s="1">
        <f t="shared" si="0"/>
        <v>0.02</v>
      </c>
    </row>
    <row r="12" spans="1:6" x14ac:dyDescent="0.25">
      <c r="A12" s="1">
        <v>11</v>
      </c>
      <c r="B12" s="1">
        <f t="shared" si="0"/>
        <v>7.3333333333333334E-2</v>
      </c>
    </row>
    <row r="13" spans="1:6" x14ac:dyDescent="0.25">
      <c r="A13" s="1">
        <v>9</v>
      </c>
      <c r="B13" s="1">
        <f t="shared" si="0"/>
        <v>0.06</v>
      </c>
    </row>
    <row r="14" spans="1:6" x14ac:dyDescent="0.25">
      <c r="A14" s="1">
        <v>2</v>
      </c>
      <c r="B14" s="1">
        <f t="shared" si="0"/>
        <v>1.3333333333333334E-2</v>
      </c>
    </row>
    <row r="15" spans="1:6" x14ac:dyDescent="0.25">
      <c r="A15" s="1">
        <v>7</v>
      </c>
      <c r="B15" s="1">
        <f t="shared" si="0"/>
        <v>4.6666666666666669E-2</v>
      </c>
    </row>
    <row r="16" spans="1:6" x14ac:dyDescent="0.25">
      <c r="A16" s="1">
        <v>8</v>
      </c>
      <c r="B16" s="1">
        <f t="shared" si="0"/>
        <v>5.3333333333333337E-2</v>
      </c>
    </row>
    <row r="17" spans="1:10" x14ac:dyDescent="0.25">
      <c r="A17" s="1">
        <v>4</v>
      </c>
      <c r="B17" s="1">
        <f t="shared" si="0"/>
        <v>2.6666666666666668E-2</v>
      </c>
    </row>
    <row r="18" spans="1:10" x14ac:dyDescent="0.25">
      <c r="A18" s="1">
        <v>2</v>
      </c>
      <c r="B18" s="1">
        <f t="shared" si="0"/>
        <v>1.3333333333333334E-2</v>
      </c>
    </row>
    <row r="19" spans="1:10" x14ac:dyDescent="0.25">
      <c r="A19" s="1">
        <v>6</v>
      </c>
      <c r="B19" s="1">
        <f t="shared" si="0"/>
        <v>0.04</v>
      </c>
    </row>
    <row r="20" spans="1:10" x14ac:dyDescent="0.25">
      <c r="A20" s="1">
        <v>5</v>
      </c>
      <c r="B20" s="1">
        <f t="shared" si="0"/>
        <v>3.3333333333333333E-2</v>
      </c>
    </row>
    <row r="21" spans="1:10" x14ac:dyDescent="0.25">
      <c r="A21" s="1">
        <v>4</v>
      </c>
      <c r="B21" s="1">
        <f t="shared" si="0"/>
        <v>2.6666666666666668E-2</v>
      </c>
    </row>
    <row r="22" spans="1:10" x14ac:dyDescent="0.25">
      <c r="A22" s="1">
        <v>3</v>
      </c>
      <c r="B22" s="1">
        <f t="shared" si="0"/>
        <v>0.02</v>
      </c>
      <c r="G22">
        <v>1</v>
      </c>
      <c r="H22">
        <v>120</v>
      </c>
      <c r="I22" s="6" t="s">
        <v>8</v>
      </c>
    </row>
    <row r="23" spans="1:10" ht="15.75" x14ac:dyDescent="0.25">
      <c r="A23" s="1">
        <v>6</v>
      </c>
      <c r="B23" s="1">
        <f t="shared" si="0"/>
        <v>0.04</v>
      </c>
      <c r="F23" s="7" t="s">
        <v>5</v>
      </c>
      <c r="G23" s="8">
        <f>AVERAGE($B$3:$B$122)</f>
        <v>4.7277777777777794E-2</v>
      </c>
      <c r="H23" s="9">
        <f>AVERAGE($B$3:$B$122)</f>
        <v>4.7277777777777794E-2</v>
      </c>
      <c r="I23" s="5">
        <f>H23*$D$2</f>
        <v>7.0916666666666694</v>
      </c>
      <c r="J23">
        <v>7.0916666666666694</v>
      </c>
    </row>
    <row r="24" spans="1:10" ht="15.75" x14ac:dyDescent="0.25">
      <c r="A24" s="1">
        <v>7</v>
      </c>
      <c r="B24" s="1">
        <f t="shared" si="0"/>
        <v>4.6666666666666669E-2</v>
      </c>
      <c r="F24" s="7" t="s">
        <v>6</v>
      </c>
      <c r="G24" s="8">
        <f>$G$23+3*SQRT($G$23*(1-$G$23)/$D$2)</f>
        <v>9.9263885252471179E-2</v>
      </c>
      <c r="H24" s="9">
        <f>$G$23+3*SQRT($G$23*(1-$G$23)/$D$2)</f>
        <v>9.9263885252471179E-2</v>
      </c>
      <c r="I24" s="5">
        <f t="shared" ref="I24:I25" si="1">H24*$D$2</f>
        <v>14.889582787870676</v>
      </c>
      <c r="J24">
        <v>14.889582787870676</v>
      </c>
    </row>
    <row r="25" spans="1:10" ht="15.75" x14ac:dyDescent="0.25">
      <c r="A25" s="1">
        <v>9</v>
      </c>
      <c r="B25" s="1">
        <f t="shared" si="0"/>
        <v>0.06</v>
      </c>
      <c r="F25" s="7" t="s">
        <v>7</v>
      </c>
      <c r="G25" s="8">
        <f>IF($G$23-3*SQRT($G$23*(1-$G$23)/$D$2)&lt;0,0,$G$23-3*SQRT($G$23*(1-$G$23)/$D$2))</f>
        <v>0</v>
      </c>
      <c r="H25" s="9">
        <f>IF($G$23-3*SQRT($G$23*(1-$G$23)/$D$2)&lt;0,0,$G$23-3*SQRT($G$23*(1-$G$23)/$D$2))</f>
        <v>0</v>
      </c>
      <c r="I25" s="5">
        <f t="shared" si="1"/>
        <v>0</v>
      </c>
    </row>
    <row r="26" spans="1:10" x14ac:dyDescent="0.25">
      <c r="A26" s="1">
        <v>10</v>
      </c>
      <c r="B26" s="1">
        <f t="shared" si="0"/>
        <v>6.6666666666666666E-2</v>
      </c>
    </row>
    <row r="27" spans="1:10" x14ac:dyDescent="0.25">
      <c r="A27" s="1">
        <v>14</v>
      </c>
      <c r="B27" s="1">
        <f t="shared" si="0"/>
        <v>9.3333333333333338E-2</v>
      </c>
    </row>
    <row r="28" spans="1:10" x14ac:dyDescent="0.25">
      <c r="A28" s="1">
        <v>13</v>
      </c>
      <c r="B28" s="1">
        <f t="shared" si="0"/>
        <v>8.666666666666667E-2</v>
      </c>
    </row>
    <row r="29" spans="1:10" x14ac:dyDescent="0.25">
      <c r="A29" s="1">
        <v>10</v>
      </c>
      <c r="B29" s="1">
        <f t="shared" si="0"/>
        <v>6.6666666666666666E-2</v>
      </c>
    </row>
    <row r="30" spans="1:10" x14ac:dyDescent="0.25">
      <c r="A30" s="1">
        <v>9</v>
      </c>
      <c r="B30" s="1">
        <f t="shared" si="0"/>
        <v>0.06</v>
      </c>
    </row>
    <row r="31" spans="1:10" x14ac:dyDescent="0.25">
      <c r="A31" s="1">
        <v>8</v>
      </c>
      <c r="B31" s="1">
        <f t="shared" si="0"/>
        <v>5.3333333333333337E-2</v>
      </c>
    </row>
    <row r="32" spans="1:10" x14ac:dyDescent="0.25">
      <c r="A32" s="1">
        <v>10</v>
      </c>
      <c r="B32" s="1">
        <f t="shared" si="0"/>
        <v>6.6666666666666666E-2</v>
      </c>
    </row>
    <row r="33" spans="1:2" x14ac:dyDescent="0.25">
      <c r="A33" s="1">
        <v>3</v>
      </c>
      <c r="B33" s="1">
        <f t="shared" si="0"/>
        <v>0.02</v>
      </c>
    </row>
    <row r="34" spans="1:2" x14ac:dyDescent="0.25">
      <c r="A34" s="1">
        <v>2</v>
      </c>
      <c r="B34" s="1">
        <f t="shared" si="0"/>
        <v>1.3333333333333334E-2</v>
      </c>
    </row>
    <row r="35" spans="1:2" x14ac:dyDescent="0.25">
      <c r="A35" s="1">
        <v>4</v>
      </c>
      <c r="B35" s="1">
        <f t="shared" si="0"/>
        <v>2.6666666666666668E-2</v>
      </c>
    </row>
    <row r="36" spans="1:2" x14ac:dyDescent="0.25">
      <c r="A36" s="1">
        <v>6</v>
      </c>
      <c r="B36" s="1">
        <f t="shared" si="0"/>
        <v>0.04</v>
      </c>
    </row>
    <row r="37" spans="1:2" x14ac:dyDescent="0.25">
      <c r="A37" s="1">
        <v>4</v>
      </c>
      <c r="B37" s="1">
        <f t="shared" si="0"/>
        <v>2.6666666666666668E-2</v>
      </c>
    </row>
    <row r="38" spans="1:2" x14ac:dyDescent="0.25">
      <c r="A38" s="1">
        <v>10</v>
      </c>
      <c r="B38" s="1">
        <f t="shared" si="0"/>
        <v>6.6666666666666666E-2</v>
      </c>
    </row>
    <row r="39" spans="1:2" x14ac:dyDescent="0.25">
      <c r="A39" s="1">
        <v>8</v>
      </c>
      <c r="B39" s="1">
        <f t="shared" si="0"/>
        <v>5.3333333333333337E-2</v>
      </c>
    </row>
    <row r="40" spans="1:2" x14ac:dyDescent="0.25">
      <c r="A40" s="1">
        <v>7</v>
      </c>
      <c r="B40" s="1">
        <f t="shared" si="0"/>
        <v>4.6666666666666669E-2</v>
      </c>
    </row>
    <row r="41" spans="1:2" x14ac:dyDescent="0.25">
      <c r="A41" s="1">
        <v>14</v>
      </c>
      <c r="B41" s="1">
        <f t="shared" si="0"/>
        <v>9.3333333333333338E-2</v>
      </c>
    </row>
    <row r="42" spans="1:2" x14ac:dyDescent="0.25">
      <c r="A42" s="1">
        <v>13</v>
      </c>
      <c r="B42" s="1">
        <f t="shared" si="0"/>
        <v>8.666666666666667E-2</v>
      </c>
    </row>
    <row r="43" spans="1:2" x14ac:dyDescent="0.25">
      <c r="A43" s="1">
        <v>4</v>
      </c>
      <c r="B43" s="1">
        <f t="shared" si="0"/>
        <v>2.6666666666666668E-2</v>
      </c>
    </row>
    <row r="44" spans="1:2" x14ac:dyDescent="0.25">
      <c r="A44" s="1">
        <v>8</v>
      </c>
      <c r="B44" s="1">
        <f t="shared" si="0"/>
        <v>5.3333333333333337E-2</v>
      </c>
    </row>
    <row r="45" spans="1:2" x14ac:dyDescent="0.25">
      <c r="A45" s="1">
        <v>4</v>
      </c>
      <c r="B45" s="1">
        <f t="shared" si="0"/>
        <v>2.6666666666666668E-2</v>
      </c>
    </row>
    <row r="46" spans="1:2" x14ac:dyDescent="0.25">
      <c r="A46" s="1">
        <v>10</v>
      </c>
      <c r="B46" s="1">
        <f t="shared" si="0"/>
        <v>6.6666666666666666E-2</v>
      </c>
    </row>
    <row r="47" spans="1:2" x14ac:dyDescent="0.25">
      <c r="A47" s="1">
        <v>14</v>
      </c>
      <c r="B47" s="1">
        <f t="shared" si="0"/>
        <v>9.3333333333333338E-2</v>
      </c>
    </row>
    <row r="48" spans="1:2" x14ac:dyDescent="0.25">
      <c r="A48" s="1">
        <v>8</v>
      </c>
      <c r="B48" s="1">
        <f t="shared" si="0"/>
        <v>5.3333333333333337E-2</v>
      </c>
    </row>
    <row r="49" spans="1:2" x14ac:dyDescent="0.25">
      <c r="A49" s="1">
        <v>12</v>
      </c>
      <c r="B49" s="1">
        <f t="shared" si="0"/>
        <v>0.08</v>
      </c>
    </row>
    <row r="50" spans="1:2" x14ac:dyDescent="0.25">
      <c r="A50" s="1">
        <v>4</v>
      </c>
      <c r="B50" s="1">
        <f t="shared" si="0"/>
        <v>2.6666666666666668E-2</v>
      </c>
    </row>
    <row r="51" spans="1:2" x14ac:dyDescent="0.25">
      <c r="A51" s="1">
        <v>5</v>
      </c>
      <c r="B51" s="1">
        <f t="shared" si="0"/>
        <v>3.3333333333333333E-2</v>
      </c>
    </row>
    <row r="52" spans="1:2" x14ac:dyDescent="0.25">
      <c r="A52" s="1">
        <v>14</v>
      </c>
      <c r="B52" s="1">
        <f t="shared" si="0"/>
        <v>9.3333333333333338E-2</v>
      </c>
    </row>
    <row r="53" spans="1:2" x14ac:dyDescent="0.25">
      <c r="A53" s="1">
        <v>2</v>
      </c>
      <c r="B53" s="1">
        <f t="shared" si="0"/>
        <v>1.3333333333333334E-2</v>
      </c>
    </row>
    <row r="54" spans="1:2" x14ac:dyDescent="0.25">
      <c r="A54" s="1">
        <v>8</v>
      </c>
      <c r="B54" s="1">
        <f t="shared" si="0"/>
        <v>5.3333333333333337E-2</v>
      </c>
    </row>
    <row r="55" spans="1:2" x14ac:dyDescent="0.25">
      <c r="A55" s="1">
        <v>6</v>
      </c>
      <c r="B55" s="1">
        <f t="shared" si="0"/>
        <v>0.04</v>
      </c>
    </row>
    <row r="56" spans="1:2" x14ac:dyDescent="0.25">
      <c r="A56" s="1">
        <v>10</v>
      </c>
      <c r="B56" s="1">
        <f t="shared" si="0"/>
        <v>6.6666666666666666E-2</v>
      </c>
    </row>
    <row r="57" spans="1:2" x14ac:dyDescent="0.25">
      <c r="A57" s="1">
        <v>8</v>
      </c>
      <c r="B57" s="1">
        <f t="shared" si="0"/>
        <v>5.3333333333333337E-2</v>
      </c>
    </row>
    <row r="58" spans="1:2" x14ac:dyDescent="0.25">
      <c r="A58" s="1">
        <v>6</v>
      </c>
      <c r="B58" s="1">
        <f t="shared" si="0"/>
        <v>0.04</v>
      </c>
    </row>
    <row r="59" spans="1:2" x14ac:dyDescent="0.25">
      <c r="A59" s="1">
        <v>4</v>
      </c>
      <c r="B59" s="1">
        <f t="shared" si="0"/>
        <v>2.6666666666666668E-2</v>
      </c>
    </row>
    <row r="60" spans="1:2" x14ac:dyDescent="0.25">
      <c r="A60" s="1">
        <v>6</v>
      </c>
      <c r="B60" s="1">
        <f t="shared" si="0"/>
        <v>0.04</v>
      </c>
    </row>
    <row r="61" spans="1:2" x14ac:dyDescent="0.25">
      <c r="A61" s="1">
        <v>15</v>
      </c>
      <c r="B61" s="1">
        <f t="shared" si="0"/>
        <v>0.1</v>
      </c>
    </row>
    <row r="62" spans="1:2" x14ac:dyDescent="0.25">
      <c r="A62" s="1">
        <v>4</v>
      </c>
      <c r="B62" s="1">
        <f t="shared" si="0"/>
        <v>2.6666666666666668E-2</v>
      </c>
    </row>
    <row r="63" spans="1:2" x14ac:dyDescent="0.25">
      <c r="A63" s="1">
        <v>7</v>
      </c>
      <c r="B63" s="1">
        <f t="shared" si="0"/>
        <v>4.6666666666666669E-2</v>
      </c>
    </row>
    <row r="64" spans="1:2" x14ac:dyDescent="0.25">
      <c r="A64" s="1">
        <v>2</v>
      </c>
      <c r="B64" s="1">
        <f t="shared" si="0"/>
        <v>1.3333333333333334E-2</v>
      </c>
    </row>
    <row r="65" spans="1:2" x14ac:dyDescent="0.25">
      <c r="A65" s="1">
        <v>6</v>
      </c>
      <c r="B65" s="1">
        <f t="shared" si="0"/>
        <v>0.04</v>
      </c>
    </row>
    <row r="66" spans="1:2" x14ac:dyDescent="0.25">
      <c r="A66" s="1">
        <v>9</v>
      </c>
      <c r="B66" s="1">
        <f t="shared" si="0"/>
        <v>0.06</v>
      </c>
    </row>
    <row r="67" spans="1:2" x14ac:dyDescent="0.25">
      <c r="A67" s="1">
        <v>10</v>
      </c>
      <c r="B67" s="1">
        <f t="shared" si="0"/>
        <v>6.6666666666666666E-2</v>
      </c>
    </row>
    <row r="68" spans="1:2" x14ac:dyDescent="0.25">
      <c r="A68" s="1">
        <v>7</v>
      </c>
      <c r="B68" s="1">
        <f t="shared" ref="B68:B122" si="2">A68/$D$2</f>
        <v>4.6666666666666669E-2</v>
      </c>
    </row>
    <row r="69" spans="1:2" x14ac:dyDescent="0.25">
      <c r="A69" s="1">
        <v>9</v>
      </c>
      <c r="B69" s="1">
        <f t="shared" si="2"/>
        <v>0.06</v>
      </c>
    </row>
    <row r="70" spans="1:2" x14ac:dyDescent="0.25">
      <c r="A70" s="1">
        <v>16</v>
      </c>
      <c r="B70" s="1">
        <f t="shared" si="2"/>
        <v>0.10666666666666667</v>
      </c>
    </row>
    <row r="71" spans="1:2" x14ac:dyDescent="0.25">
      <c r="A71" s="1">
        <v>11</v>
      </c>
      <c r="B71" s="1">
        <f t="shared" si="2"/>
        <v>7.3333333333333334E-2</v>
      </c>
    </row>
    <row r="72" spans="1:2" x14ac:dyDescent="0.25">
      <c r="A72" s="1">
        <v>13</v>
      </c>
      <c r="B72" s="1">
        <f t="shared" si="2"/>
        <v>8.666666666666667E-2</v>
      </c>
    </row>
    <row r="73" spans="1:2" x14ac:dyDescent="0.25">
      <c r="A73" s="1">
        <v>3</v>
      </c>
      <c r="B73" s="1">
        <f t="shared" si="2"/>
        <v>0.02</v>
      </c>
    </row>
    <row r="74" spans="1:2" x14ac:dyDescent="0.25">
      <c r="A74" s="1">
        <v>13</v>
      </c>
      <c r="B74" s="1">
        <f t="shared" si="2"/>
        <v>8.666666666666667E-2</v>
      </c>
    </row>
    <row r="75" spans="1:2" x14ac:dyDescent="0.25">
      <c r="A75" s="1">
        <v>3</v>
      </c>
      <c r="B75" s="1">
        <f t="shared" si="2"/>
        <v>0.02</v>
      </c>
    </row>
    <row r="76" spans="1:2" x14ac:dyDescent="0.25">
      <c r="A76" s="1">
        <v>7</v>
      </c>
      <c r="B76" s="1">
        <f t="shared" si="2"/>
        <v>4.6666666666666669E-2</v>
      </c>
    </row>
    <row r="77" spans="1:2" x14ac:dyDescent="0.25">
      <c r="A77" s="1">
        <v>3</v>
      </c>
      <c r="B77" s="1">
        <f t="shared" si="2"/>
        <v>0.02</v>
      </c>
    </row>
    <row r="78" spans="1:2" x14ac:dyDescent="0.25">
      <c r="A78" s="1">
        <v>2</v>
      </c>
      <c r="B78" s="1">
        <f t="shared" si="2"/>
        <v>1.3333333333333334E-2</v>
      </c>
    </row>
    <row r="79" spans="1:2" x14ac:dyDescent="0.25">
      <c r="A79" s="1">
        <v>9</v>
      </c>
      <c r="B79" s="1">
        <f t="shared" si="2"/>
        <v>0.06</v>
      </c>
    </row>
    <row r="80" spans="1:2" x14ac:dyDescent="0.25">
      <c r="A80" s="1">
        <v>4</v>
      </c>
      <c r="B80" s="1">
        <f t="shared" si="2"/>
        <v>2.6666666666666668E-2</v>
      </c>
    </row>
    <row r="81" spans="1:2" x14ac:dyDescent="0.25">
      <c r="A81" s="1">
        <v>13</v>
      </c>
      <c r="B81" s="1">
        <f t="shared" si="2"/>
        <v>8.666666666666667E-2</v>
      </c>
    </row>
    <row r="82" spans="1:2" x14ac:dyDescent="0.25">
      <c r="A82" s="1">
        <v>3</v>
      </c>
      <c r="B82" s="1">
        <f t="shared" si="2"/>
        <v>0.02</v>
      </c>
    </row>
    <row r="83" spans="1:2" x14ac:dyDescent="0.25">
      <c r="A83" s="1">
        <v>6</v>
      </c>
      <c r="B83" s="1">
        <f t="shared" si="2"/>
        <v>0.04</v>
      </c>
    </row>
    <row r="84" spans="1:2" x14ac:dyDescent="0.25">
      <c r="A84" s="1">
        <v>1</v>
      </c>
      <c r="B84" s="1">
        <f t="shared" si="2"/>
        <v>6.6666666666666671E-3</v>
      </c>
    </row>
    <row r="85" spans="1:2" x14ac:dyDescent="0.25">
      <c r="A85" s="1">
        <v>4</v>
      </c>
      <c r="B85" s="1">
        <f t="shared" si="2"/>
        <v>2.6666666666666668E-2</v>
      </c>
    </row>
    <row r="86" spans="1:2" x14ac:dyDescent="0.25">
      <c r="A86" s="1">
        <v>13</v>
      </c>
      <c r="B86" s="1">
        <f t="shared" si="2"/>
        <v>8.666666666666667E-2</v>
      </c>
    </row>
    <row r="87" spans="1:2" x14ac:dyDescent="0.25">
      <c r="A87" s="1">
        <v>12</v>
      </c>
      <c r="B87" s="1">
        <f t="shared" si="2"/>
        <v>0.08</v>
      </c>
    </row>
    <row r="88" spans="1:2" x14ac:dyDescent="0.25">
      <c r="A88" s="1">
        <v>10</v>
      </c>
      <c r="B88" s="1">
        <f t="shared" si="2"/>
        <v>6.6666666666666666E-2</v>
      </c>
    </row>
    <row r="89" spans="1:2" x14ac:dyDescent="0.25">
      <c r="A89" s="1">
        <v>2</v>
      </c>
      <c r="B89" s="1">
        <f t="shared" si="2"/>
        <v>1.3333333333333334E-2</v>
      </c>
    </row>
    <row r="90" spans="1:2" x14ac:dyDescent="0.25">
      <c r="A90" s="1">
        <v>5</v>
      </c>
      <c r="B90" s="1">
        <f t="shared" si="2"/>
        <v>3.3333333333333333E-2</v>
      </c>
    </row>
    <row r="91" spans="1:2" x14ac:dyDescent="0.25">
      <c r="A91" s="1">
        <v>7</v>
      </c>
      <c r="B91" s="1">
        <f t="shared" si="2"/>
        <v>4.6666666666666669E-2</v>
      </c>
    </row>
    <row r="92" spans="1:2" x14ac:dyDescent="0.25">
      <c r="A92" s="1">
        <v>10</v>
      </c>
      <c r="B92" s="1">
        <f t="shared" si="2"/>
        <v>6.6666666666666666E-2</v>
      </c>
    </row>
    <row r="93" spans="1:2" x14ac:dyDescent="0.25">
      <c r="A93" s="1">
        <v>4</v>
      </c>
      <c r="B93" s="1">
        <f t="shared" si="2"/>
        <v>2.6666666666666668E-2</v>
      </c>
    </row>
    <row r="94" spans="1:2" x14ac:dyDescent="0.25">
      <c r="A94" s="1">
        <v>2</v>
      </c>
      <c r="B94" s="1">
        <f t="shared" si="2"/>
        <v>1.3333333333333334E-2</v>
      </c>
    </row>
    <row r="95" spans="1:2" x14ac:dyDescent="0.25">
      <c r="A95" s="1">
        <v>2</v>
      </c>
      <c r="B95" s="1">
        <f t="shared" si="2"/>
        <v>1.3333333333333334E-2</v>
      </c>
    </row>
    <row r="96" spans="1:2" x14ac:dyDescent="0.25">
      <c r="A96" s="1">
        <v>6</v>
      </c>
      <c r="B96" s="1">
        <f t="shared" si="2"/>
        <v>0.04</v>
      </c>
    </row>
    <row r="97" spans="1:2" x14ac:dyDescent="0.25">
      <c r="A97" s="1">
        <v>4</v>
      </c>
      <c r="B97" s="1">
        <f t="shared" si="2"/>
        <v>2.6666666666666668E-2</v>
      </c>
    </row>
    <row r="98" spans="1:2" x14ac:dyDescent="0.25">
      <c r="A98" s="1">
        <v>10</v>
      </c>
      <c r="B98" s="1">
        <f t="shared" si="2"/>
        <v>6.6666666666666666E-2</v>
      </c>
    </row>
    <row r="99" spans="1:2" x14ac:dyDescent="0.25">
      <c r="A99" s="1">
        <v>8</v>
      </c>
      <c r="B99" s="1">
        <f t="shared" si="2"/>
        <v>5.3333333333333337E-2</v>
      </c>
    </row>
    <row r="100" spans="1:2" x14ac:dyDescent="0.25">
      <c r="A100" s="1">
        <v>14</v>
      </c>
      <c r="B100" s="1">
        <f t="shared" si="2"/>
        <v>9.3333333333333338E-2</v>
      </c>
    </row>
    <row r="101" spans="1:2" x14ac:dyDescent="0.25">
      <c r="A101" s="1">
        <v>6</v>
      </c>
      <c r="B101" s="1">
        <f t="shared" si="2"/>
        <v>0.04</v>
      </c>
    </row>
    <row r="102" spans="1:2" x14ac:dyDescent="0.25">
      <c r="A102" s="1">
        <v>4</v>
      </c>
      <c r="B102" s="1">
        <f t="shared" si="2"/>
        <v>2.6666666666666668E-2</v>
      </c>
    </row>
    <row r="103" spans="1:2" x14ac:dyDescent="0.25">
      <c r="A103" s="1">
        <v>7</v>
      </c>
      <c r="B103" s="1">
        <f t="shared" si="2"/>
        <v>4.6666666666666669E-2</v>
      </c>
    </row>
    <row r="104" spans="1:2" x14ac:dyDescent="0.25">
      <c r="A104" s="1">
        <v>4</v>
      </c>
      <c r="B104" s="1">
        <f t="shared" si="2"/>
        <v>2.6666666666666668E-2</v>
      </c>
    </row>
    <row r="105" spans="1:2" x14ac:dyDescent="0.25">
      <c r="A105" s="1">
        <v>8</v>
      </c>
      <c r="B105" s="1">
        <f t="shared" si="2"/>
        <v>5.3333333333333337E-2</v>
      </c>
    </row>
    <row r="106" spans="1:2" x14ac:dyDescent="0.25">
      <c r="A106" s="1">
        <v>7</v>
      </c>
      <c r="B106" s="1">
        <f t="shared" si="2"/>
        <v>4.6666666666666669E-2</v>
      </c>
    </row>
    <row r="107" spans="1:2" x14ac:dyDescent="0.25">
      <c r="A107" s="1">
        <v>3</v>
      </c>
      <c r="B107" s="1">
        <f t="shared" si="2"/>
        <v>0.02</v>
      </c>
    </row>
    <row r="108" spans="1:2" x14ac:dyDescent="0.25">
      <c r="A108" s="1">
        <v>6</v>
      </c>
      <c r="B108" s="1">
        <f t="shared" si="2"/>
        <v>0.04</v>
      </c>
    </row>
    <row r="109" spans="1:2" x14ac:dyDescent="0.25">
      <c r="A109" s="1">
        <v>7</v>
      </c>
      <c r="B109" s="1">
        <f t="shared" si="2"/>
        <v>4.6666666666666669E-2</v>
      </c>
    </row>
    <row r="110" spans="1:2" x14ac:dyDescent="0.25">
      <c r="A110" s="1">
        <v>8</v>
      </c>
      <c r="B110" s="1">
        <f t="shared" si="2"/>
        <v>5.3333333333333337E-2</v>
      </c>
    </row>
    <row r="111" spans="1:2" x14ac:dyDescent="0.25">
      <c r="A111" s="1">
        <v>4</v>
      </c>
      <c r="B111" s="1">
        <f t="shared" si="2"/>
        <v>2.6666666666666668E-2</v>
      </c>
    </row>
    <row r="112" spans="1:2" x14ac:dyDescent="0.25">
      <c r="A112" s="1">
        <v>12</v>
      </c>
      <c r="B112" s="1">
        <f t="shared" si="2"/>
        <v>0.08</v>
      </c>
    </row>
    <row r="113" spans="1:2" x14ac:dyDescent="0.25">
      <c r="A113" s="1">
        <v>6</v>
      </c>
      <c r="B113" s="1">
        <f t="shared" si="2"/>
        <v>0.04</v>
      </c>
    </row>
    <row r="114" spans="1:2" x14ac:dyDescent="0.25">
      <c r="A114" s="1">
        <v>17</v>
      </c>
      <c r="B114" s="1">
        <f t="shared" si="2"/>
        <v>0.11333333333333333</v>
      </c>
    </row>
    <row r="115" spans="1:2" x14ac:dyDescent="0.25">
      <c r="A115" s="1">
        <v>5</v>
      </c>
      <c r="B115" s="1">
        <f t="shared" si="2"/>
        <v>3.3333333333333333E-2</v>
      </c>
    </row>
    <row r="116" spans="1:2" x14ac:dyDescent="0.25">
      <c r="A116" s="1">
        <v>10</v>
      </c>
      <c r="B116" s="1">
        <f t="shared" si="2"/>
        <v>6.6666666666666666E-2</v>
      </c>
    </row>
    <row r="117" spans="1:2" x14ac:dyDescent="0.25">
      <c r="A117" s="1">
        <v>8</v>
      </c>
      <c r="B117" s="1">
        <f t="shared" si="2"/>
        <v>5.3333333333333337E-2</v>
      </c>
    </row>
    <row r="118" spans="1:2" x14ac:dyDescent="0.25">
      <c r="A118" s="1">
        <v>9</v>
      </c>
      <c r="B118" s="1">
        <f t="shared" si="2"/>
        <v>0.06</v>
      </c>
    </row>
    <row r="119" spans="1:2" x14ac:dyDescent="0.25">
      <c r="A119" s="1">
        <v>11</v>
      </c>
      <c r="B119" s="1">
        <f t="shared" si="2"/>
        <v>7.3333333333333334E-2</v>
      </c>
    </row>
    <row r="120" spans="1:2" x14ac:dyDescent="0.25">
      <c r="A120" s="1">
        <v>7</v>
      </c>
      <c r="B120" s="1">
        <f t="shared" si="2"/>
        <v>4.6666666666666669E-2</v>
      </c>
    </row>
    <row r="121" spans="1:2" x14ac:dyDescent="0.25">
      <c r="A121" s="1">
        <v>2</v>
      </c>
      <c r="B121" s="1">
        <f t="shared" si="2"/>
        <v>1.3333333333333334E-2</v>
      </c>
    </row>
    <row r="122" spans="1:2" x14ac:dyDescent="0.25">
      <c r="A122" s="1">
        <v>8</v>
      </c>
      <c r="B122" s="1">
        <f t="shared" si="2"/>
        <v>5.3333333333333337E-2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JAUBERT</dc:creator>
  <cp:lastModifiedBy>Stéphane JAUBERT</cp:lastModifiedBy>
  <dcterms:created xsi:type="dcterms:W3CDTF">2021-12-18T08:06:13Z</dcterms:created>
  <dcterms:modified xsi:type="dcterms:W3CDTF">2024-12-17T14:12:30Z</dcterms:modified>
</cp:coreProperties>
</file>