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as à pas" sheetId="2" state="visible" r:id="rId4"/>
    <sheet name="Étude 1" sheetId="3" state="visible" r:id="rId5"/>
    <sheet name="Étude 2" sheetId="4" state="visible" r:id="rId6"/>
    <sheet name="Comparais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<sst xmlns="http://schemas.openxmlformats.org/spreadsheetml/2006/main" count="226" uniqueCount="148">
  <si>
    <t xml:space="preserve">Classeur 3 · Gage R&amp;R : peut-on croire la mesure ?</t>
  </si>
  <si>
    <t xml:space="preserve">Pôle Formation UIMM CVDL · S. Jaubert · CQPM Technicien Qualité TQ6 · Novembre 2026</t>
  </si>
  <si>
    <t xml:space="preserve">À quoi sert ce classeur</t>
  </si>
  <si>
    <t xml:space="preserve">TP E du jour 3. On mesure 10 pièces avec 3 opérateurs, 2 fois chacun, sans voir les numéros des pièces. On le fait au pied à coulisse (étude 1) puis au micromètre (étude 2). Le classeur dit quelle part de la variation vient de l'instrument et des opérateurs, et si l'instrument convient à la tolérance.</t>
  </si>
  <si>
    <t xml:space="preserve">Mode d'emploi</t>
  </si>
  <si>
    <t xml:space="preserve">0. Commencer par l'onglet Pas à pas : sur une petite étude, chacun calcule lui-même chaque étape, et Excel dit si c'est juste. Le cours Cours_Gage_RR_TQ6 accompagne ce classeur.</t>
  </si>
  <si>
    <t xml:space="preserve">1. Dans chaque onglet d'étude : saisir la tolérance, la résolution de l'instrument, puis les 60 mesures (cellules jaunes).</t>
  </si>
  <si>
    <t xml:space="preserve">2. Lire le bloc Verdict. L'onglet Comparaison met les deux instruments côte à côte.</t>
  </si>
  <si>
    <t xml:space="preserve">Les 60 mesures de départ sont FICTIVES. Effacer C10:L15 dans les deux onglets d'étude avant le TP. La tolérance 11,85 / 12,00 mm est celle du plan des butées. Micromètre numérique 0-25 mm au 0,001 mm : saisir les 3 décimales.</t>
  </si>
  <si>
    <t xml:space="preserve">Lecture des résultats</t>
  </si>
  <si>
    <t xml:space="preserve">Répétabilité (EV) : le même opérateur, sur la même pièce, retrouve-t-il la même valeur ? C'est surtout l'instrument et la façon de le tenir.</t>
  </si>
  <si>
    <t xml:space="preserve">Reproductibilité (AV) : deux opérateurs différents trouvent-ils la même valeur ? C'est surtout la méthode et la formation.</t>
  </si>
  <si>
    <t xml:space="preserve">%R&amp;R : moins de 10 % = instrument accepté ; 10 à 30 % = acceptable selon l'enjeu de la cote ; plus de 30 % = instrument refusé. Nombre de catégories distinctes : au moins 5.</t>
  </si>
  <si>
    <t xml:space="preserve">Règle du 1/10 : la résolution de l'instrument doit être au plus le dixième de l'intervalle de tolérance.</t>
  </si>
  <si>
    <t xml:space="preserve">Note pour le formateur</t>
  </si>
  <si>
    <t xml:space="preserve">Méthode moyenne-étendue, AIAG MSA 4e édition. Constantes pour 2 essais, 3 opérateurs, 10 pièces : K1 = 0,8862 ; K2 = 0,5231 ; K3 = 0,3146 (écarts-types, multiplicateur 6 pour le %tolérance). Le TP13 existant utilisait les anciennes constantes 4,56 ; 2,70 ; 1,62 (multiplicateur 5,15) : les pourcentages par rapport à la variation totale sont identiques.</t>
  </si>
  <si>
    <t xml:space="preserve">Le %R&amp;R se calcule par rapport à la variation totale (%VT) et par rapport à la tolérance (%Tol). Avec des pièces d'un même lot, la variation pièces est faible et le %VT est sévère. Choisir des pièces couvrant toute l'étendue mesurée au jour 1. Un AV négatif sous la racine est ramené à 0, comme le prévoit la méthode.</t>
  </si>
  <si>
    <t xml:space="preserve">Cellule à remplir</t>
  </si>
  <si>
    <t xml:space="preserve">Résultat calculé (ne pas modifier)</t>
  </si>
  <si>
    <t xml:space="preserve">Pas à pas : comprendre le calcul sur une petite étude</t>
  </si>
  <si>
    <t xml:space="preserve">3 butées · 2 opérateurs · 2 essais · micromètre · tolérance 11,85 / 12,00 mm</t>
  </si>
  <si>
    <t xml:space="preserve">Calculez vous-même chaque case jaune, à la calculatrice, dans l'ordre. La colonne Contrôle dit si c'est juste. En cas d'erreur, corrigez avant de passer à l'étape suivante. Le cours Cours_Gage_RR_TQ6 explique chaque étape.</t>
  </si>
  <si>
    <t xml:space="preserve">Mesures (mm)</t>
  </si>
  <si>
    <t xml:space="preserve">Essai</t>
  </si>
  <si>
    <t xml:space="preserve">Butée 1</t>
  </si>
  <si>
    <t xml:space="preserve">Butée 2</t>
  </si>
  <si>
    <t xml:space="preserve">Butée 3</t>
  </si>
  <si>
    <t xml:space="preserve">Contrôle</t>
  </si>
  <si>
    <t xml:space="preserve">Opérateur A</t>
  </si>
  <si>
    <t xml:space="preserve">essai 1</t>
  </si>
  <si>
    <t xml:space="preserve">essai 2</t>
  </si>
  <si>
    <t xml:space="preserve">Étendue de A</t>
  </si>
  <si>
    <t xml:space="preserve">écart entre les 2 essais</t>
  </si>
  <si>
    <t xml:space="preserve">Opérateur B</t>
  </si>
  <si>
    <t xml:space="preserve">Étendue de B</t>
  </si>
  <si>
    <t xml:space="preserve">Moyenne de la butée</t>
  </si>
  <si>
    <t xml:space="preserve">moyenne de ses 4 mesures</t>
  </si>
  <si>
    <t xml:space="preserve">N°</t>
  </si>
  <si>
    <t xml:space="preserve">Ce qu'on calcule</t>
  </si>
  <si>
    <t xml:space="preserve">Comment, et pourquoi</t>
  </si>
  <si>
    <t xml:space="preserve">Votre réponse</t>
  </si>
  <si>
    <t xml:space="preserve">valeur exacte</t>
  </si>
  <si>
    <t xml:space="preserve">Moyenne des étendues de A</t>
  </si>
  <si>
    <t xml:space="preserve">Moyenne des 3 étendues de la ligne 8.</t>
  </si>
  <si>
    <t xml:space="preserve">Moyenne des étendues de B</t>
  </si>
  <si>
    <t xml:space="preserve">Moyenne des 3 étendues de la ligne 11.</t>
  </si>
  <si>
    <t xml:space="preserve">R̄̄ : moyenne des étendues</t>
  </si>
  <si>
    <t xml:space="preserve">Moyenne des deux résultats précédents.</t>
  </si>
  <si>
    <t xml:space="preserve">EV : répétabilité</t>
  </si>
  <si>
    <t xml:space="preserve">R̄̄ × 0,8862. Ce coefficient K1 transforme une étendue de 2 essais en écart-type.</t>
  </si>
  <si>
    <t xml:space="preserve">X̄A : moyenne de l'opérateur A</t>
  </si>
  <si>
    <t xml:space="preserve">Moyenne de ses 6 mesures.</t>
  </si>
  <si>
    <t xml:space="preserve">X̄B : moyenne de l'opérateur B</t>
  </si>
  <si>
    <t xml:space="preserve">X̄diff : écart entre opérateurs</t>
  </si>
  <si>
    <t xml:space="preserve">|X̄A − X̄B|. Mesure l'habitude propre à chacun.</t>
  </si>
  <si>
    <t xml:space="preserve">AV : reproductibilité</t>
  </si>
  <si>
    <t xml:space="preserve">√[(X̄diff × 0,7071)² − EV² ÷ 6]. K2 = 0,7071 pour 2 opérateurs. On retire EV² ÷ 6 (3 butées × 2 essais) : la part du bruit de répétabilité dans l'écart entre moyennes. Si c'est négatif, AV = 0.</t>
  </si>
  <si>
    <t xml:space="preserve">GRR : R&amp;R total</t>
  </si>
  <si>
    <t xml:space="preserve">√(EV² + AV²). Les dispersions s'additionnent au carré, comme les côtés d'un triangle rectangle.</t>
  </si>
  <si>
    <t xml:space="preserve">Rp : étendue des moyennes des butées</t>
  </si>
  <si>
    <t xml:space="preserve">Plus grande moins plus petite moyenne de la ligne 12.</t>
  </si>
  <si>
    <t xml:space="preserve">PV : variation des pièces</t>
  </si>
  <si>
    <t xml:space="preserve">Rp × 0,5231 (K3 pour 3 pièces). C'est la vraie différence entre butées.</t>
  </si>
  <si>
    <t xml:space="preserve">TV : variation totale</t>
  </si>
  <si>
    <t xml:space="preserve">√(GRR² + PV²).</t>
  </si>
  <si>
    <t xml:space="preserve">%R&amp;R de la variation totale</t>
  </si>
  <si>
    <t xml:space="preserve">GRR ÷ TV. Pour piloter le procédé (carte).</t>
  </si>
  <si>
    <t xml:space="preserve">%R&amp;R de la tolérance</t>
  </si>
  <si>
    <t xml:space="preserve">6 × GRR ÷ 0,15. Pour accepter ou refuser des pièces.</t>
  </si>
  <si>
    <t xml:space="preserve">ndc : catégories distinctes</t>
  </si>
  <si>
    <t xml:space="preserve">1,41 × PV ÷ GRR, partie entière. Il en faut au moins 5.</t>
  </si>
  <si>
    <t xml:space="preserve">Verdict de la petite étude</t>
  </si>
  <si>
    <t xml:space="preserve">Attention : 3 pièces et 2 opérateurs suffisent pour comprendre, pas pour décider. Une vraie étude : 10 pièces, 3 opérateurs, 2 essais (onglets Étude 1 et Étude 2).</t>
  </si>
  <si>
    <t xml:space="preserve">Étude 1 · Pied à coulisse 1/50</t>
  </si>
  <si>
    <t xml:space="preserve">10 pièces · 3 opérateurs · 2 essais · numéros masqués, ordre tiré au sort</t>
  </si>
  <si>
    <t xml:space="preserve">Instrument</t>
  </si>
  <si>
    <t xml:space="preserve">Pied à coulisse 1/50</t>
  </si>
  <si>
    <t xml:space="preserve">Tolérance basse TI (mm)</t>
  </si>
  <si>
    <t xml:space="preserve">Tolérance du plan des butées. Mesures de départ fictives : à effacer.</t>
  </si>
  <si>
    <t xml:space="preserve">Tolérance haute TS (mm)</t>
  </si>
  <si>
    <t xml:space="preserve">Résolution de l'instrument (mm)</t>
  </si>
  <si>
    <t xml:space="preserve">Opérateur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</si>
  <si>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</si>
  <si>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</si>
  <si>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</si>
  <si>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</si>
  <si>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</si>
  <si>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</si>
  <si>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</si>
  <si>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</si>
  <si>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</si>
  <si>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</si>
  <si>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Moyenne</t>
  </si>
  <si>
    <t xml:space="preserve">Opérateur C</t>
  </si>
  <si>
    <t xml:space="preserve">Étendue opérateur A</t>
  </si>
  <si>
    <t xml:space="preserve">Étendue opérateur B</t>
  </si>
  <si>
    <t xml:space="preserve">Étendue opérateur C</t>
  </si>
  <si>
    <t xml:space="preserve">Moyenne de la pièce</t>
  </si>
  <si>
    <t xml:space="preserve">Mesures saisies (60 attendues)</t>
  </si>
  <si>
    <t xml:space="preserve">Calcul (AIAG, moyenne-étendue)</t>
  </si>
  <si>
    <t xml:space="preserve">Valeur</t>
  </si>
  <si>
    <t xml:space="preserve">Verdict</t>
  </si>
  <si>
    <t xml:space="preserve">% var. totale</t>
  </si>
  <si>
    <t xml:space="preserve">% tolérance</t>
  </si>
  <si>
    <t xml:space="preserve">R̄ opérateur A</t>
  </si>
  <si>
    <t xml:space="preserve">Répétabilité (instrument)</t>
  </si>
  <si>
    <t xml:space="preserve">R̄ opérateur B</t>
  </si>
  <si>
    <t xml:space="preserve">Reproductibilité (opérateurs)</t>
  </si>
  <si>
    <t xml:space="preserve">R̄ opérateur C</t>
  </si>
  <si>
    <t xml:space="preserve">R&amp;R totale</t>
  </si>
  <si>
    <t xml:space="preserve">R̄̄ moyenne des étendues</t>
  </si>
  <si>
    <t xml:space="preserve">Variation pièces</t>
  </si>
  <si>
    <t xml:space="preserve">X̄ opérateur A</t>
  </si>
  <si>
    <t xml:space="preserve">X̄ opérateur B</t>
  </si>
  <si>
    <t xml:space="preserve">Catégories distinctes ndc (≥ 5)</t>
  </si>
  <si>
    <t xml:space="preserve">X̄ opérateur C</t>
  </si>
  <si>
    <t xml:space="preserve">Règle du 1/10 (résolution ≤ IT/10)</t>
  </si>
  <si>
    <t xml:space="preserve">Écart maxi entre opérateurs X̄diff</t>
  </si>
  <si>
    <t xml:space="preserve">Étendue des moyennes pièces Rp</t>
  </si>
  <si>
    <t xml:space="preserve">Verdict sur la variation totale</t>
  </si>
  <si>
    <t xml:space="preserve">K1 (2 essais)</t>
  </si>
  <si>
    <t xml:space="preserve">Constantes AIAG MSA 4e éd.</t>
  </si>
  <si>
    <t xml:space="preserve">Verdict sur la tolérance</t>
  </si>
  <si>
    <t xml:space="preserve">K2 (3 opérateurs)</t>
  </si>
  <si>
    <t xml:space="preserve">Point faible principal</t>
  </si>
  <si>
    <t xml:space="preserve">K3 (10 pièces)</t>
  </si>
  <si>
    <t xml:space="preserve">Nombre de pièces n</t>
  </si>
  <si>
    <t xml:space="preserve">Seuils %R&amp;R : &lt; 10 % accepté · 10 à 30 % selon l'enjeu et le coût · &gt; 30 % refusé (AIAG MSA). Moyen accepté si ndc ≥ 5.</t>
  </si>
  <si>
    <t xml:space="preserve">Nombre d'essais r</t>
  </si>
  <si>
    <t xml:space="preserve">Répétabilité EV</t>
  </si>
  <si>
    <t xml:space="preserve">Reproductibilité AV</t>
  </si>
  <si>
    <t xml:space="preserve">R&amp;R totale GRR</t>
  </si>
  <si>
    <t xml:space="preserve">Variation pièces PV</t>
  </si>
  <si>
    <t xml:space="preserve">Variation totale TV</t>
  </si>
  <si>
    <t xml:space="preserve">Étude 2 · Micromètre numérique 0,001</t>
  </si>
  <si>
    <t xml:space="preserve">Micromètre numérique 0,001</t>
  </si>
  <si>
    <t xml:space="preserve">Pied à coulisse contre micromètre</t>
  </si>
  <si>
    <t xml:space="preserve">Mêmes pièces · opérateurs différents selon la rotation de la fiche E</t>
  </si>
  <si>
    <t xml:space="preserve">Indicateur</t>
  </si>
  <si>
    <t xml:space="preserve">Répétabilité (% VT)</t>
  </si>
  <si>
    <t xml:space="preserve">Reproductibilité (% VT)</t>
  </si>
  <si>
    <t xml:space="preserve">R&amp;R totale (% VT)</t>
  </si>
  <si>
    <t xml:space="preserve">R&amp;R totale (% tolérance)</t>
  </si>
  <si>
    <t xml:space="preserve">Catégories distinctes ndc</t>
  </si>
  <si>
    <t xml:space="preserve">Règle du 1/10</t>
  </si>
  <si>
    <t xml:space="preserve">Verdict variation totale</t>
  </si>
  <si>
    <t xml:space="preserve">Verdict tolérance</t>
  </si>
  <si>
    <t xml:space="preserve">Point faible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</si>
</sst>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00"/>
    <numFmt numFmtId="167" formatCode="0.0%"/>
    <numFmt numFmtId="168" formatCode="0"/>
    <numFmt numFmtId="169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A8C8E8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E9EFF7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78787"/>
      <rgbColor rgb="FF9999FF"/>
      <rgbColor rgb="FF993366"/>
      <rgbColor rgb="FFFFF2CC"/>
      <rgbColor rgb="FFE9EF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A8C8E8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C55A11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 de la variation due à la mesure (% de la variation totale)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Comparaison!B4</c:f>
              <c:strCache>
                <c:ptCount val="1"/>
                <c:pt idx="0">
                  <c:v>Pied à coulisse 1/50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Comparaison!$A$5:$A$7</c:f>
              <c:strCache>
                <c:ptCount val="3"/>
                <c:pt idx="0">
                  <c:v>Répétabilité (% VT)</c:v>
                </c:pt>
                <c:pt idx="1">
                  <c:v>Reproductibilité (% VT)</c:v>
                </c:pt>
                <c:pt idx="2">
                  <c:v>R&amp;R totale (% VT)</c:v>
                </c:pt>
              </c:strCache>
            </c:strRef>
          </c:cat>
          <c:val>
            <c:numRef>
              <c:f>Comparaison!$B$5:$B$7</c:f>
              <c:numCache>
                <c:formatCode>0.0%</c:formatCode>
                <c:ptCount val="3"/>
                <c:pt idx="0">
                  <c:v>0.175800955318987</c:v>
                </c:pt>
                <c:pt idx="1">
                  <c:v>0.182603654776148</c:v>
                </c:pt>
                <c:pt idx="2">
                  <c:v>0.253475976433024</c:v>
                </c:pt>
              </c:numCache>
            </c:numRef>
          </c:val>
        </c:ser>
        <c:ser>
          <c:idx val="1"/>
          <c:order val="1"/>
          <c:tx>
            <c:strRef>
              <c:f>Comparaison!C4</c:f>
              <c:strCache>
                <c:ptCount val="1"/>
                <c:pt idx="0">
                  <c:v>Micromètre numérique 0,001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Comparaison!$A$5:$A$7</c:f>
              <c:strCache>
                <c:ptCount val="3"/>
                <c:pt idx="0">
                  <c:v>Répétabilité (% VT)</c:v>
                </c:pt>
                <c:pt idx="1">
                  <c:v>Reproductibilité (% VT)</c:v>
                </c:pt>
                <c:pt idx="2">
                  <c:v>R&amp;R totale (% VT)</c:v>
                </c:pt>
              </c:strCache>
            </c:strRef>
          </c:cat>
          <c:val>
            <c:numRef>
              <c:f>Comparaison!$C$5:$C$7</c:f>
              <c:numCache>
                <c:formatCode>0.0%</c:formatCode>
                <c:ptCount val="3"/>
                <c:pt idx="0">
                  <c:v>0.0534942278637647</c:v>
                </c:pt>
                <c:pt idx="1">
                  <c:v>0.0391556867610779</c:v>
                </c:pt>
                <c:pt idx="2">
                  <c:v>0.0662932894075413</c:v>
                </c:pt>
              </c:numCache>
            </c:numRef>
          </c:val>
        </c:ser>
        <c:gapWidth val="150"/>
        <c:overlap val="0"/>
        <c:axId val="23287859"/>
        <c:axId val="25962869"/>
      </c:barChart>
      <c:catAx>
        <c:axId val="232878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62869"/>
        <c:crosses val="autoZero"/>
        <c:auto val="1"/>
        <c:lblAlgn val="ctr"/>
        <c:lblOffset val="100"/>
        <c:noMultiLvlLbl val="0"/>
      </c:catAx>
      <c:valAx>
        <c:axId val="25962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variation totale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878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6</xdr:col>
      <xdr:colOff>533160</xdr:colOff>
      <xdr:row>5</xdr:row>
      <xdr:rowOff>190440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9424080" y="685800"/>
          <a:ext cx="533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8</xdr:col>
      <xdr:colOff>5400</xdr:colOff>
      <xdr:row>12</xdr:row>
      <xdr:rowOff>94680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9424080" y="2209680"/>
          <a:ext cx="12283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9</xdr:col>
      <xdr:colOff>527400</xdr:colOff>
      <xdr:row>20</xdr:row>
      <xdr:rowOff>666000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9424080" y="5638680"/>
          <a:ext cx="2361960" cy="1047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14</xdr:col>
      <xdr:colOff>364320</xdr:colOff>
      <xdr:row>16</xdr:row>
      <xdr:rowOff>178200</xdr:rowOff>
    </xdr:to>
    <xdr:graphicFrame>
      <xdr:nvGraphicFramePr>
        <xdr:cNvPr id="3" name="Chart 1"/>
        <xdr:cNvGraphicFramePr/>
      </xdr:nvGraphicFramePr>
      <xdr:xfrm>
        <a:off x="6109200" y="6858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4" t="s">
        <v>2</v>
      </c>
    </row>
    <row r="5" customFormat="false" ht="15" hidden="false" customHeight="true" outlineLevel="0" collapsed="false"/>
    <row r="6" customFormat="false" ht="60" hidden="false" customHeight="true" outlineLevel="0" collapsed="false">
      <c r="B6" s="5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true" outlineLevel="0" collapsed="false"/>
    <row r="9" customFormat="false" ht="30" hidden="false" customHeight="true" outlineLevel="0" collapsed="false">
      <c r="B9" s="5" t="s">
        <v>5</v>
      </c>
    </row>
    <row r="10" customFormat="false" ht="30" hidden="false" customHeight="true" outlineLevel="0" collapsed="false">
      <c r="B10" s="5" t="s">
        <v>6</v>
      </c>
    </row>
    <row r="11" customFormat="false" ht="15" hidden="false" customHeight="true" outlineLevel="0" collapsed="false">
      <c r="B11" s="5" t="s">
        <v>7</v>
      </c>
    </row>
    <row r="12" customFormat="false" ht="45" hidden="false" customHeight="true" outlineLevel="0" collapsed="false">
      <c r="B12" s="6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true" outlineLevel="0" collapsed="false"/>
    <row r="15" customFormat="false" ht="30" hidden="false" customHeight="true" outlineLevel="0" collapsed="false">
      <c r="B15" s="5" t="s">
        <v>10</v>
      </c>
    </row>
    <row r="16" customFormat="false" ht="30" hidden="false" customHeight="true" outlineLevel="0" collapsed="false">
      <c r="B16" s="5" t="s">
        <v>11</v>
      </c>
    </row>
    <row r="17" customFormat="false" ht="30" hidden="false" customHeight="true" outlineLevel="0" collapsed="false">
      <c r="B17" s="5" t="s">
        <v>12</v>
      </c>
    </row>
    <row r="18" customFormat="false" ht="30" hidden="false" customHeight="true" outlineLevel="0" collapsed="false">
      <c r="B18" s="5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true" outlineLevel="0" collapsed="false"/>
    <row r="21" customFormat="false" ht="60" hidden="false" customHeight="true" outlineLevel="0" collapsed="false">
      <c r="B21" s="5" t="s">
        <v>15</v>
      </c>
    </row>
    <row r="22" customFormat="false" ht="60" hidden="false" customHeight="true" outlineLevel="0" collapsed="false">
      <c r="B22" s="5" t="s">
        <v>16</v>
      </c>
    </row>
    <row r="24" customFormat="false" ht="15" hidden="false" customHeight="false" outlineLevel="0" collapsed="false">
      <c r="B24" s="7" t="s">
        <v>17</v>
      </c>
    </row>
    <row r="25" customFormat="false" ht="15" hidden="false" customHeight="false" outlineLevel="0" collapsed="false">
      <c r="B25" s="8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true" outlineLevel="0" max="8" min="8" style="0" width="12"/>
  </cols>
  <sheetData>
    <row r="1" customFormat="false" ht="24" hidden="false" customHeight="true" outlineLevel="0" collapsed="false">
      <c r="A1" s="1" t="s">
        <v>19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20</v>
      </c>
      <c r="B2" s="2"/>
      <c r="C2" s="2"/>
      <c r="D2" s="2"/>
      <c r="E2" s="2"/>
      <c r="F2" s="2"/>
      <c r="G2" s="2"/>
      <c r="H2" s="2"/>
    </row>
    <row r="3" customFormat="false" ht="45" hidden="false" customHeight="true" outlineLevel="0" collapsed="false">
      <c r="B3" s="9" t="s">
        <v>21</v>
      </c>
      <c r="C3" s="9"/>
      <c r="D3" s="9"/>
      <c r="E3" s="9"/>
      <c r="F3" s="9"/>
      <c r="G3" s="9"/>
    </row>
    <row r="5" customFormat="false" ht="15" hidden="false" customHeight="false" outlineLevel="0" collapsed="false">
      <c r="B5" s="10" t="s">
        <v>22</v>
      </c>
      <c r="C5" s="10" t="s">
        <v>23</v>
      </c>
      <c r="D5" s="10" t="s">
        <v>24</v>
      </c>
      <c r="E5" s="10" t="s">
        <v>25</v>
      </c>
      <c r="F5" s="10" t="s">
        <v>26</v>
      </c>
      <c r="G5" s="10" t="s">
        <v>27</v>
      </c>
    </row>
    <row r="6" customFormat="false" ht="15" hidden="false" customHeight="false" outlineLevel="0" collapsed="false">
      <c r="B6" s="11" t="s">
        <v>28</v>
      </c>
      <c r="C6" s="12" t="s">
        <v>29</v>
      </c>
      <c r="D6" s="13" t="n">
        <v>11.885</v>
      </c>
      <c r="E6" s="13" t="n">
        <v>11.921</v>
      </c>
      <c r="F6" s="13" t="n">
        <v>11.958</v>
      </c>
    </row>
    <row r="7" customFormat="false" ht="15" hidden="false" customHeight="false" outlineLevel="0" collapsed="false">
      <c r="B7" s="11" t="s">
        <v>28</v>
      </c>
      <c r="C7" s="12" t="s">
        <v>30</v>
      </c>
      <c r="D7" s="13" t="n">
        <v>11.887</v>
      </c>
      <c r="E7" s="13" t="n">
        <v>11.92</v>
      </c>
      <c r="F7" s="13" t="n">
        <v>11.96</v>
      </c>
    </row>
    <row r="8" customFormat="false" ht="15" hidden="false" customHeight="false" outlineLevel="0" collapsed="false">
      <c r="B8" s="14" t="s">
        <v>31</v>
      </c>
      <c r="C8" s="15" t="s">
        <v>32</v>
      </c>
      <c r="D8" s="16"/>
      <c r="E8" s="16"/>
      <c r="F8" s="16"/>
      <c r="G8" s="11" t="str">
        <f aca="false">IF(COUNT(D8:F8)&lt;3,"",IF(AND(ABS(D8-(ABS(D6-D7)))&lt;0.0005,ABS(E8-(ABS(E6-E7)))&lt;0.0005,ABS(F8-(ABS(F6-F7)))&lt;0.0005),"Juste","À revoir"))</f>
        <v/>
      </c>
    </row>
    <row r="9" customFormat="false" ht="15" hidden="false" customHeight="false" outlineLevel="0" collapsed="false">
      <c r="B9" s="11" t="s">
        <v>33</v>
      </c>
      <c r="C9" s="12" t="s">
        <v>29</v>
      </c>
      <c r="D9" s="13" t="n">
        <v>11.888</v>
      </c>
      <c r="E9" s="13" t="n">
        <v>11.923</v>
      </c>
      <c r="F9" s="13" t="n">
        <v>11.961</v>
      </c>
    </row>
    <row r="10" customFormat="false" ht="15" hidden="false" customHeight="false" outlineLevel="0" collapsed="false">
      <c r="B10" s="11" t="s">
        <v>33</v>
      </c>
      <c r="C10" s="12" t="s">
        <v>30</v>
      </c>
      <c r="D10" s="13" t="n">
        <v>11.889</v>
      </c>
      <c r="E10" s="13" t="n">
        <v>11.922</v>
      </c>
      <c r="F10" s="13" t="n">
        <v>11.96</v>
      </c>
    </row>
    <row r="11" customFormat="false" ht="15" hidden="false" customHeight="false" outlineLevel="0" collapsed="false">
      <c r="B11" s="14" t="s">
        <v>34</v>
      </c>
      <c r="C11" s="15" t="s">
        <v>32</v>
      </c>
      <c r="D11" s="16"/>
      <c r="E11" s="16"/>
      <c r="F11" s="16"/>
      <c r="G11" s="11" t="str">
        <f aca="false">IF(COUNT(D11:F11)&lt;3,"",IF(AND(ABS(D11-(ABS(D9-D10)))&lt;0.0005,ABS(E11-(ABS(E9-E10)))&lt;0.0005,ABS(F11-(ABS(F9-F10)))&lt;0.0005),"Juste","À revoir"))</f>
        <v/>
      </c>
    </row>
    <row r="12" customFormat="false" ht="15" hidden="false" customHeight="false" outlineLevel="0" collapsed="false">
      <c r="B12" s="14" t="s">
        <v>35</v>
      </c>
      <c r="C12" s="15" t="s">
        <v>36</v>
      </c>
      <c r="D12" s="17"/>
      <c r="E12" s="17"/>
      <c r="F12" s="17"/>
      <c r="G12" s="11" t="str">
        <f aca="false">IF(COUNT(D12:F12)&lt;3,"",IF(AND(ABS(D12-(AVERAGE(D6:D7,D9:D10)))&lt;0.0005,ABS(E12-(AVERAGE(E6:E7,E9:E10)))&lt;0.0005,ABS(F12-(AVERAGE(F6:F7,F9:F10)))&lt;0.0005),"Juste","À revoir"))</f>
        <v/>
      </c>
    </row>
    <row r="14" customFormat="false" ht="15" hidden="false" customHeight="false" outlineLevel="0" collapsed="false">
      <c r="A14" s="10" t="s">
        <v>37</v>
      </c>
      <c r="B14" s="10" t="s">
        <v>38</v>
      </c>
      <c r="C14" s="10" t="s">
        <v>39</v>
      </c>
      <c r="D14" s="10" t="s">
        <v>40</v>
      </c>
      <c r="E14" s="10" t="s">
        <v>27</v>
      </c>
      <c r="H14" s="18" t="s">
        <v>41</v>
      </c>
    </row>
    <row r="15" customFormat="false" ht="30" hidden="false" customHeight="true" outlineLevel="0" collapsed="false">
      <c r="A15" s="19" t="n">
        <v>1</v>
      </c>
      <c r="B15" s="20" t="s">
        <v>42</v>
      </c>
      <c r="C15" s="21" t="s">
        <v>43</v>
      </c>
      <c r="D15" s="17"/>
      <c r="E15" s="19" t="str">
        <f aca="false">IF(D15="","",IF(ABS(D15-H15)&lt;=IF(ABS(H15)&gt;1,0.0005,MAX(0.0002,0.03*ABS(H15))),"Juste","À revoir"))</f>
        <v/>
      </c>
      <c r="H15" s="22" t="n">
        <f aca="false">AVERAGE(ABS(D6-D7),ABS(E6-E7),ABS(F6-F7))</f>
        <v>0.00166666666666693</v>
      </c>
    </row>
    <row r="16" customFormat="false" ht="30" hidden="false" customHeight="true" outlineLevel="0" collapsed="false">
      <c r="A16" s="19" t="n">
        <v>2</v>
      </c>
      <c r="B16" s="20" t="s">
        <v>44</v>
      </c>
      <c r="C16" s="21" t="s">
        <v>45</v>
      </c>
      <c r="D16" s="17"/>
      <c r="E16" s="19" t="str">
        <f aca="false">IF(D16="","",IF(ABS(D16-H16)&lt;=IF(ABS(H16)&gt;1,0.0005,MAX(0.0002,0.03*ABS(H16))),"Juste","À revoir"))</f>
        <v/>
      </c>
      <c r="H16" s="22" t="n">
        <f aca="false">AVERAGE(ABS(D9-D10),ABS(E9-E10),ABS(F9-F10))</f>
        <v>0.000999999999999446</v>
      </c>
    </row>
    <row r="17" customFormat="false" ht="30" hidden="false" customHeight="true" outlineLevel="0" collapsed="false">
      <c r="A17" s="19" t="n">
        <v>3</v>
      </c>
      <c r="B17" s="20" t="s">
        <v>46</v>
      </c>
      <c r="C17" s="21" t="s">
        <v>47</v>
      </c>
      <c r="D17" s="17"/>
      <c r="E17" s="19" t="str">
        <f aca="false">IF(D17="","",IF(ABS(D17-H17)&lt;=IF(ABS(H17)&gt;1,0.0005,MAX(0.0002,0.03*ABS(H17))),"Juste","À revoir"))</f>
        <v/>
      </c>
      <c r="H17" s="22" t="n">
        <f aca="false">(H15+H16)/2</f>
        <v>0.00133333333333319</v>
      </c>
    </row>
    <row r="18" customFormat="false" ht="45.75" hidden="false" customHeight="true" outlineLevel="0" collapsed="false">
      <c r="A18" s="19" t="n">
        <v>4</v>
      </c>
      <c r="B18" s="20" t="s">
        <v>48</v>
      </c>
      <c r="C18" s="21" t="s">
        <v>49</v>
      </c>
      <c r="D18" s="17"/>
      <c r="E18" s="19" t="str">
        <f aca="false">IF(D18="","",IF(ABS(D18-H18)&lt;=IF(ABS(H18)&gt;1,0.0005,MAX(0.0002,0.03*ABS(H18))),"Juste","À revoir"))</f>
        <v/>
      </c>
      <c r="H18" s="22" t="n">
        <f aca="false">H17*0.8862</f>
        <v>0.00118159999999987</v>
      </c>
    </row>
    <row r="19" customFormat="false" ht="30" hidden="false" customHeight="true" outlineLevel="0" collapsed="false">
      <c r="A19" s="19" t="n">
        <v>5</v>
      </c>
      <c r="B19" s="20" t="s">
        <v>50</v>
      </c>
      <c r="C19" s="21" t="s">
        <v>51</v>
      </c>
      <c r="D19" s="17"/>
      <c r="E19" s="19" t="str">
        <f aca="false">IF(D19="","",IF(ABS(D19-H19)&lt;=IF(ABS(H19)&gt;1,0.0005,MAX(0.0002,0.03*ABS(H19))),"Juste","À revoir"))</f>
        <v/>
      </c>
      <c r="H19" s="22" t="n">
        <f aca="false">AVERAGE(D6:F7)</f>
        <v>11.9218333333333</v>
      </c>
    </row>
    <row r="20" customFormat="false" ht="30" hidden="false" customHeight="true" outlineLevel="0" collapsed="false">
      <c r="A20" s="19" t="n">
        <v>6</v>
      </c>
      <c r="B20" s="20" t="s">
        <v>52</v>
      </c>
      <c r="C20" s="21" t="s">
        <v>51</v>
      </c>
      <c r="D20" s="17"/>
      <c r="E20" s="19" t="str">
        <f aca="false">IF(D20="","",IF(ABS(D20-H20)&lt;=IF(ABS(H20)&gt;1,0.0005,MAX(0.0002,0.03*ABS(H20))),"Juste","À revoir"))</f>
        <v/>
      </c>
      <c r="H20" s="22" t="n">
        <f aca="false">AVERAGE(D9:F10)</f>
        <v>11.9238333333333</v>
      </c>
    </row>
    <row r="21" customFormat="false" ht="30" hidden="false" customHeight="true" outlineLevel="0" collapsed="false">
      <c r="A21" s="19" t="n">
        <v>7</v>
      </c>
      <c r="B21" s="20" t="s">
        <v>53</v>
      </c>
      <c r="C21" s="21" t="s">
        <v>54</v>
      </c>
      <c r="D21" s="17"/>
      <c r="E21" s="19" t="str">
        <f aca="false">IF(D21="","",IF(ABS(D21-H21)&lt;=IF(ABS(H21)&gt;1,0.0005,MAX(0.0002,0.03*ABS(H21))),"Juste","À revoir"))</f>
        <v/>
      </c>
      <c r="H21" s="22" t="n">
        <f aca="false">ABS(H19-H20)</f>
        <v>0.00200000000000067</v>
      </c>
    </row>
    <row r="22" customFormat="false" ht="61.5" hidden="false" customHeight="true" outlineLevel="0" collapsed="false">
      <c r="A22" s="19" t="n">
        <v>8</v>
      </c>
      <c r="B22" s="20" t="s">
        <v>55</v>
      </c>
      <c r="C22" s="21" t="s">
        <v>56</v>
      </c>
      <c r="D22" s="17"/>
      <c r="E22" s="19" t="str">
        <f aca="false">IF(D22="","",IF(ABS(D22-H22)&lt;=IF(ABS(H22)&gt;1,0.0005,MAX(0.0002,0.03*ABS(H22))),"Juste","À revoir"))</f>
        <v/>
      </c>
      <c r="H22" s="22" t="n">
        <f aca="false">SQRT(MAX(0,(H21*0.7071)^2-H18^2/6))</f>
        <v>0.00132938527648486</v>
      </c>
    </row>
    <row r="23" customFormat="false" ht="45.75" hidden="false" customHeight="true" outlineLevel="0" collapsed="false">
      <c r="A23" s="19" t="n">
        <v>9</v>
      </c>
      <c r="B23" s="20" t="s">
        <v>57</v>
      </c>
      <c r="C23" s="21" t="s">
        <v>58</v>
      </c>
      <c r="D23" s="17"/>
      <c r="E23" s="19" t="str">
        <f aca="false">IF(D23="","",IF(ABS(D23-H23)&lt;=IF(ABS(H23)&gt;1,0.0005,MAX(0.0002,0.03*ABS(H23))),"Juste","À revoir"))</f>
        <v/>
      </c>
      <c r="H23" s="22" t="n">
        <f aca="false">SQRT(H18^2+H22^2)</f>
        <v>0.0017786072566293</v>
      </c>
    </row>
    <row r="24" customFormat="false" ht="30" hidden="false" customHeight="true" outlineLevel="0" collapsed="false">
      <c r="A24" s="19" t="n">
        <v>10</v>
      </c>
      <c r="B24" s="20" t="s">
        <v>59</v>
      </c>
      <c r="C24" s="21" t="s">
        <v>60</v>
      </c>
      <c r="D24" s="17"/>
      <c r="E24" s="19" t="str">
        <f aca="false">IF(D24="","",IF(ABS(D24-H24)&lt;=IF(ABS(H24)&gt;1,0.0005,MAX(0.0002,0.03*ABS(H24))),"Juste","À revoir"))</f>
        <v/>
      </c>
      <c r="H24" s="22" t="n">
        <f aca="false">MAX(AVERAGE(D6:D7,D9:D10),AVERAGE(E6:E7,E9:E10),AVERAGE(F6:F7,F9:F10))-MIN(AVERAGE(D6:D7,D9:D10),AVERAGE(E6:E7,E9:E10),AVERAGE(F6:F7,F9:F10))</f>
        <v>0.0724999999999998</v>
      </c>
    </row>
    <row r="25" customFormat="false" ht="45.75" hidden="false" customHeight="true" outlineLevel="0" collapsed="false">
      <c r="A25" s="19" t="n">
        <v>11</v>
      </c>
      <c r="B25" s="20" t="s">
        <v>61</v>
      </c>
      <c r="C25" s="21" t="s">
        <v>62</v>
      </c>
      <c r="D25" s="17"/>
      <c r="E25" s="19" t="str">
        <f aca="false">IF(D25="","",IF(ABS(D25-H25)&lt;=IF(ABS(H25)&gt;1,0.0005,MAX(0.0002,0.03*ABS(H25))),"Juste","À revoir"))</f>
        <v/>
      </c>
      <c r="H25" s="22" t="n">
        <f aca="false">H24*0.5231</f>
        <v>0.0379247499999999</v>
      </c>
    </row>
    <row r="26" customFormat="false" ht="30" hidden="false" customHeight="true" outlineLevel="0" collapsed="false">
      <c r="A26" s="19" t="n">
        <v>12</v>
      </c>
      <c r="B26" s="20" t="s">
        <v>63</v>
      </c>
      <c r="C26" s="21" t="s">
        <v>64</v>
      </c>
      <c r="D26" s="17"/>
      <c r="E26" s="19" t="str">
        <f aca="false">IF(D26="","",IF(ABS(D26-H26)&lt;=IF(ABS(H26)&gt;1,0.0005,MAX(0.0002,0.03*ABS(H26))),"Juste","À revoir"))</f>
        <v/>
      </c>
      <c r="H26" s="22" t="n">
        <f aca="false">SQRT(H23^2+H25^2)</f>
        <v>0.0379664339428373</v>
      </c>
    </row>
    <row r="27" customFormat="false" ht="30" hidden="false" customHeight="true" outlineLevel="0" collapsed="false">
      <c r="A27" s="19" t="n">
        <v>13</v>
      </c>
      <c r="B27" s="20" t="s">
        <v>65</v>
      </c>
      <c r="C27" s="21" t="s">
        <v>66</v>
      </c>
      <c r="D27" s="23"/>
      <c r="E27" s="19" t="str">
        <f aca="false">IF(D27="","",IF(ABS(IF(D27&gt;1,D27/100,D27)-H27)&lt;=0.006,"Juste","À revoir"))</f>
        <v/>
      </c>
      <c r="H27" s="24" t="n">
        <f aca="false">H23/H26</f>
        <v>0.0468468347411083</v>
      </c>
    </row>
    <row r="28" customFormat="false" ht="30" hidden="false" customHeight="true" outlineLevel="0" collapsed="false">
      <c r="A28" s="19" t="n">
        <v>14</v>
      </c>
      <c r="B28" s="20" t="s">
        <v>67</v>
      </c>
      <c r="C28" s="21" t="s">
        <v>68</v>
      </c>
      <c r="D28" s="23"/>
      <c r="E28" s="19" t="str">
        <f aca="false">IF(D28="","",IF(ABS(IF(D28&gt;1,D28/100,D28)-H28)&lt;=0.006,"Juste","À revoir"))</f>
        <v/>
      </c>
      <c r="H28" s="24" t="n">
        <f aca="false">6*H23/0.15</f>
        <v>0.0711442902651721</v>
      </c>
    </row>
    <row r="29" customFormat="false" ht="30" hidden="false" customHeight="true" outlineLevel="0" collapsed="false">
      <c r="A29" s="19" t="n">
        <v>15</v>
      </c>
      <c r="B29" s="20" t="s">
        <v>69</v>
      </c>
      <c r="C29" s="21" t="s">
        <v>70</v>
      </c>
      <c r="D29" s="25"/>
      <c r="E29" s="19" t="str">
        <f aca="false">IF(D29="","",IF(D29=H29,"Juste","À revoir"))</f>
        <v/>
      </c>
      <c r="H29" s="26" t="n">
        <f aca="false">INT(1.41*H25/H23)</f>
        <v>30</v>
      </c>
    </row>
    <row r="31" customFormat="false" ht="31.5" hidden="false" customHeight="true" outlineLevel="0" collapsed="false">
      <c r="B31" s="27" t="s">
        <v>71</v>
      </c>
      <c r="C31" s="28" t="str">
        <f aca="false">IF(COUNTIF(E15:E29,"Juste")&lt;15,"Terminez les 15 étapes",IF(H27&lt;0.1,"Variation totale : accepté",IF(H27&lt;=0.3,"Variation totale : acceptable selon l'enjeu","Variation totale : refusé"))&amp;" · "&amp;IF(H28&lt;0.1,"tolérance : accepté",IF(H28&lt;=0.3,"tolérance : acceptable selon l'enjeu","tolérance : refusé"))&amp;" · ndc = "&amp;H29)</f>
        <v>Terminez les 15 étapes</v>
      </c>
      <c r="D31" s="28"/>
      <c r="E31" s="28"/>
      <c r="F31" s="28"/>
      <c r="G31" s="28"/>
    </row>
    <row r="33" customFormat="false" ht="30" hidden="false" customHeight="true" outlineLevel="0" collapsed="false">
      <c r="B33" s="29" t="s">
        <v>72</v>
      </c>
      <c r="C33" s="29"/>
      <c r="D33" s="29"/>
      <c r="E33" s="29"/>
      <c r="F33" s="29"/>
      <c r="G33" s="29"/>
    </row>
  </sheetData>
  <mergeCells count="3">
    <mergeCell ref="B3:G3"/>
    <mergeCell ref="C31:G31"/>
    <mergeCell ref="B33:G33"/>
  </mergeCells>
  <conditionalFormatting sqref="G8">
    <cfRule type="expression" priority="2" aboveAverage="0" equalAverage="0" bottom="0" percent="0" rank="0" text="" dxfId="0">
      <formula>G8="Juste"</formula>
    </cfRule>
    <cfRule type="expression" priority="3" aboveAverage="0" equalAverage="0" bottom="0" percent="0" rank="0" text="" dxfId="1">
      <formula>G8="À revoir"</formula>
    </cfRule>
  </conditionalFormatting>
  <conditionalFormatting sqref="G11">
    <cfRule type="expression" priority="4" aboveAverage="0" equalAverage="0" bottom="0" percent="0" rank="0" text="" dxfId="0">
      <formula>G11="Juste"</formula>
    </cfRule>
    <cfRule type="expression" priority="5" aboveAverage="0" equalAverage="0" bottom="0" percent="0" rank="0" text="" dxfId="1">
      <formula>G11="À revoir"</formula>
    </cfRule>
  </conditionalFormatting>
  <conditionalFormatting sqref="G12">
    <cfRule type="expression" priority="6" aboveAverage="0" equalAverage="0" bottom="0" percent="0" rank="0" text="" dxfId="0">
      <formula>G12="Juste"</formula>
    </cfRule>
    <cfRule type="expression" priority="7" aboveAverage="0" equalAverage="0" bottom="0" percent="0" rank="0" text="" dxfId="1">
      <formula>G12="À revoir"</formula>
    </cfRule>
  </conditionalFormatting>
  <conditionalFormatting sqref="E15:E29">
    <cfRule type="expression" priority="8" aboveAverage="0" equalAverage="0" bottom="0" percent="0" rank="0" text="" dxfId="0">
      <formula>E15="Juste"</formula>
    </cfRule>
    <cfRule type="expression" priority="9" aboveAverage="0" equalAverage="0" bottom="0" percent="0" rank="0" text="" dxfId="1">
      <formula>E15="À revoir"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12" min="3" style="0" width="9.51"/>
    <col collapsed="false" customWidth="true" hidden="false" outlineLevel="0" max="13" min="13" style="0" width="12"/>
  </cols>
  <sheetData>
    <row r="1" customFormat="false" ht="24" hidden="false" customHeight="true" outlineLevel="0" collapsed="false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27" t="s">
        <v>75</v>
      </c>
      <c r="B4" s="7" t="s">
        <v>76</v>
      </c>
      <c r="C4" s="7"/>
      <c r="D4" s="7"/>
    </row>
    <row r="5" customFormat="false" ht="15" hidden="false" customHeight="false" outlineLevel="0" collapsed="false">
      <c r="A5" s="27" t="s">
        <v>77</v>
      </c>
      <c r="B5" s="16" t="n">
        <v>11.85</v>
      </c>
      <c r="E5" s="30" t="s">
        <v>78</v>
      </c>
    </row>
    <row r="6" customFormat="false" ht="15" hidden="false" customHeight="false" outlineLevel="0" collapsed="false">
      <c r="A6" s="27" t="s">
        <v>79</v>
      </c>
      <c r="B6" s="16" t="n">
        <v>12</v>
      </c>
    </row>
    <row r="7" customFormat="false" ht="15" hidden="false" customHeight="false" outlineLevel="0" collapsed="false">
      <c r="A7" s="27" t="s">
        <v>80</v>
      </c>
      <c r="B7" s="16" t="n">
        <v>0.02</v>
      </c>
    </row>
    <row r="9" customFormat="false" ht="15" hidden="false" customHeight="false" outlineLevel="0" collapsed="false">
      <c r="A9" s="10" t="s">
        <v>81</v>
      </c>
      <c r="B9" s="10" t="s">
        <v>23</v>
      </c>
      <c r="C9" s="10" t="s">
        <v>82</v>
      </c>
      <c r="D9" s="10" t="s">
        <v>83</v>
      </c>
      <c r="E9" s="10" t="s">
        <v>84</v>
      </c>
      <c r="F9" s="10" t="s">
        <v>85</v>
      </c>
      <c r="G9" s="10" t="s">
        <v>86</v>
      </c>
      <c r="H9" s="10" t="s">
        <v>87</v>
      </c>
      <c r="I9" s="10" t="s">
        <v>88</v>
      </c>
      <c r="J9" s="10" t="s">
        <v>89</v>
      </c>
      <c r="K9" s="10" t="s">
        <v>90</v>
      </c>
      <c r="L9" s="10" t="s">
        <v>91</v>
      </c>
      <c r="M9" s="10" t="s">
        <v>92</v>
      </c>
    </row>
    <row r="10" customFormat="false" ht="15" hidden="false" customHeight="false" outlineLevel="0" collapsed="false">
      <c r="A10" s="14" t="s">
        <v>28</v>
      </c>
      <c r="B10" s="15" t="n">
        <v>1</v>
      </c>
      <c r="C10" s="16" t="n">
        <v>11.86</v>
      </c>
      <c r="D10" s="16" t="n">
        <v>11.86</v>
      </c>
      <c r="E10" s="16" t="n">
        <v>11.88</v>
      </c>
      <c r="F10" s="16" t="n">
        <v>11.9</v>
      </c>
      <c r="G10" s="16" t="n">
        <v>11.92</v>
      </c>
      <c r="H10" s="16" t="n">
        <v>11.9</v>
      </c>
      <c r="I10" s="16" t="n">
        <v>11.94</v>
      </c>
      <c r="J10" s="16" t="n">
        <v>11.9</v>
      </c>
      <c r="K10" s="16" t="n">
        <v>11.94</v>
      </c>
      <c r="L10" s="16" t="n">
        <v>11.96</v>
      </c>
      <c r="M10" s="31" t="n">
        <f aca="false">IFERROR(AVERAGE(C10:L10),"")</f>
        <v>11.906</v>
      </c>
    </row>
    <row r="11" customFormat="false" ht="15" hidden="false" customHeight="false" outlineLevel="0" collapsed="false">
      <c r="A11" s="14" t="s">
        <v>28</v>
      </c>
      <c r="B11" s="15" t="n">
        <v>2</v>
      </c>
      <c r="C11" s="16" t="n">
        <v>11.86</v>
      </c>
      <c r="D11" s="16" t="n">
        <v>11.88</v>
      </c>
      <c r="E11" s="16" t="n">
        <v>11.88</v>
      </c>
      <c r="F11" s="16" t="n">
        <v>11.9</v>
      </c>
      <c r="G11" s="16" t="n">
        <v>11.92</v>
      </c>
      <c r="H11" s="16" t="n">
        <v>11.9</v>
      </c>
      <c r="I11" s="16" t="n">
        <v>11.92</v>
      </c>
      <c r="J11" s="16" t="n">
        <v>11.94</v>
      </c>
      <c r="K11" s="16" t="n">
        <v>11.94</v>
      </c>
      <c r="L11" s="16" t="n">
        <v>11.96</v>
      </c>
      <c r="M11" s="31" t="n">
        <f aca="false">IFERROR(AVERAGE(C11:L11),"")</f>
        <v>11.91</v>
      </c>
    </row>
    <row r="12" customFormat="false" ht="15" hidden="false" customHeight="false" outlineLevel="0" collapsed="false">
      <c r="A12" s="14" t="s">
        <v>33</v>
      </c>
      <c r="B12" s="15" t="n">
        <v>1</v>
      </c>
      <c r="C12" s="16" t="n">
        <v>11.86</v>
      </c>
      <c r="D12" s="16" t="n">
        <v>11.88</v>
      </c>
      <c r="E12" s="16" t="n">
        <v>11.88</v>
      </c>
      <c r="F12" s="16" t="n">
        <v>11.9</v>
      </c>
      <c r="G12" s="16" t="n">
        <v>11.92</v>
      </c>
      <c r="H12" s="16" t="n">
        <v>11.92</v>
      </c>
      <c r="I12" s="16" t="n">
        <v>11.92</v>
      </c>
      <c r="J12" s="16" t="n">
        <v>11.92</v>
      </c>
      <c r="K12" s="16" t="n">
        <v>11.94</v>
      </c>
      <c r="L12" s="16" t="n">
        <v>11.98</v>
      </c>
      <c r="M12" s="31" t="n">
        <f aca="false">IFERROR(AVERAGE(C12:L12),"")</f>
        <v>11.912</v>
      </c>
    </row>
    <row r="13" customFormat="false" ht="15" hidden="false" customHeight="false" outlineLevel="0" collapsed="false">
      <c r="A13" s="14" t="s">
        <v>33</v>
      </c>
      <c r="B13" s="15" t="n">
        <v>2</v>
      </c>
      <c r="C13" s="16" t="n">
        <v>11.86</v>
      </c>
      <c r="D13" s="16" t="n">
        <v>11.88</v>
      </c>
      <c r="E13" s="16" t="n">
        <v>11.9</v>
      </c>
      <c r="F13" s="16" t="n">
        <v>11.9</v>
      </c>
      <c r="G13" s="16" t="n">
        <v>11.9</v>
      </c>
      <c r="H13" s="16" t="n">
        <v>11.92</v>
      </c>
      <c r="I13" s="16" t="n">
        <v>11.92</v>
      </c>
      <c r="J13" s="16" t="n">
        <v>11.94</v>
      </c>
      <c r="K13" s="16" t="n">
        <v>11.96</v>
      </c>
      <c r="L13" s="16" t="n">
        <v>11.98</v>
      </c>
      <c r="M13" s="31" t="n">
        <f aca="false">IFERROR(AVERAGE(C13:L13),"")</f>
        <v>11.916</v>
      </c>
    </row>
    <row r="14" customFormat="false" ht="15" hidden="false" customHeight="false" outlineLevel="0" collapsed="false">
      <c r="A14" s="14" t="s">
        <v>93</v>
      </c>
      <c r="B14" s="15" t="n">
        <v>1</v>
      </c>
      <c r="C14" s="16" t="n">
        <v>11.86</v>
      </c>
      <c r="D14" s="16" t="n">
        <v>11.86</v>
      </c>
      <c r="E14" s="16" t="n">
        <v>11.88</v>
      </c>
      <c r="F14" s="16" t="n">
        <v>11.88</v>
      </c>
      <c r="G14" s="16" t="n">
        <v>11.9</v>
      </c>
      <c r="H14" s="16" t="n">
        <v>11.9</v>
      </c>
      <c r="I14" s="16" t="n">
        <v>11.92</v>
      </c>
      <c r="J14" s="16" t="n">
        <v>11.92</v>
      </c>
      <c r="K14" s="16" t="n">
        <v>11.94</v>
      </c>
      <c r="L14" s="16" t="n">
        <v>11.96</v>
      </c>
      <c r="M14" s="31" t="n">
        <f aca="false">IFERROR(AVERAGE(C14:L14),"")</f>
        <v>11.902</v>
      </c>
    </row>
    <row r="15" customFormat="false" ht="15" hidden="false" customHeight="false" outlineLevel="0" collapsed="false">
      <c r="A15" s="14" t="s">
        <v>93</v>
      </c>
      <c r="B15" s="15" t="n">
        <v>2</v>
      </c>
      <c r="C15" s="16" t="n">
        <v>11.88</v>
      </c>
      <c r="D15" s="16" t="n">
        <v>11.86</v>
      </c>
      <c r="E15" s="16" t="n">
        <v>11.88</v>
      </c>
      <c r="F15" s="16" t="n">
        <v>11.88</v>
      </c>
      <c r="G15" s="16" t="n">
        <v>11.9</v>
      </c>
      <c r="H15" s="16" t="n">
        <v>11.9</v>
      </c>
      <c r="I15" s="16" t="n">
        <v>11.92</v>
      </c>
      <c r="J15" s="16" t="n">
        <v>11.92</v>
      </c>
      <c r="K15" s="16" t="n">
        <v>11.92</v>
      </c>
      <c r="L15" s="16" t="n">
        <v>11.96</v>
      </c>
      <c r="M15" s="31" t="n">
        <f aca="false">IFERROR(AVERAGE(C15:L15),"")</f>
        <v>11.902</v>
      </c>
    </row>
    <row r="16" customFormat="false" ht="15" hidden="false" customHeight="false" outlineLevel="0" collapsed="false">
      <c r="A16" s="14" t="s">
        <v>94</v>
      </c>
      <c r="C16" s="32" t="n">
        <f aca="false">IF(COUNT(C10:C11)&lt;2,"",ABS(C10-C11))</f>
        <v>0</v>
      </c>
      <c r="D16" s="32" t="n">
        <f aca="false">IF(COUNT(D10:D11)&lt;2,"",ABS(D10-D11))</f>
        <v>0.0200000000000014</v>
      </c>
      <c r="E16" s="32" t="n">
        <f aca="false">IF(COUNT(E10:E11)&lt;2,"",ABS(E10-E11))</f>
        <v>0</v>
      </c>
      <c r="F16" s="32" t="n">
        <f aca="false">IF(COUNT(F10:F11)&lt;2,"",ABS(F10-F11))</f>
        <v>0</v>
      </c>
      <c r="G16" s="32" t="n">
        <f aca="false">IF(COUNT(G10:G11)&lt;2,"",ABS(G10-G11))</f>
        <v>0</v>
      </c>
      <c r="H16" s="32" t="n">
        <f aca="false">IF(COUNT(H10:H11)&lt;2,"",ABS(H10-H11))</f>
        <v>0</v>
      </c>
      <c r="I16" s="32" t="n">
        <f aca="false">IF(COUNT(I10:I11)&lt;2,"",ABS(I10-I11))</f>
        <v>0.0199999999999996</v>
      </c>
      <c r="J16" s="32" t="n">
        <f aca="false">IF(COUNT(J10:J11)&lt;2,"",ABS(J10-J11))</f>
        <v>0.0399999999999992</v>
      </c>
      <c r="K16" s="32" t="n">
        <f aca="false">IF(COUNT(K10:K11)&lt;2,"",ABS(K10-K11))</f>
        <v>0</v>
      </c>
      <c r="L16" s="32" t="n">
        <f aca="false">IF(COUNT(L10:L11)&lt;2,"",ABS(L10-L11))</f>
        <v>0</v>
      </c>
    </row>
    <row r="17" customFormat="false" ht="15" hidden="false" customHeight="false" outlineLevel="0" collapsed="false">
      <c r="A17" s="14" t="s">
        <v>95</v>
      </c>
      <c r="C17" s="32" t="n">
        <f aca="false">IF(COUNT(C12:C13)&lt;2,"",ABS(C12-C13))</f>
        <v>0</v>
      </c>
      <c r="D17" s="32" t="n">
        <f aca="false">IF(COUNT(D12:D13)&lt;2,"",ABS(D12-D13))</f>
        <v>0</v>
      </c>
      <c r="E17" s="32" t="n">
        <f aca="false">IF(COUNT(E12:E13)&lt;2,"",ABS(E12-E13))</f>
        <v>0.0199999999999996</v>
      </c>
      <c r="F17" s="32" t="n">
        <f aca="false">IF(COUNT(F12:F13)&lt;2,"",ABS(F12-F13))</f>
        <v>0</v>
      </c>
      <c r="G17" s="32" t="n">
        <f aca="false">IF(COUNT(G12:G13)&lt;2,"",ABS(G12-G13))</f>
        <v>0.0199999999999996</v>
      </c>
      <c r="H17" s="32" t="n">
        <f aca="false">IF(COUNT(H12:H13)&lt;2,"",ABS(H12-H13))</f>
        <v>0</v>
      </c>
      <c r="I17" s="32" t="n">
        <f aca="false">IF(COUNT(I12:I13)&lt;2,"",ABS(I12-I13))</f>
        <v>0</v>
      </c>
      <c r="J17" s="32" t="n">
        <f aca="false">IF(COUNT(J12:J13)&lt;2,"",ABS(J12-J13))</f>
        <v>0.0199999999999996</v>
      </c>
      <c r="K17" s="32" t="n">
        <f aca="false">IF(COUNT(K12:K13)&lt;2,"",ABS(K12-K13))</f>
        <v>0.0200000000000014</v>
      </c>
      <c r="L17" s="32" t="n">
        <f aca="false">IF(COUNT(L12:L13)&lt;2,"",ABS(L12-L13))</f>
        <v>0</v>
      </c>
    </row>
    <row r="18" customFormat="false" ht="15" hidden="false" customHeight="false" outlineLevel="0" collapsed="false">
      <c r="A18" s="14" t="s">
        <v>96</v>
      </c>
      <c r="C18" s="32" t="n">
        <f aca="false">IF(COUNT(C14:C15)&lt;2,"",ABS(C14-C15))</f>
        <v>0.0200000000000014</v>
      </c>
      <c r="D18" s="32" t="n">
        <f aca="false">IF(COUNT(D14:D15)&lt;2,"",ABS(D14-D15))</f>
        <v>0</v>
      </c>
      <c r="E18" s="32" t="n">
        <f aca="false">IF(COUNT(E14:E15)&lt;2,"",ABS(E14-E15))</f>
        <v>0</v>
      </c>
      <c r="F18" s="32" t="n">
        <f aca="false">IF(COUNT(F14:F15)&lt;2,"",ABS(F14-F15))</f>
        <v>0</v>
      </c>
      <c r="G18" s="32" t="n">
        <f aca="false">IF(COUNT(G14:G15)&lt;2,"",ABS(G14-G15))</f>
        <v>0</v>
      </c>
      <c r="H18" s="32" t="n">
        <f aca="false">IF(COUNT(H14:H15)&lt;2,"",ABS(H14-H15))</f>
        <v>0</v>
      </c>
      <c r="I18" s="32" t="n">
        <f aca="false">IF(COUNT(I14:I15)&lt;2,"",ABS(I14-I15))</f>
        <v>0</v>
      </c>
      <c r="J18" s="32" t="n">
        <f aca="false">IF(COUNT(J14:J15)&lt;2,"",ABS(J14-J15))</f>
        <v>0</v>
      </c>
      <c r="K18" s="32" t="n">
        <f aca="false">IF(COUNT(K14:K15)&lt;2,"",ABS(K14-K15))</f>
        <v>0.0199999999999996</v>
      </c>
      <c r="L18" s="32" t="n">
        <f aca="false">IF(COUNT(L14:L15)&lt;2,"",ABS(L14-L15))</f>
        <v>0</v>
      </c>
    </row>
    <row r="19" customFormat="false" ht="15" hidden="false" customHeight="false" outlineLevel="0" collapsed="false">
      <c r="A19" s="14" t="s">
        <v>97</v>
      </c>
      <c r="C19" s="31" t="n">
        <f aca="false">IFERROR(AVERAGE(C10:C15),"")</f>
        <v>11.8633333333333</v>
      </c>
      <c r="D19" s="31" t="n">
        <f aca="false">IFERROR(AVERAGE(D10:D15),"")</f>
        <v>11.87</v>
      </c>
      <c r="E19" s="31" t="n">
        <f aca="false">IFERROR(AVERAGE(E10:E15),"")</f>
        <v>11.8833333333333</v>
      </c>
      <c r="F19" s="31" t="n">
        <f aca="false">IFERROR(AVERAGE(F10:F15),"")</f>
        <v>11.8933333333333</v>
      </c>
      <c r="G19" s="31" t="n">
        <f aca="false">IFERROR(AVERAGE(G10:G15),"")</f>
        <v>11.91</v>
      </c>
      <c r="H19" s="31" t="n">
        <f aca="false">IFERROR(AVERAGE(H10:H15),"")</f>
        <v>11.9066666666667</v>
      </c>
      <c r="I19" s="31" t="n">
        <f aca="false">IFERROR(AVERAGE(I10:I15),"")</f>
        <v>11.9233333333333</v>
      </c>
      <c r="J19" s="31" t="n">
        <f aca="false">IFERROR(AVERAGE(J10:J15),"")</f>
        <v>11.9233333333333</v>
      </c>
      <c r="K19" s="31" t="n">
        <f aca="false">IFERROR(AVERAGE(K10:K15),"")</f>
        <v>11.94</v>
      </c>
      <c r="L19" s="31" t="n">
        <f aca="false">IFERROR(AVERAGE(L10:L15),"")</f>
        <v>11.9666666666667</v>
      </c>
    </row>
    <row r="20" customFormat="false" ht="15" hidden="false" customHeight="false" outlineLevel="0" collapsed="false">
      <c r="A20" s="33" t="s">
        <v>98</v>
      </c>
      <c r="B20" s="34" t="n">
        <f aca="false">COUNT(C10:L15)</f>
        <v>60</v>
      </c>
    </row>
    <row r="22" customFormat="false" ht="15" hidden="false" customHeight="true" outlineLevel="0" collapsed="false">
      <c r="A22" s="10" t="s">
        <v>99</v>
      </c>
      <c r="B22" s="10" t="s">
        <v>100</v>
      </c>
      <c r="D22" s="10" t="s">
        <v>101</v>
      </c>
      <c r="E22" s="10"/>
      <c r="F22" s="10"/>
      <c r="G22" s="10" t="s">
        <v>102</v>
      </c>
      <c r="H22" s="10"/>
      <c r="I22" s="10" t="s">
        <v>103</v>
      </c>
      <c r="J22" s="10"/>
    </row>
    <row r="23" customFormat="false" ht="15" hidden="false" customHeight="false" outlineLevel="0" collapsed="false">
      <c r="A23" s="33" t="s">
        <v>104</v>
      </c>
      <c r="B23" s="31" t="n">
        <f aca="false">AVERAGE(C16:L16)</f>
        <v>0.00800000000000001</v>
      </c>
      <c r="D23" s="35" t="s">
        <v>105</v>
      </c>
      <c r="E23" s="35"/>
      <c r="F23" s="35"/>
      <c r="G23" s="36" t="n">
        <f aca="false">IFERROR(B37/$B$41,"")</f>
        <v>0.175800955318987</v>
      </c>
      <c r="H23" s="36"/>
      <c r="I23" s="36" t="n">
        <f aca="false">IFERROR(6*B37/($B$6-$B$5),"")</f>
        <v>0.236320000000001</v>
      </c>
      <c r="J23" s="36"/>
    </row>
    <row r="24" customFormat="false" ht="15" hidden="false" customHeight="false" outlineLevel="0" collapsed="false">
      <c r="A24" s="33" t="s">
        <v>106</v>
      </c>
      <c r="B24" s="31" t="n">
        <f aca="false">AVERAGE(C17:L17)</f>
        <v>0.00800000000000001</v>
      </c>
      <c r="D24" s="35" t="s">
        <v>107</v>
      </c>
      <c r="E24" s="35"/>
      <c r="F24" s="35"/>
      <c r="G24" s="36" t="n">
        <f aca="false">IFERROR(B38/$B$41,"")</f>
        <v>0.182603654776148</v>
      </c>
      <c r="H24" s="36"/>
      <c r="I24" s="36" t="n">
        <f aca="false">IFERROR(6*B38/($B$6-$B$5),"")</f>
        <v>0.2454645119442</v>
      </c>
      <c r="J24" s="36"/>
    </row>
    <row r="25" customFormat="false" ht="15" hidden="false" customHeight="false" outlineLevel="0" collapsed="false">
      <c r="A25" s="33" t="s">
        <v>108</v>
      </c>
      <c r="B25" s="31" t="n">
        <f aca="false">AVERAGE(C18:L18)</f>
        <v>0.00400000000000009</v>
      </c>
      <c r="D25" s="35" t="s">
        <v>109</v>
      </c>
      <c r="E25" s="35"/>
      <c r="F25" s="35"/>
      <c r="G25" s="37" t="n">
        <f aca="false">IFERROR(B39/$B$41,"")</f>
        <v>0.253475976433024</v>
      </c>
      <c r="H25" s="37"/>
      <c r="I25" s="37" t="n">
        <f aca="false">IFERROR(6*B39/($B$6-$B$5),"")</f>
        <v>0.340734455293275</v>
      </c>
      <c r="J25" s="37"/>
    </row>
    <row r="26" customFormat="false" ht="15" hidden="false" customHeight="false" outlineLevel="0" collapsed="false">
      <c r="A26" s="33" t="s">
        <v>110</v>
      </c>
      <c r="B26" s="31" t="n">
        <f aca="false">AVERAGE(B23:B25)</f>
        <v>0.0066666666666667</v>
      </c>
      <c r="D26" s="35" t="s">
        <v>111</v>
      </c>
      <c r="E26" s="35"/>
      <c r="F26" s="35"/>
      <c r="G26" s="36" t="n">
        <f aca="false">IFERROR(B40/$B$41,"")</f>
        <v>0.967341681812236</v>
      </c>
      <c r="H26" s="36"/>
      <c r="I26" s="8"/>
      <c r="J26" s="8"/>
    </row>
    <row r="27" customFormat="false" ht="15" hidden="false" customHeight="false" outlineLevel="0" collapsed="false">
      <c r="A27" s="33" t="s">
        <v>112</v>
      </c>
      <c r="B27" s="31" t="n">
        <f aca="false">AVERAGE(C10:L11)</f>
        <v>11.908</v>
      </c>
    </row>
    <row r="28" customFormat="false" ht="15" hidden="false" customHeight="false" outlineLevel="0" collapsed="false">
      <c r="A28" s="33" t="s">
        <v>113</v>
      </c>
      <c r="B28" s="31" t="n">
        <f aca="false">AVERAGE(C12:L13)</f>
        <v>11.914</v>
      </c>
      <c r="D28" s="35" t="s">
        <v>114</v>
      </c>
      <c r="E28" s="35"/>
      <c r="F28" s="35"/>
      <c r="G28" s="38" t="n">
        <f aca="false">IF(B39=0,"non calculable",INT(1.41*B40/B39))</f>
        <v>5</v>
      </c>
      <c r="H28" s="38"/>
    </row>
    <row r="29" customFormat="false" ht="15" hidden="false" customHeight="false" outlineLevel="0" collapsed="false">
      <c r="A29" s="33" t="s">
        <v>115</v>
      </c>
      <c r="B29" s="31" t="n">
        <f aca="false">AVERAGE(C14:L15)</f>
        <v>11.902</v>
      </c>
      <c r="D29" s="35" t="s">
        <v>116</v>
      </c>
      <c r="E29" s="35"/>
      <c r="F29" s="35"/>
      <c r="G29" s="39" t="str">
        <f aca="false">IF(B7&lt;=(B6-B5)/10,"Respectée","Non respectée")</f>
        <v>Non respectée</v>
      </c>
      <c r="H29" s="39"/>
      <c r="I29" s="39"/>
      <c r="J29" s="39"/>
    </row>
    <row r="30" customFormat="false" ht="15" hidden="false" customHeight="false" outlineLevel="0" collapsed="false">
      <c r="A30" s="33" t="s">
        <v>117</v>
      </c>
      <c r="B30" s="31" t="n">
        <f aca="false">MAX(B27:B29)-MIN(B27:B29)</f>
        <v>0.0120000000000005</v>
      </c>
    </row>
    <row r="31" customFormat="false" ht="15" hidden="false" customHeight="false" outlineLevel="0" collapsed="false">
      <c r="A31" s="33" t="s">
        <v>118</v>
      </c>
      <c r="B31" s="31" t="n">
        <f aca="false">MAX(C19:L19)-MIN(C19:L19)</f>
        <v>0.103333333333337</v>
      </c>
      <c r="D31" s="35" t="s">
        <v>119</v>
      </c>
      <c r="E31" s="35"/>
      <c r="F31" s="35"/>
      <c r="G31" s="39" t="str">
        <f aca="false">IF(B20&lt;60,"Saisie incomplète",IF(G25&lt;0.1,"Accepté",IF(G25&lt;=0.3,"Acceptable selon l'enjeu","Refusé")))</f>
        <v>Acceptable selon l'enjeu</v>
      </c>
      <c r="H31" s="39"/>
      <c r="I31" s="39"/>
      <c r="J31" s="39"/>
    </row>
    <row r="32" customFormat="false" ht="15" hidden="false" customHeight="false" outlineLevel="0" collapsed="false">
      <c r="A32" s="33" t="s">
        <v>120</v>
      </c>
      <c r="B32" s="40" t="n">
        <v>0.8862</v>
      </c>
      <c r="C32" s="18" t="s">
        <v>121</v>
      </c>
      <c r="D32" s="35" t="s">
        <v>122</v>
      </c>
      <c r="E32" s="35"/>
      <c r="F32" s="35"/>
      <c r="G32" s="39" t="str">
        <f aca="false">IF(B20&lt;60,"Saisie incomplète",IF(I25&lt;0.1,"Accepté",IF(I25&lt;=0.3,"Acceptable selon l'enjeu","Refusé")))</f>
        <v>Refusé</v>
      </c>
      <c r="H32" s="39"/>
      <c r="I32" s="39"/>
      <c r="J32" s="39"/>
    </row>
    <row r="33" customFormat="false" ht="15" hidden="false" customHeight="false" outlineLevel="0" collapsed="false">
      <c r="A33" s="33" t="s">
        <v>123</v>
      </c>
      <c r="B33" s="40" t="n">
        <v>0.5231</v>
      </c>
      <c r="D33" s="35" t="s">
        <v>124</v>
      </c>
      <c r="E33" s="35"/>
      <c r="F33" s="35"/>
      <c r="G33" s="39" t="str">
        <f aca="false">IF(B20&lt;60,"",IF(B37&gt;=B38,"L'instrument et la prise de mesure","Les écarts entre opérateurs (méthode)"))</f>
        <v>Les écarts entre opérateurs (méthode)</v>
      </c>
      <c r="H33" s="39"/>
      <c r="I33" s="39"/>
      <c r="J33" s="39"/>
    </row>
    <row r="34" customFormat="false" ht="15" hidden="false" customHeight="false" outlineLevel="0" collapsed="false">
      <c r="A34" s="33" t="s">
        <v>125</v>
      </c>
      <c r="B34" s="40" t="n">
        <v>0.3146</v>
      </c>
    </row>
    <row r="35" customFormat="false" ht="15" hidden="false" customHeight="false" outlineLevel="0" collapsed="false">
      <c r="A35" s="33" t="s">
        <v>126</v>
      </c>
      <c r="B35" s="41" t="n">
        <v>10</v>
      </c>
      <c r="D35" s="18" t="s">
        <v>127</v>
      </c>
    </row>
    <row r="36" customFormat="false" ht="15" hidden="false" customHeight="false" outlineLevel="0" collapsed="false">
      <c r="A36" s="33" t="s">
        <v>128</v>
      </c>
      <c r="B36" s="41" t="n">
        <v>2</v>
      </c>
    </row>
    <row r="37" customFormat="false" ht="15" hidden="false" customHeight="false" outlineLevel="0" collapsed="false">
      <c r="A37" s="33" t="s">
        <v>129</v>
      </c>
      <c r="B37" s="31" t="n">
        <f aca="false">B26*B32</f>
        <v>0.00590800000000003</v>
      </c>
    </row>
    <row r="38" customFormat="false" ht="15" hidden="false" customHeight="false" outlineLevel="0" collapsed="false">
      <c r="A38" s="33" t="s">
        <v>130</v>
      </c>
      <c r="B38" s="31" t="n">
        <f aca="false">SQRT(MAX(0,(B30*B33)^2-B37^2/(B35*B36)))</f>
        <v>0.00613661279860502</v>
      </c>
    </row>
    <row r="39" customFormat="false" ht="15" hidden="false" customHeight="false" outlineLevel="0" collapsed="false">
      <c r="A39" s="33" t="s">
        <v>131</v>
      </c>
      <c r="B39" s="31" t="n">
        <f aca="false">SQRT(B37^2+B38^2)</f>
        <v>0.00851836138233189</v>
      </c>
    </row>
    <row r="40" customFormat="false" ht="15" hidden="false" customHeight="false" outlineLevel="0" collapsed="false">
      <c r="A40" s="33" t="s">
        <v>132</v>
      </c>
      <c r="B40" s="31" t="n">
        <f aca="false">B31*B34</f>
        <v>0.0325086666666678</v>
      </c>
    </row>
    <row r="41" customFormat="false" ht="15" hidden="false" customHeight="false" outlineLevel="0" collapsed="false">
      <c r="A41" s="33" t="s">
        <v>133</v>
      </c>
      <c r="B41" s="31" t="n">
        <f aca="false">SQRT(B39^2+B40^2)</f>
        <v>0.0336061882558038</v>
      </c>
    </row>
  </sheetData>
  <mergeCells count="26">
    <mergeCell ref="B4:D4"/>
    <mergeCell ref="D22:F22"/>
    <mergeCell ref="G22:H22"/>
    <mergeCell ref="I22:J22"/>
    <mergeCell ref="D23:F23"/>
    <mergeCell ref="G23:H23"/>
    <mergeCell ref="I23:J23"/>
    <mergeCell ref="D24:F24"/>
    <mergeCell ref="G24:H24"/>
    <mergeCell ref="I24:J24"/>
    <mergeCell ref="D25:F25"/>
    <mergeCell ref="G25:H25"/>
    <mergeCell ref="I25:J25"/>
    <mergeCell ref="D26:F26"/>
    <mergeCell ref="G26:H26"/>
    <mergeCell ref="I26:J26"/>
    <mergeCell ref="D28:F28"/>
    <mergeCell ref="G28:H28"/>
    <mergeCell ref="D29:F29"/>
    <mergeCell ref="G29:J29"/>
    <mergeCell ref="D31:F31"/>
    <mergeCell ref="G31:J31"/>
    <mergeCell ref="D32:F32"/>
    <mergeCell ref="G32:J32"/>
    <mergeCell ref="D33:F33"/>
    <mergeCell ref="G33:J33"/>
  </mergeCells>
  <conditionalFormatting sqref="G31">
    <cfRule type="expression" priority="2" aboveAverage="0" equalAverage="0" bottom="0" percent="0" rank="0" text="" dxfId="0">
      <formula>G31="Accepté"</formula>
    </cfRule>
    <cfRule type="expression" priority="3" aboveAverage="0" equalAverage="0" bottom="0" percent="0" rank="0" text="" dxfId="2">
      <formula>LEFT(G31,10)="Acceptable"</formula>
    </cfRule>
    <cfRule type="expression" priority="4" aboveAverage="0" equalAverage="0" bottom="0" percent="0" rank="0" text="" dxfId="1">
      <formula>G31="Refusé"</formula>
    </cfRule>
  </conditionalFormatting>
  <conditionalFormatting sqref="G32">
    <cfRule type="expression" priority="5" aboveAverage="0" equalAverage="0" bottom="0" percent="0" rank="0" text="" dxfId="0">
      <formula>G32="Accepté"</formula>
    </cfRule>
    <cfRule type="expression" priority="6" aboveAverage="0" equalAverage="0" bottom="0" percent="0" rank="0" text="" dxfId="2">
      <formula>LEFT(G32,10)="Acceptable"</formula>
    </cfRule>
    <cfRule type="expression" priority="7" aboveAverage="0" equalAverage="0" bottom="0" percent="0" rank="0" text="" dxfId="1">
      <formula>G32="Refusé"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12" min="3" style="0" width="9.51"/>
    <col collapsed="false" customWidth="true" hidden="false" outlineLevel="0" max="13" min="13" style="0" width="12"/>
  </cols>
  <sheetData>
    <row r="1" customFormat="false" ht="24" hidden="false" customHeight="true" outlineLevel="0" collapsed="false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27" t="s">
        <v>75</v>
      </c>
      <c r="B4" s="7" t="s">
        <v>135</v>
      </c>
      <c r="C4" s="7"/>
      <c r="D4" s="7"/>
    </row>
    <row r="5" customFormat="false" ht="15" hidden="false" customHeight="false" outlineLevel="0" collapsed="false">
      <c r="A5" s="27" t="s">
        <v>77</v>
      </c>
      <c r="B5" s="16" t="n">
        <v>11.85</v>
      </c>
      <c r="E5" s="30" t="s">
        <v>78</v>
      </c>
    </row>
    <row r="6" customFormat="false" ht="15" hidden="false" customHeight="false" outlineLevel="0" collapsed="false">
      <c r="A6" s="27" t="s">
        <v>79</v>
      </c>
      <c r="B6" s="16" t="n">
        <v>12</v>
      </c>
    </row>
    <row r="7" customFormat="false" ht="15" hidden="false" customHeight="false" outlineLevel="0" collapsed="false">
      <c r="A7" s="27" t="s">
        <v>80</v>
      </c>
      <c r="B7" s="16" t="n">
        <v>0.001</v>
      </c>
    </row>
    <row r="9" customFormat="false" ht="15" hidden="false" customHeight="false" outlineLevel="0" collapsed="false">
      <c r="A9" s="10" t="s">
        <v>81</v>
      </c>
      <c r="B9" s="10" t="s">
        <v>23</v>
      </c>
      <c r="C9" s="10" t="s">
        <v>82</v>
      </c>
      <c r="D9" s="10" t="s">
        <v>83</v>
      </c>
      <c r="E9" s="10" t="s">
        <v>84</v>
      </c>
      <c r="F9" s="10" t="s">
        <v>85</v>
      </c>
      <c r="G9" s="10" t="s">
        <v>86</v>
      </c>
      <c r="H9" s="10" t="s">
        <v>87</v>
      </c>
      <c r="I9" s="10" t="s">
        <v>88</v>
      </c>
      <c r="J9" s="10" t="s">
        <v>89</v>
      </c>
      <c r="K9" s="10" t="s">
        <v>90</v>
      </c>
      <c r="L9" s="10" t="s">
        <v>91</v>
      </c>
      <c r="M9" s="10" t="s">
        <v>92</v>
      </c>
    </row>
    <row r="10" customFormat="false" ht="15" hidden="false" customHeight="false" outlineLevel="0" collapsed="false">
      <c r="A10" s="14" t="s">
        <v>28</v>
      </c>
      <c r="B10" s="15" t="n">
        <v>1</v>
      </c>
      <c r="C10" s="16" t="n">
        <v>11.861</v>
      </c>
      <c r="D10" s="16" t="n">
        <v>11.875</v>
      </c>
      <c r="E10" s="16" t="n">
        <v>11.885</v>
      </c>
      <c r="F10" s="16" t="n">
        <v>11.893</v>
      </c>
      <c r="G10" s="16" t="n">
        <v>11.901</v>
      </c>
      <c r="H10" s="16" t="n">
        <v>11.909</v>
      </c>
      <c r="I10" s="16" t="n">
        <v>11.921</v>
      </c>
      <c r="J10" s="16" t="n">
        <v>11.934</v>
      </c>
      <c r="K10" s="16" t="n">
        <v>11.945</v>
      </c>
      <c r="L10" s="16" t="n">
        <v>11.965</v>
      </c>
      <c r="M10" s="31" t="n">
        <f aca="false">IFERROR(AVERAGE(C10:L10),"")</f>
        <v>11.9089</v>
      </c>
    </row>
    <row r="11" customFormat="false" ht="15" hidden="false" customHeight="false" outlineLevel="0" collapsed="false">
      <c r="A11" s="14" t="s">
        <v>28</v>
      </c>
      <c r="B11" s="15" t="n">
        <v>2</v>
      </c>
      <c r="C11" s="16" t="n">
        <v>11.862</v>
      </c>
      <c r="D11" s="16" t="n">
        <v>11.876</v>
      </c>
      <c r="E11" s="16" t="n">
        <v>11.882</v>
      </c>
      <c r="F11" s="16" t="n">
        <v>11.893</v>
      </c>
      <c r="G11" s="16" t="n">
        <v>11.903</v>
      </c>
      <c r="H11" s="16" t="n">
        <v>11.909</v>
      </c>
      <c r="I11" s="16" t="n">
        <v>11.925</v>
      </c>
      <c r="J11" s="16" t="n">
        <v>11.932</v>
      </c>
      <c r="K11" s="16" t="n">
        <v>11.947</v>
      </c>
      <c r="L11" s="16" t="n">
        <v>11.968</v>
      </c>
      <c r="M11" s="31" t="n">
        <f aca="false">IFERROR(AVERAGE(C11:L11),"")</f>
        <v>11.9097</v>
      </c>
    </row>
    <row r="12" customFormat="false" ht="15" hidden="false" customHeight="false" outlineLevel="0" collapsed="false">
      <c r="A12" s="14" t="s">
        <v>33</v>
      </c>
      <c r="B12" s="15" t="n">
        <v>1</v>
      </c>
      <c r="C12" s="16" t="n">
        <v>11.865</v>
      </c>
      <c r="D12" s="16" t="n">
        <v>11.877</v>
      </c>
      <c r="E12" s="16" t="n">
        <v>11.887</v>
      </c>
      <c r="F12" s="16" t="n">
        <v>11.893</v>
      </c>
      <c r="G12" s="16" t="n">
        <v>11.9</v>
      </c>
      <c r="H12" s="16" t="n">
        <v>11.914</v>
      </c>
      <c r="I12" s="16" t="n">
        <v>11.927</v>
      </c>
      <c r="J12" s="16" t="n">
        <v>11.935</v>
      </c>
      <c r="K12" s="16" t="n">
        <v>11.949</v>
      </c>
      <c r="L12" s="16" t="n">
        <v>11.967</v>
      </c>
      <c r="M12" s="31" t="n">
        <f aca="false">IFERROR(AVERAGE(C12:L12),"")</f>
        <v>11.9114</v>
      </c>
    </row>
    <row r="13" customFormat="false" ht="15" hidden="false" customHeight="false" outlineLevel="0" collapsed="false">
      <c r="A13" s="14" t="s">
        <v>33</v>
      </c>
      <c r="B13" s="15" t="n">
        <v>2</v>
      </c>
      <c r="C13" s="16" t="n">
        <v>11.863</v>
      </c>
      <c r="D13" s="16" t="n">
        <v>11.877</v>
      </c>
      <c r="E13" s="16" t="n">
        <v>11.889</v>
      </c>
      <c r="F13" s="16" t="n">
        <v>11.896</v>
      </c>
      <c r="G13" s="16" t="n">
        <v>11.902</v>
      </c>
      <c r="H13" s="16" t="n">
        <v>11.913</v>
      </c>
      <c r="I13" s="16" t="n">
        <v>11.925</v>
      </c>
      <c r="J13" s="16" t="n">
        <v>11.936</v>
      </c>
      <c r="K13" s="16" t="n">
        <v>11.946</v>
      </c>
      <c r="L13" s="16" t="n">
        <v>11.965</v>
      </c>
      <c r="M13" s="31" t="n">
        <f aca="false">IFERROR(AVERAGE(C13:L13),"")</f>
        <v>11.9112</v>
      </c>
    </row>
    <row r="14" customFormat="false" ht="15" hidden="false" customHeight="false" outlineLevel="0" collapsed="false">
      <c r="A14" s="14" t="s">
        <v>93</v>
      </c>
      <c r="B14" s="15" t="n">
        <v>1</v>
      </c>
      <c r="C14" s="16" t="n">
        <v>11.863</v>
      </c>
      <c r="D14" s="16" t="n">
        <v>11.874</v>
      </c>
      <c r="E14" s="16" t="n">
        <v>11.884</v>
      </c>
      <c r="F14" s="16" t="n">
        <v>11.894</v>
      </c>
      <c r="G14" s="16" t="n">
        <v>11.901</v>
      </c>
      <c r="H14" s="16" t="n">
        <v>11.906</v>
      </c>
      <c r="I14" s="16" t="n">
        <v>11.921</v>
      </c>
      <c r="J14" s="16" t="n">
        <v>11.931</v>
      </c>
      <c r="K14" s="16" t="n">
        <v>11.948</v>
      </c>
      <c r="L14" s="16" t="n">
        <v>11.965</v>
      </c>
      <c r="M14" s="31" t="n">
        <f aca="false">IFERROR(AVERAGE(C14:L14),"")</f>
        <v>11.9087</v>
      </c>
    </row>
    <row r="15" customFormat="false" ht="15" hidden="false" customHeight="false" outlineLevel="0" collapsed="false">
      <c r="A15" s="14" t="s">
        <v>93</v>
      </c>
      <c r="B15" s="15" t="n">
        <v>2</v>
      </c>
      <c r="C15" s="16" t="n">
        <v>11.859</v>
      </c>
      <c r="D15" s="16" t="n">
        <v>11.872</v>
      </c>
      <c r="E15" s="16" t="n">
        <v>11.886</v>
      </c>
      <c r="F15" s="16" t="n">
        <v>11.891</v>
      </c>
      <c r="G15" s="16" t="n">
        <v>11.901</v>
      </c>
      <c r="H15" s="16" t="n">
        <v>11.909</v>
      </c>
      <c r="I15" s="16" t="n">
        <v>11.922</v>
      </c>
      <c r="J15" s="16" t="n">
        <v>11.935</v>
      </c>
      <c r="K15" s="16" t="n">
        <v>11.95</v>
      </c>
      <c r="L15" s="16" t="n">
        <v>11.963</v>
      </c>
      <c r="M15" s="31" t="n">
        <f aca="false">IFERROR(AVERAGE(C15:L15),"")</f>
        <v>11.9088</v>
      </c>
    </row>
    <row r="16" customFormat="false" ht="15" hidden="false" customHeight="false" outlineLevel="0" collapsed="false">
      <c r="A16" s="14" t="s">
        <v>94</v>
      </c>
      <c r="C16" s="32" t="n">
        <f aca="false">IF(COUNT(C10:C11)&lt;2,"",ABS(C10-C11))</f>
        <v>0.000999999999999446</v>
      </c>
      <c r="D16" s="32" t="n">
        <f aca="false">IF(COUNT(D10:D11)&lt;2,"",ABS(D10-D11))</f>
        <v>0.000999999999999446</v>
      </c>
      <c r="E16" s="32" t="n">
        <f aca="false">IF(COUNT(E10:E11)&lt;2,"",ABS(E10-E11))</f>
        <v>0.00300000000000011</v>
      </c>
      <c r="F16" s="32" t="n">
        <f aca="false">IF(COUNT(F10:F11)&lt;2,"",ABS(F10-F11))</f>
        <v>0</v>
      </c>
      <c r="G16" s="32" t="n">
        <f aca="false">IF(COUNT(G10:G11)&lt;2,"",ABS(G10-G11))</f>
        <v>0.00200000000000067</v>
      </c>
      <c r="H16" s="32" t="n">
        <f aca="false">IF(COUNT(H10:H11)&lt;2,"",ABS(H10-H11))</f>
        <v>0</v>
      </c>
      <c r="I16" s="32" t="n">
        <f aca="false">IF(COUNT(I10:I11)&lt;2,"",ABS(I10-I11))</f>
        <v>0.00400000000000134</v>
      </c>
      <c r="J16" s="32" t="n">
        <f aca="false">IF(COUNT(J10:J11)&lt;2,"",ABS(J10-J11))</f>
        <v>0.00199999999999889</v>
      </c>
      <c r="K16" s="32" t="n">
        <f aca="false">IF(COUNT(K10:K11)&lt;2,"",ABS(K10-K11))</f>
        <v>0.00199999999999889</v>
      </c>
      <c r="L16" s="32" t="n">
        <f aca="false">IF(COUNT(L10:L11)&lt;2,"",ABS(L10-L11))</f>
        <v>0.00300000000000011</v>
      </c>
    </row>
    <row r="17" customFormat="false" ht="15" hidden="false" customHeight="false" outlineLevel="0" collapsed="false">
      <c r="A17" s="14" t="s">
        <v>95</v>
      </c>
      <c r="C17" s="32" t="n">
        <f aca="false">IF(COUNT(C12:C13)&lt;2,"",ABS(C12-C13))</f>
        <v>0.00200000000000067</v>
      </c>
      <c r="D17" s="32" t="n">
        <f aca="false">IF(COUNT(D12:D13)&lt;2,"",ABS(D12-D13))</f>
        <v>0</v>
      </c>
      <c r="E17" s="32" t="n">
        <f aca="false">IF(COUNT(E12:E13)&lt;2,"",ABS(E12-E13))</f>
        <v>0.00199999999999889</v>
      </c>
      <c r="F17" s="32" t="n">
        <f aca="false">IF(COUNT(F12:F13)&lt;2,"",ABS(F12-F13))</f>
        <v>0.00300000000000011</v>
      </c>
      <c r="G17" s="32" t="n">
        <f aca="false">IF(COUNT(G12:G13)&lt;2,"",ABS(G12-G13))</f>
        <v>0.00199999999999889</v>
      </c>
      <c r="H17" s="32" t="n">
        <f aca="false">IF(COUNT(H12:H13)&lt;2,"",ABS(H12-H13))</f>
        <v>0.000999999999999446</v>
      </c>
      <c r="I17" s="32" t="n">
        <f aca="false">IF(COUNT(I12:I13)&lt;2,"",ABS(I12-I13))</f>
        <v>0.00199999999999889</v>
      </c>
      <c r="J17" s="32" t="n">
        <f aca="false">IF(COUNT(J12:J13)&lt;2,"",ABS(J12-J13))</f>
        <v>0.000999999999999446</v>
      </c>
      <c r="K17" s="32" t="n">
        <f aca="false">IF(COUNT(K12:K13)&lt;2,"",ABS(K12-K13))</f>
        <v>0.00300000000000011</v>
      </c>
      <c r="L17" s="32" t="n">
        <f aca="false">IF(COUNT(L12:L13)&lt;2,"",ABS(L12-L13))</f>
        <v>0.00200000000000067</v>
      </c>
    </row>
    <row r="18" customFormat="false" ht="15" hidden="false" customHeight="false" outlineLevel="0" collapsed="false">
      <c r="A18" s="14" t="s">
        <v>96</v>
      </c>
      <c r="C18" s="32" t="n">
        <f aca="false">IF(COUNT(C14:C15)&lt;2,"",ABS(C14-C15))</f>
        <v>0.00399999999999956</v>
      </c>
      <c r="D18" s="32" t="n">
        <f aca="false">IF(COUNT(D14:D15)&lt;2,"",ABS(D14-D15))</f>
        <v>0.00200000000000067</v>
      </c>
      <c r="E18" s="32" t="n">
        <f aca="false">IF(COUNT(E14:E15)&lt;2,"",ABS(E14-E15))</f>
        <v>0.00199999999999889</v>
      </c>
      <c r="F18" s="32" t="n">
        <f aca="false">IF(COUNT(F14:F15)&lt;2,"",ABS(F14-F15))</f>
        <v>0.00300000000000011</v>
      </c>
      <c r="G18" s="32" t="n">
        <f aca="false">IF(COUNT(G14:G15)&lt;2,"",ABS(G14-G15))</f>
        <v>0</v>
      </c>
      <c r="H18" s="32" t="n">
        <f aca="false">IF(COUNT(H14:H15)&lt;2,"",ABS(H14-H15))</f>
        <v>0.00300000000000011</v>
      </c>
      <c r="I18" s="32" t="n">
        <f aca="false">IF(COUNT(I14:I15)&lt;2,"",ABS(I14-I15))</f>
        <v>0.00100000000000122</v>
      </c>
      <c r="J18" s="32" t="n">
        <f aca="false">IF(COUNT(J14:J15)&lt;2,"",ABS(J14-J15))</f>
        <v>0.00400000000000134</v>
      </c>
      <c r="K18" s="32" t="n">
        <f aca="false">IF(COUNT(K14:K15)&lt;2,"",ABS(K14-K15))</f>
        <v>0.00199999999999889</v>
      </c>
      <c r="L18" s="32" t="n">
        <f aca="false">IF(COUNT(L14:L15)&lt;2,"",ABS(L14-L15))</f>
        <v>0.00200000000000067</v>
      </c>
    </row>
    <row r="19" customFormat="false" ht="15" hidden="false" customHeight="false" outlineLevel="0" collapsed="false">
      <c r="A19" s="14" t="s">
        <v>97</v>
      </c>
      <c r="C19" s="31" t="n">
        <f aca="false">IFERROR(AVERAGE(C10:C15),"")</f>
        <v>11.8621666666667</v>
      </c>
      <c r="D19" s="31" t="n">
        <f aca="false">IFERROR(AVERAGE(D10:D15),"")</f>
        <v>11.8751666666667</v>
      </c>
      <c r="E19" s="31" t="n">
        <f aca="false">IFERROR(AVERAGE(E10:E15),"")</f>
        <v>11.8855</v>
      </c>
      <c r="F19" s="31" t="n">
        <f aca="false">IFERROR(AVERAGE(F10:F15),"")</f>
        <v>11.8933333333333</v>
      </c>
      <c r="G19" s="31" t="n">
        <f aca="false">IFERROR(AVERAGE(G10:G15),"")</f>
        <v>11.9013333333333</v>
      </c>
      <c r="H19" s="31" t="n">
        <f aca="false">IFERROR(AVERAGE(H10:H15),"")</f>
        <v>11.91</v>
      </c>
      <c r="I19" s="31" t="n">
        <f aca="false">IFERROR(AVERAGE(I10:I15),"")</f>
        <v>11.9235</v>
      </c>
      <c r="J19" s="31" t="n">
        <f aca="false">IFERROR(AVERAGE(J10:J15),"")</f>
        <v>11.9338333333333</v>
      </c>
      <c r="K19" s="31" t="n">
        <f aca="false">IFERROR(AVERAGE(K10:K15),"")</f>
        <v>11.9475</v>
      </c>
      <c r="L19" s="31" t="n">
        <f aca="false">IFERROR(AVERAGE(L10:L15),"")</f>
        <v>11.9655</v>
      </c>
    </row>
    <row r="20" customFormat="false" ht="15" hidden="false" customHeight="false" outlineLevel="0" collapsed="false">
      <c r="A20" s="33" t="s">
        <v>98</v>
      </c>
      <c r="B20" s="34" t="n">
        <f aca="false">COUNT(C10:L15)</f>
        <v>60</v>
      </c>
    </row>
    <row r="22" customFormat="false" ht="15" hidden="false" customHeight="true" outlineLevel="0" collapsed="false">
      <c r="A22" s="10" t="s">
        <v>99</v>
      </c>
      <c r="B22" s="10" t="s">
        <v>100</v>
      </c>
      <c r="D22" s="10" t="s">
        <v>101</v>
      </c>
      <c r="E22" s="10"/>
      <c r="F22" s="10"/>
      <c r="G22" s="10" t="s">
        <v>102</v>
      </c>
      <c r="H22" s="10"/>
      <c r="I22" s="10" t="s">
        <v>103</v>
      </c>
      <c r="J22" s="10"/>
    </row>
    <row r="23" customFormat="false" ht="15" hidden="false" customHeight="false" outlineLevel="0" collapsed="false">
      <c r="A23" s="33" t="s">
        <v>104</v>
      </c>
      <c r="B23" s="31" t="n">
        <f aca="false">AVERAGE(C16:L16)</f>
        <v>0.00179999999999989</v>
      </c>
      <c r="D23" s="35" t="s">
        <v>105</v>
      </c>
      <c r="E23" s="35"/>
      <c r="F23" s="35"/>
      <c r="G23" s="36" t="n">
        <f aca="false">IFERROR(B37/$B$41,"")</f>
        <v>0.0534942278637647</v>
      </c>
      <c r="H23" s="36"/>
      <c r="I23" s="36" t="n">
        <f aca="false">IFERROR(6*B37/($B$6-$B$5),"")</f>
        <v>0.0697143999999969</v>
      </c>
      <c r="J23" s="36"/>
    </row>
    <row r="24" customFormat="false" ht="15" hidden="false" customHeight="false" outlineLevel="0" collapsed="false">
      <c r="A24" s="33" t="s">
        <v>106</v>
      </c>
      <c r="B24" s="31" t="n">
        <f aca="false">AVERAGE(C17:L17)</f>
        <v>0.00179999999999971</v>
      </c>
      <c r="D24" s="35" t="s">
        <v>107</v>
      </c>
      <c r="E24" s="35"/>
      <c r="F24" s="35"/>
      <c r="G24" s="36" t="n">
        <f aca="false">IFERROR(B38/$B$41,"")</f>
        <v>0.0391556867610779</v>
      </c>
      <c r="H24" s="36"/>
      <c r="I24" s="36" t="n">
        <f aca="false">IFERROR(6*B38/($B$6-$B$5),"")</f>
        <v>0.0510282196443364</v>
      </c>
      <c r="J24" s="36"/>
    </row>
    <row r="25" customFormat="false" ht="15" hidden="false" customHeight="false" outlineLevel="0" collapsed="false">
      <c r="A25" s="33" t="s">
        <v>108</v>
      </c>
      <c r="B25" s="31" t="n">
        <f aca="false">AVERAGE(C18:L18)</f>
        <v>0.00230000000000015</v>
      </c>
      <c r="D25" s="35" t="s">
        <v>109</v>
      </c>
      <c r="E25" s="35"/>
      <c r="F25" s="35"/>
      <c r="G25" s="37" t="n">
        <f aca="false">IFERROR(B39/$B$41,"")</f>
        <v>0.0662932894075413</v>
      </c>
      <c r="H25" s="37"/>
      <c r="I25" s="37" t="n">
        <f aca="false">IFERROR(6*B39/($B$6-$B$5),"")</f>
        <v>0.0863943098093283</v>
      </c>
      <c r="J25" s="37"/>
    </row>
    <row r="26" customFormat="false" ht="15" hidden="false" customHeight="false" outlineLevel="0" collapsed="false">
      <c r="A26" s="33" t="s">
        <v>110</v>
      </c>
      <c r="B26" s="31" t="n">
        <f aca="false">AVERAGE(B23:B25)</f>
        <v>0.00196666666666658</v>
      </c>
      <c r="D26" s="35" t="s">
        <v>111</v>
      </c>
      <c r="E26" s="35"/>
      <c r="F26" s="35"/>
      <c r="G26" s="36" t="n">
        <f aca="false">IFERROR(B40/$B$41,"")</f>
        <v>0.997800180286378</v>
      </c>
      <c r="H26" s="36"/>
      <c r="I26" s="8"/>
      <c r="J26" s="8"/>
    </row>
    <row r="27" customFormat="false" ht="15" hidden="false" customHeight="false" outlineLevel="0" collapsed="false">
      <c r="A27" s="33" t="s">
        <v>112</v>
      </c>
      <c r="B27" s="31" t="n">
        <f aca="false">AVERAGE(C10:L11)</f>
        <v>11.9093</v>
      </c>
    </row>
    <row r="28" customFormat="false" ht="15" hidden="false" customHeight="false" outlineLevel="0" collapsed="false">
      <c r="A28" s="33" t="s">
        <v>113</v>
      </c>
      <c r="B28" s="31" t="n">
        <f aca="false">AVERAGE(C12:L13)</f>
        <v>11.9113</v>
      </c>
      <c r="D28" s="35" t="s">
        <v>114</v>
      </c>
      <c r="E28" s="35"/>
      <c r="F28" s="35"/>
      <c r="G28" s="38" t="n">
        <f aca="false">IF(B39=0,"non calculable",INT(1.41*B40/B39))</f>
        <v>21</v>
      </c>
      <c r="H28" s="38"/>
    </row>
    <row r="29" customFormat="false" ht="15" hidden="false" customHeight="false" outlineLevel="0" collapsed="false">
      <c r="A29" s="33" t="s">
        <v>115</v>
      </c>
      <c r="B29" s="31" t="n">
        <f aca="false">AVERAGE(C14:L15)</f>
        <v>11.90875</v>
      </c>
      <c r="D29" s="35" t="s">
        <v>116</v>
      </c>
      <c r="E29" s="35"/>
      <c r="F29" s="35"/>
      <c r="G29" s="39" t="str">
        <f aca="false">IF(B7&lt;=(B6-B5)/10,"Respectée","Non respectée")</f>
        <v>Respectée</v>
      </c>
      <c r="H29" s="39"/>
      <c r="I29" s="39"/>
      <c r="J29" s="39"/>
    </row>
    <row r="30" customFormat="false" ht="15" hidden="false" customHeight="false" outlineLevel="0" collapsed="false">
      <c r="A30" s="33" t="s">
        <v>117</v>
      </c>
      <c r="B30" s="31" t="n">
        <f aca="false">MAX(B27:B29)-MIN(B27:B29)</f>
        <v>0.00254999999999939</v>
      </c>
    </row>
    <row r="31" customFormat="false" ht="15" hidden="false" customHeight="false" outlineLevel="0" collapsed="false">
      <c r="A31" s="33" t="s">
        <v>118</v>
      </c>
      <c r="B31" s="31" t="n">
        <f aca="false">MAX(C19:L19)-MIN(C19:L19)</f>
        <v>0.103333333333334</v>
      </c>
      <c r="D31" s="35" t="s">
        <v>119</v>
      </c>
      <c r="E31" s="35"/>
      <c r="F31" s="35"/>
      <c r="G31" s="39" t="str">
        <f aca="false">IF(B20&lt;60,"Saisie incomplète",IF(G25&lt;0.1,"Accepté",IF(G25&lt;=0.3,"Acceptable selon l'enjeu","Refusé")))</f>
        <v>Accepté</v>
      </c>
      <c r="H31" s="39"/>
      <c r="I31" s="39"/>
      <c r="J31" s="39"/>
    </row>
    <row r="32" customFormat="false" ht="15" hidden="false" customHeight="false" outlineLevel="0" collapsed="false">
      <c r="A32" s="33" t="s">
        <v>120</v>
      </c>
      <c r="B32" s="40" t="n">
        <v>0.8862</v>
      </c>
      <c r="C32" s="18" t="s">
        <v>121</v>
      </c>
      <c r="D32" s="35" t="s">
        <v>122</v>
      </c>
      <c r="E32" s="35"/>
      <c r="F32" s="35"/>
      <c r="G32" s="39" t="str">
        <f aca="false">IF(B20&lt;60,"Saisie incomplète",IF(I25&lt;0.1,"Accepté",IF(I25&lt;=0.3,"Acceptable selon l'enjeu","Refusé")))</f>
        <v>Accepté</v>
      </c>
      <c r="H32" s="39"/>
      <c r="I32" s="39"/>
      <c r="J32" s="39"/>
    </row>
    <row r="33" customFormat="false" ht="15" hidden="false" customHeight="false" outlineLevel="0" collapsed="false">
      <c r="A33" s="33" t="s">
        <v>123</v>
      </c>
      <c r="B33" s="40" t="n">
        <v>0.5231</v>
      </c>
      <c r="D33" s="35" t="s">
        <v>124</v>
      </c>
      <c r="E33" s="35"/>
      <c r="F33" s="35"/>
      <c r="G33" s="39" t="str">
        <f aca="false">IF(B20&lt;60,"",IF(B37&gt;=B38,"L'instrument et la prise de mesure","Les écarts entre opérateurs (méthode)"))</f>
        <v>L'instrument et la prise de mesure</v>
      </c>
      <c r="H33" s="39"/>
      <c r="I33" s="39"/>
      <c r="J33" s="39"/>
    </row>
    <row r="34" customFormat="false" ht="15" hidden="false" customHeight="false" outlineLevel="0" collapsed="false">
      <c r="A34" s="33" t="s">
        <v>125</v>
      </c>
      <c r="B34" s="40" t="n">
        <v>0.3146</v>
      </c>
    </row>
    <row r="35" customFormat="false" ht="15" hidden="false" customHeight="false" outlineLevel="0" collapsed="false">
      <c r="A35" s="33" t="s">
        <v>126</v>
      </c>
      <c r="B35" s="41" t="n">
        <v>10</v>
      </c>
      <c r="D35" s="18" t="s">
        <v>127</v>
      </c>
    </row>
    <row r="36" customFormat="false" ht="15" hidden="false" customHeight="false" outlineLevel="0" collapsed="false">
      <c r="A36" s="33" t="s">
        <v>128</v>
      </c>
      <c r="B36" s="41" t="n">
        <v>2</v>
      </c>
    </row>
    <row r="37" customFormat="false" ht="15" hidden="false" customHeight="false" outlineLevel="0" collapsed="false">
      <c r="A37" s="33" t="s">
        <v>129</v>
      </c>
      <c r="B37" s="31" t="n">
        <f aca="false">B26*B32</f>
        <v>0.00174285999999993</v>
      </c>
    </row>
    <row r="38" customFormat="false" ht="15" hidden="false" customHeight="false" outlineLevel="0" collapsed="false">
      <c r="A38" s="33" t="s">
        <v>130</v>
      </c>
      <c r="B38" s="31" t="n">
        <f aca="false">SQRT(MAX(0,(B30*B33)^2-B37^2/(B35*B36)))</f>
        <v>0.00127570549110841</v>
      </c>
    </row>
    <row r="39" customFormat="false" ht="15" hidden="false" customHeight="false" outlineLevel="0" collapsed="false">
      <c r="A39" s="33" t="s">
        <v>131</v>
      </c>
      <c r="B39" s="31" t="n">
        <f aca="false">SQRT(B37^2+B38^2)</f>
        <v>0.00215985774523321</v>
      </c>
    </row>
    <row r="40" customFormat="false" ht="15" hidden="false" customHeight="false" outlineLevel="0" collapsed="false">
      <c r="A40" s="33" t="s">
        <v>132</v>
      </c>
      <c r="B40" s="31" t="n">
        <f aca="false">B31*B34</f>
        <v>0.0325086666666667</v>
      </c>
    </row>
    <row r="41" customFormat="false" ht="15" hidden="false" customHeight="false" outlineLevel="0" collapsed="false">
      <c r="A41" s="33" t="s">
        <v>133</v>
      </c>
      <c r="B41" s="31" t="n">
        <f aca="false">SQRT(B39^2+B40^2)</f>
        <v>0.0325803375354537</v>
      </c>
    </row>
  </sheetData>
  <mergeCells count="26">
    <mergeCell ref="B4:D4"/>
    <mergeCell ref="D22:F22"/>
    <mergeCell ref="G22:H22"/>
    <mergeCell ref="I22:J22"/>
    <mergeCell ref="D23:F23"/>
    <mergeCell ref="G23:H23"/>
    <mergeCell ref="I23:J23"/>
    <mergeCell ref="D24:F24"/>
    <mergeCell ref="G24:H24"/>
    <mergeCell ref="I24:J24"/>
    <mergeCell ref="D25:F25"/>
    <mergeCell ref="G25:H25"/>
    <mergeCell ref="I25:J25"/>
    <mergeCell ref="D26:F26"/>
    <mergeCell ref="G26:H26"/>
    <mergeCell ref="I26:J26"/>
    <mergeCell ref="D28:F28"/>
    <mergeCell ref="G28:H28"/>
    <mergeCell ref="D29:F29"/>
    <mergeCell ref="G29:J29"/>
    <mergeCell ref="D31:F31"/>
    <mergeCell ref="G31:J31"/>
    <mergeCell ref="D32:F32"/>
    <mergeCell ref="G32:J32"/>
    <mergeCell ref="D33:F33"/>
    <mergeCell ref="G33:J33"/>
  </mergeCells>
  <conditionalFormatting sqref="G31">
    <cfRule type="expression" priority="2" aboveAverage="0" equalAverage="0" bottom="0" percent="0" rank="0" text="" dxfId="0">
      <formula>G31="Accepté"</formula>
    </cfRule>
    <cfRule type="expression" priority="3" aboveAverage="0" equalAverage="0" bottom="0" percent="0" rank="0" text="" dxfId="2">
      <formula>LEFT(G31,10)="Acceptable"</formula>
    </cfRule>
    <cfRule type="expression" priority="4" aboveAverage="0" equalAverage="0" bottom="0" percent="0" rank="0" text="" dxfId="1">
      <formula>G31="Refusé"</formula>
    </cfRule>
  </conditionalFormatting>
  <conditionalFormatting sqref="G32">
    <cfRule type="expression" priority="5" aboveAverage="0" equalAverage="0" bottom="0" percent="0" rank="0" text="" dxfId="0">
      <formula>G32="Accepté"</formula>
    </cfRule>
    <cfRule type="expression" priority="6" aboveAverage="0" equalAverage="0" bottom="0" percent="0" rank="0" text="" dxfId="2">
      <formula>LEFT(G32,10)="Acceptable"</formula>
    </cfRule>
    <cfRule type="expression" priority="7" aboveAverage="0" equalAverage="0" bottom="0" percent="0" rank="0" text="" dxfId="1">
      <formula>G32="Refusé"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2"/>
  </cols>
  <sheetData>
    <row r="1" customFormat="false" ht="24" hidden="false" customHeight="true" outlineLevel="0" collapsed="false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137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10" t="s">
        <v>138</v>
      </c>
      <c r="B4" s="10" t="str">
        <f aca="false">'Étude 1'!B4</f>
        <v>Pied à coulisse 1/50</v>
      </c>
      <c r="C4" s="10" t="str">
        <f aca="false">'Étude 2'!B4</f>
        <v>Micromètre numérique 0,001</v>
      </c>
    </row>
    <row r="5" customFormat="false" ht="15" hidden="false" customHeight="false" outlineLevel="0" collapsed="false">
      <c r="A5" s="27" t="s">
        <v>139</v>
      </c>
      <c r="B5" s="42" t="n">
        <f aca="false">'Étude 1'!G23</f>
        <v>0.175800955318987</v>
      </c>
      <c r="C5" s="42" t="n">
        <f aca="false">'Étude 2'!G23</f>
        <v>0.0534942278637647</v>
      </c>
    </row>
    <row r="6" customFormat="false" ht="15" hidden="false" customHeight="false" outlineLevel="0" collapsed="false">
      <c r="A6" s="27" t="s">
        <v>140</v>
      </c>
      <c r="B6" s="42" t="n">
        <f aca="false">'Étude 1'!G24</f>
        <v>0.182603654776148</v>
      </c>
      <c r="C6" s="42" t="n">
        <f aca="false">'Étude 2'!G24</f>
        <v>0.0391556867610779</v>
      </c>
    </row>
    <row r="7" customFormat="false" ht="15" hidden="false" customHeight="false" outlineLevel="0" collapsed="false">
      <c r="A7" s="27" t="s">
        <v>141</v>
      </c>
      <c r="B7" s="42" t="n">
        <f aca="false">'Étude 1'!G25</f>
        <v>0.253475976433024</v>
      </c>
      <c r="C7" s="42" t="n">
        <f aca="false">'Étude 2'!G25</f>
        <v>0.0662932894075413</v>
      </c>
    </row>
    <row r="8" customFormat="false" ht="15" hidden="false" customHeight="false" outlineLevel="0" collapsed="false">
      <c r="A8" s="27" t="s">
        <v>142</v>
      </c>
      <c r="B8" s="42" t="n">
        <f aca="false">'Étude 1'!I25</f>
        <v>0.340734455293275</v>
      </c>
      <c r="C8" s="42" t="n">
        <f aca="false">'Étude 2'!I25</f>
        <v>0.0863943098093283</v>
      </c>
    </row>
    <row r="9" customFormat="false" ht="15" hidden="false" customHeight="false" outlineLevel="0" collapsed="false">
      <c r="A9" s="27" t="s">
        <v>143</v>
      </c>
      <c r="B9" s="43" t="n">
        <f aca="false">'Étude 1'!G28</f>
        <v>5</v>
      </c>
      <c r="C9" s="43" t="n">
        <f aca="false">'Étude 2'!G28</f>
        <v>21</v>
      </c>
    </row>
    <row r="10" customFormat="false" ht="15" hidden="false" customHeight="false" outlineLevel="0" collapsed="false">
      <c r="A10" s="27" t="s">
        <v>144</v>
      </c>
      <c r="B10" s="44" t="str">
        <f aca="false">'Étude 1'!G29</f>
        <v>Non respectée</v>
      </c>
      <c r="C10" s="44" t="str">
        <f aca="false">'Étude 2'!G29</f>
        <v>Respectée</v>
      </c>
    </row>
    <row r="11" customFormat="false" ht="15" hidden="false" customHeight="false" outlineLevel="0" collapsed="false">
      <c r="A11" s="27" t="s">
        <v>145</v>
      </c>
      <c r="B11" s="44" t="str">
        <f aca="false">'Étude 1'!G31</f>
        <v>Acceptable selon l'enjeu</v>
      </c>
      <c r="C11" s="44" t="str">
        <f aca="false">'Étude 2'!G31</f>
        <v>Accepté</v>
      </c>
    </row>
    <row r="12" customFormat="false" ht="15" hidden="false" customHeight="false" outlineLevel="0" collapsed="false">
      <c r="A12" s="27" t="s">
        <v>146</v>
      </c>
      <c r="B12" s="44" t="str">
        <f aca="false">'Étude 1'!G32</f>
        <v>Refusé</v>
      </c>
      <c r="C12" s="44" t="str">
        <f aca="false">'Étude 2'!G32</f>
        <v>Accepté</v>
      </c>
    </row>
    <row r="13" customFormat="false" ht="23.85" hidden="false" customHeight="false" outlineLevel="0" collapsed="false">
      <c r="A13" s="27" t="s">
        <v>147</v>
      </c>
      <c r="B13" s="44" t="str">
        <f aca="false">'Étude 1'!G33</f>
        <v>Les écarts entre opérateurs (méthode)</v>
      </c>
      <c r="C13" s="44" t="str">
        <f aca="false">'Étude 2'!G33</f>
        <v>L'instrument et la prise de mesure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2026-10-01T11:24:05Z</dcterms:created>
  <dc:creator>openpyxl</dc:creator>
  <dc:description/>
  <dc:language>en-US</dc:language>
  <cp:lastModifiedBy/>
  <dcterms:modified xsi:type="dcterms:W3CDTF">2026-10-01T13:24:13Z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