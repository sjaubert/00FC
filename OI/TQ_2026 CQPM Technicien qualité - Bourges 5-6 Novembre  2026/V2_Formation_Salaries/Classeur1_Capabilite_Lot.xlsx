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Mesures" sheetId="2" state="visible" r:id="rId4"/>
    <sheet name="Analy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<sst xmlns="http://schemas.openxmlformats.org/spreadsheetml/2006/main" count="80" uniqueCount="65">
  <si>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Classeur 1 · Capabilité de notre lot</t>
  </si>
  <si>
    <t xml:space="preserve">Pôle Formation UIMM CVDL · S. Jaubert · CQPM Technicien Qualité TQ6 · Novembre 2026</t>
  </si>
  <si>
    <t xml:space="preserve">À quoi sert ce classeur</t>
  </si>
  <si>
    <t xml:space="preserve">TP B et TP C du jour 1. On saisit le diamètre de chaque pièce mesurée au micromètre. Le classeur trace l'histogramme, calcule la moyenne et la dispersion, puis juge le lot face à trois clients qui n'ont pas la même tolérance.</t>
  </si>
  <si>
    <t xml:space="preserve">Mode d'emploi</t>
  </si>
  <si>
    <t xml:space="preserve">1. Onglet Mesures : saisir le numéro de pièce, l'opérateur et le diamètre (cellules jaunes). Jusqu'à 100 pièces.</t>
  </si>
  <si>
    <t xml:space="preserve">2. Onglet Analyse : lire l'histogramme et les indicateurs. Saisir les tolérances des trois clients (cellules jaunes) et le seuil exigé.</t>
  </si>
  <si>
    <t xml:space="preserve">3. Choisir le client affiché sur le graphique pièce par pièce (1, 2 ou 3).</t>
  </si>
  <si>
    <t xml:space="preserve">Les 20 valeurs de départ sont FICTIVES : elles servent à tester le classeur. Effacer la colonne C de l'onglet Mesures avant le TP. Client 1 = tolérance du plan des butées (11,85 / 12,00 mm). Clients 2 et 3 : à recalculer avec les vraies mesures (règles dans le guide formateur).</t>
  </si>
  <si>
    <t xml:space="preserve">Note pour le formateur</t>
  </si>
  <si>
    <t xml:space="preserve">L'écart-type est l'écart-type d'échantillon (fonction ECARTYPE, division par n-1). L'ordre de fabrication des pièces étant inconnu, les indices calculés sont en toute rigueur des indices de performance Pp et Ppk. Les ppm estimés supposent une loi normale : à présenter comme un ordre de grandeur.</t>
  </si>
  <si>
    <t xml:space="preserve">Verdict : « Capable » si Cpk atteint le seuil ; « À recentrer » si Cp l'atteint mais pas Cpk (problème de réglage) ; « Dispersion trop grande » sinon (problème de procédé).</t>
  </si>
  <si>
    <t xml:space="preserve">Cellule à remplir</t>
  </si>
  <si>
    <t xml:space="preserve">Résultat calculé (ne pas modifier)</t>
  </si>
  <si>
    <t xml:space="preserve">Mesures du lot</t>
  </si>
  <si>
    <t xml:space="preserve">Une ligne par pièce · cellules jaunes à remplir</t>
  </si>
  <si>
    <t xml:space="preserve">N° pièce</t>
  </si>
  <si>
    <t xml:space="preserve">Opérateur</t>
  </si>
  <si>
    <t xml:space="preserve">Diamètre mesuré (mm)</t>
  </si>
  <si>
    <t xml:space="preserve">Valeurs de départ fictives : effacer C6:C105 avant le TP.</t>
  </si>
  <si>
    <t xml:space="preserve">Opérateur 1</t>
  </si>
  <si>
    <t xml:space="preserve">Opérateur 2</t>
  </si>
  <si>
    <t xml:space="preserve">Opérateur 3</t>
  </si>
  <si>
    <t xml:space="preserve">Opérateur 4</t>
  </si>
  <si>
    <t xml:space="preserve">Opérateur 5</t>
  </si>
  <si>
    <t xml:space="preserve">Opérateur 6</t>
  </si>
  <si>
    <t xml:space="preserve">Analyse du lot</t>
  </si>
  <si>
    <t xml:space="preserve">Ce que disent nos mesures</t>
  </si>
  <si>
    <t xml:space="preserve">Nombre de pièces mesurées</t>
  </si>
  <si>
    <t xml:space="preserve">Moyenne m : où on vise (mm)</t>
  </si>
  <si>
    <t xml:space="preserve">Écart-type s : combien ça bouge (mm)</t>
  </si>
  <si>
    <t xml:space="preserve">Plus petite valeur (mm)</t>
  </si>
  <si>
    <t xml:space="preserve">Plus grande valeur (mm)</t>
  </si>
  <si>
    <t xml:space="preserve">Étendue (mm)</t>
  </si>
  <si>
    <t xml:space="preserve">Largeur naturelle 6 s (mm)</t>
  </si>
  <si>
    <t xml:space="preserve">≈ 99,7 % des pièces tiennent dans cette largeur (loi normale). s = ECARTYPE, division par n − 1.</t>
  </si>
  <si>
    <t xml:space="preserve">Histogramme : largeur de classe (mm)</t>
  </si>
  <si>
    <t xml:space="preserve">Classe</t>
  </si>
  <si>
    <t xml:space="preserve">Borne basse</t>
  </si>
  <si>
    <t xml:space="preserve">Borne haute</t>
  </si>
  <si>
    <t xml:space="preserve">Centre</t>
  </si>
  <si>
    <t xml:space="preserve">Effectif</t>
  </si>
  <si>
    <t xml:space="preserve">Contrôle : total des effectifs</t>
  </si>
  <si>
    <t xml:space="preserve">Seuil de capabilité exigé</t>
  </si>
  <si>
    <t xml:space="preserve">Valeur courante, à adapter à l'exigence du client réel</t>
  </si>
  <si>
    <t xml:space="preserve">Trois clients, un seul lot</t>
  </si>
  <si>
    <t xml:space="preserve">Client 1</t>
  </si>
  <si>
    <t xml:space="preserve">Client 2</t>
  </si>
  <si>
    <t xml:space="preserve">Client 3</t>
  </si>
  <si>
    <t xml:space="preserve">Tolérance basse TI (mm)</t>
  </si>
  <si>
    <t xml:space="preserve">Tolérance haute TS (mm)</t>
  </si>
  <si>
    <t xml:space="preserve">IT = TS − TI (mm)</t>
  </si>
  <si>
    <t xml:space="preserve">Milieu = (TI + TS) / 2 (mm)</t>
  </si>
  <si>
    <t xml:space="preserve">Cp = IT / (6 s) : la dispersion rentre-t-elle ?</t>
  </si>
  <si>
    <t xml:space="preserve">Cpk = min(TS − m ; m − TI) / (3 s) : est-on centré ?</t>
  </si>
  <si>
    <t xml:space="preserve">Pièces hors tolérance constatées</t>
  </si>
  <si>
    <t xml:space="preserve">Hors tolérance estimé (ppm, loi normale)</t>
  </si>
  <si>
    <t xml:space="preserve">Verdict</t>
  </si>
  <si>
    <t xml:space="preserve">Client 1 = plan des butées. Clients 2 et 3 calculés sur les valeurs fictives : les recalculer avec les vraies mesures (guide formateur).</t>
  </si>
  <si>
    <t xml:space="preserve">Client affiché sur le graphique (1, 2 ou 3)</t>
  </si>
  <si>
    <t xml:space="preserve">Tracé des limites</t>
  </si>
  <si>
    <t xml:space="preserve">TI</t>
  </si>
  <si>
    <t xml:space="preserve">TS</t>
  </si>
  <si>
    <t xml:space="preserve">début</t>
  </si>
  <si>
    <t xml:space="preserve">fin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</si>
</sst>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"/>
    <numFmt numFmtId="167" formatCode="0.0000"/>
    <numFmt numFmtId="168" formatCode="0.00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8C8E8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8C8E8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Histogramme du 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Analyse!E13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Analyse!$D$14:$D$21</c:f>
              <c:strCache>
                <c:ptCount val="8"/>
                <c:pt idx="0">
                  <c:v>11.871</c:v>
                </c:pt>
                <c:pt idx="1">
                  <c:v>11.880</c:v>
                </c:pt>
                <c:pt idx="2">
                  <c:v>11.889</c:v>
                </c:pt>
                <c:pt idx="3">
                  <c:v>11.899</c:v>
                </c:pt>
                <c:pt idx="4">
                  <c:v>11.908</c:v>
                </c:pt>
                <c:pt idx="5">
                  <c:v>11.918</c:v>
                </c:pt>
                <c:pt idx="6">
                  <c:v>11.927</c:v>
                </c:pt>
                <c:pt idx="7">
                  <c:v>11.936</c:v>
                </c:pt>
              </c:strCache>
            </c:strRef>
          </c:cat>
          <c:val>
            <c:numRef>
              <c:f>Analyse!$E$14:$E$21</c:f>
              <c:numCache>
                <c:formatCode>0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</c:ser>
        <c:gapWidth val="5"/>
        <c:overlap val="0"/>
        <c:axId val="47015648"/>
        <c:axId val="58965887"/>
      </c:barChart>
      <c:catAx>
        <c:axId val="470156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Diamètre (mm), centre de classe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5887"/>
        <c:crosses val="autoZero"/>
        <c:auto val="1"/>
        <c:lblAlgn val="ctr"/>
        <c:lblOffset val="100"/>
        <c:noMultiLvlLbl val="0"/>
      </c:catAx>
      <c:valAx>
        <c:axId val="58965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pièces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5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Pièce par pièce face à la tolérance du client choisi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"Mesures"</c:f>
              <c:strCache>
                <c:ptCount val="1"/>
                <c:pt idx="0">
                  <c:v>Mesures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Mesures!$A$6:$A$105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Mesures!$C$6:$C$105</c:f>
              <c:numCache>
                <c:formatCode>0.000</c:formatCode>
                <c:ptCount val="100"/>
                <c:pt idx="0">
                  <c:v>11.929</c:v>
                </c:pt>
                <c:pt idx="1">
                  <c:v>11.928</c:v>
                </c:pt>
                <c:pt idx="2">
                  <c:v>11.866</c:v>
                </c:pt>
                <c:pt idx="3">
                  <c:v>11.907</c:v>
                </c:pt>
                <c:pt idx="4">
                  <c:v>11.922</c:v>
                </c:pt>
                <c:pt idx="5">
                  <c:v>11.919</c:v>
                </c:pt>
                <c:pt idx="6">
                  <c:v>11.887</c:v>
                </c:pt>
                <c:pt idx="7">
                  <c:v>11.893</c:v>
                </c:pt>
                <c:pt idx="8">
                  <c:v>11.916</c:v>
                </c:pt>
                <c:pt idx="9">
                  <c:v>11.883</c:v>
                </c:pt>
                <c:pt idx="10">
                  <c:v>11.905</c:v>
                </c:pt>
                <c:pt idx="11">
                  <c:v>11.873</c:v>
                </c:pt>
                <c:pt idx="12">
                  <c:v>11.91</c:v>
                </c:pt>
                <c:pt idx="13">
                  <c:v>11.881</c:v>
                </c:pt>
                <c:pt idx="14">
                  <c:v>11.912</c:v>
                </c:pt>
                <c:pt idx="15">
                  <c:v>11.94</c:v>
                </c:pt>
                <c:pt idx="16">
                  <c:v>11.941</c:v>
                </c:pt>
                <c:pt idx="17">
                  <c:v>11.936</c:v>
                </c:pt>
                <c:pt idx="18">
                  <c:v>11.872</c:v>
                </c:pt>
                <c:pt idx="19">
                  <c:v>11.923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"TI"</c:f>
              <c:strCache>
                <c:ptCount val="1"/>
                <c:pt idx="0">
                  <c:v>TI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Analyse!$B$43:$B$44</c:f>
              <c:numCache>
                <c:formatCode>0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Analyse!$C$43:$C$44</c:f>
              <c:numCache>
                <c:formatCode>0.000</c:formatCode>
                <c:ptCount val="2"/>
                <c:pt idx="0">
                  <c:v>11.85</c:v>
                </c:pt>
                <c:pt idx="1">
                  <c:v>11.85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"TS"</c:f>
              <c:strCache>
                <c:ptCount val="1"/>
                <c:pt idx="0">
                  <c:v>TS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Analyse!$B$43:$B$44</c:f>
              <c:numCache>
                <c:formatCode>0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Analyse!$D$43:$D$44</c:f>
              <c:numCache>
                <c:formatCode>0.000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0"/>
        </c:ser>
        <c:axId val="33125230"/>
        <c:axId val="1526972"/>
      </c:scatterChart>
      <c:valAx>
        <c:axId val="331252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N° pièce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972"/>
        <c:crosses val="autoZero"/>
        <c:crossBetween val="midCat"/>
      </c:valAx>
      <c:valAx>
        <c:axId val="1526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Diamètre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252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6</xdr:col>
      <xdr:colOff>533160</xdr:colOff>
      <xdr:row>5</xdr:row>
      <xdr:rowOff>190440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424080" y="685800"/>
          <a:ext cx="53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8</xdr:col>
      <xdr:colOff>5400</xdr:colOff>
      <xdr:row>12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424080" y="2019240"/>
          <a:ext cx="1228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9</xdr:col>
      <xdr:colOff>527400</xdr:colOff>
      <xdr:row>23</xdr:row>
      <xdr:rowOff>94680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424080" y="5448240"/>
          <a:ext cx="236196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117000</xdr:colOff>
      <xdr:row>18</xdr:row>
      <xdr:rowOff>21960</xdr:rowOff>
    </xdr:to>
    <xdr:graphicFrame>
      <xdr:nvGraphicFramePr>
        <xdr:cNvPr id="3" name="Chart 1"/>
        <xdr:cNvGraphicFramePr/>
      </xdr:nvGraphicFramePr>
      <xdr:xfrm>
        <a:off x="7753320" y="685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14</xdr:col>
      <xdr:colOff>117000</xdr:colOff>
      <xdr:row>35</xdr:row>
      <xdr:rowOff>212760</xdr:rowOff>
    </xdr:to>
    <xdr:graphicFrame>
      <xdr:nvGraphicFramePr>
        <xdr:cNvPr id="4" name="Chart 2"/>
        <xdr:cNvGraphicFramePr/>
      </xdr:nvGraphicFramePr>
      <xdr:xfrm>
        <a:off x="7753320" y="4114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4" t="s">
        <v>2</v>
      </c>
    </row>
    <row r="5" customFormat="false" ht="15" hidden="false" customHeight="true" outlineLevel="0" collapsed="false"/>
    <row r="6" customFormat="false" ht="45" hidden="false" customHeight="true" outlineLevel="0" collapsed="false">
      <c r="B6" s="5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true" outlineLevel="0" collapsed="false"/>
    <row r="9" customFormat="false" ht="30" hidden="false" customHeight="true" outlineLevel="0" collapsed="false">
      <c r="B9" s="5" t="s">
        <v>5</v>
      </c>
    </row>
    <row r="10" customFormat="false" ht="30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2" customFormat="false" ht="45" hidden="false" customHeight="true" outlineLevel="0" collapsed="false">
      <c r="B12" s="6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true" outlineLevel="0" collapsed="false"/>
    <row r="15" customFormat="false" ht="60" hidden="false" customHeight="true" outlineLevel="0" collapsed="false">
      <c r="B15" s="5" t="s">
        <v>10</v>
      </c>
    </row>
    <row r="16" customFormat="false" ht="30" hidden="false" customHeight="true" outlineLevel="0" collapsed="false">
      <c r="B16" s="5" t="s">
        <v>11</v>
      </c>
    </row>
    <row r="18" customFormat="false" ht="15" hidden="false" customHeight="false" outlineLevel="0" collapsed="false">
      <c r="B18" s="7" t="s">
        <v>12</v>
      </c>
    </row>
    <row r="19" customFormat="false" ht="15" hidden="false" customHeight="false" outlineLevel="0" collapsed="false">
      <c r="B19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</v>
      </c>
      <c r="B2" s="2"/>
      <c r="C2" s="2"/>
      <c r="D2" s="2"/>
      <c r="E2" s="2"/>
      <c r="F2" s="2"/>
    </row>
    <row r="5" customFormat="false" ht="23.85" hidden="false" customHeight="false" outlineLevel="0" collapsed="false">
      <c r="A5" s="9" t="s">
        <v>16</v>
      </c>
      <c r="B5" s="9" t="s">
        <v>17</v>
      </c>
      <c r="C5" s="9" t="s">
        <v>18</v>
      </c>
      <c r="E5" s="6" t="s">
        <v>19</v>
      </c>
    </row>
    <row r="6" customFormat="false" ht="15" hidden="false" customHeight="false" outlineLevel="0" collapsed="false">
      <c r="A6" s="7" t="n">
        <v>1</v>
      </c>
      <c r="B6" s="7" t="s">
        <v>20</v>
      </c>
      <c r="C6" s="10" t="n">
        <v>11.929</v>
      </c>
    </row>
    <row r="7" customFormat="false" ht="15" hidden="false" customHeight="false" outlineLevel="0" collapsed="false">
      <c r="A7" s="7" t="n">
        <v>2</v>
      </c>
      <c r="B7" s="7" t="s">
        <v>21</v>
      </c>
      <c r="C7" s="10" t="n">
        <v>11.928</v>
      </c>
    </row>
    <row r="8" customFormat="false" ht="15" hidden="false" customHeight="false" outlineLevel="0" collapsed="false">
      <c r="A8" s="7" t="n">
        <v>3</v>
      </c>
      <c r="B8" s="7" t="s">
        <v>22</v>
      </c>
      <c r="C8" s="10" t="n">
        <v>11.866</v>
      </c>
    </row>
    <row r="9" customFormat="false" ht="15" hidden="false" customHeight="false" outlineLevel="0" collapsed="false">
      <c r="A9" s="7" t="n">
        <v>4</v>
      </c>
      <c r="B9" s="7" t="s">
        <v>23</v>
      </c>
      <c r="C9" s="10" t="n">
        <v>11.907</v>
      </c>
    </row>
    <row r="10" customFormat="false" ht="15" hidden="false" customHeight="false" outlineLevel="0" collapsed="false">
      <c r="A10" s="7" t="n">
        <v>5</v>
      </c>
      <c r="B10" s="7" t="s">
        <v>24</v>
      </c>
      <c r="C10" s="10" t="n">
        <v>11.922</v>
      </c>
    </row>
    <row r="11" customFormat="false" ht="15" hidden="false" customHeight="false" outlineLevel="0" collapsed="false">
      <c r="A11" s="7" t="n">
        <v>6</v>
      </c>
      <c r="B11" s="7" t="s">
        <v>25</v>
      </c>
      <c r="C11" s="10" t="n">
        <v>11.919</v>
      </c>
    </row>
    <row r="12" customFormat="false" ht="15" hidden="false" customHeight="false" outlineLevel="0" collapsed="false">
      <c r="A12" s="7" t="n">
        <v>7</v>
      </c>
      <c r="B12" s="7" t="s">
        <v>20</v>
      </c>
      <c r="C12" s="10" t="n">
        <v>11.887</v>
      </c>
    </row>
    <row r="13" customFormat="false" ht="15" hidden="false" customHeight="false" outlineLevel="0" collapsed="false">
      <c r="A13" s="7" t="n">
        <v>8</v>
      </c>
      <c r="B13" s="7" t="s">
        <v>21</v>
      </c>
      <c r="C13" s="10" t="n">
        <v>11.893</v>
      </c>
    </row>
    <row r="14" customFormat="false" ht="15" hidden="false" customHeight="false" outlineLevel="0" collapsed="false">
      <c r="A14" s="7" t="n">
        <v>9</v>
      </c>
      <c r="B14" s="7" t="s">
        <v>22</v>
      </c>
      <c r="C14" s="10" t="n">
        <v>11.916</v>
      </c>
    </row>
    <row r="15" customFormat="false" ht="15" hidden="false" customHeight="false" outlineLevel="0" collapsed="false">
      <c r="A15" s="7" t="n">
        <v>10</v>
      </c>
      <c r="B15" s="7" t="s">
        <v>23</v>
      </c>
      <c r="C15" s="10" t="n">
        <v>11.883</v>
      </c>
    </row>
    <row r="16" customFormat="false" ht="15" hidden="false" customHeight="false" outlineLevel="0" collapsed="false">
      <c r="A16" s="7" t="n">
        <v>11</v>
      </c>
      <c r="B16" s="7" t="s">
        <v>24</v>
      </c>
      <c r="C16" s="10" t="n">
        <v>11.905</v>
      </c>
    </row>
    <row r="17" customFormat="false" ht="15" hidden="false" customHeight="false" outlineLevel="0" collapsed="false">
      <c r="A17" s="7" t="n">
        <v>12</v>
      </c>
      <c r="B17" s="7" t="s">
        <v>25</v>
      </c>
      <c r="C17" s="10" t="n">
        <v>11.873</v>
      </c>
    </row>
    <row r="18" customFormat="false" ht="15" hidden="false" customHeight="false" outlineLevel="0" collapsed="false">
      <c r="A18" s="7" t="n">
        <v>13</v>
      </c>
      <c r="B18" s="7" t="s">
        <v>20</v>
      </c>
      <c r="C18" s="10" t="n">
        <v>11.91</v>
      </c>
    </row>
    <row r="19" customFormat="false" ht="15" hidden="false" customHeight="false" outlineLevel="0" collapsed="false">
      <c r="A19" s="7" t="n">
        <v>14</v>
      </c>
      <c r="B19" s="7" t="s">
        <v>21</v>
      </c>
      <c r="C19" s="10" t="n">
        <v>11.881</v>
      </c>
    </row>
    <row r="20" customFormat="false" ht="15" hidden="false" customHeight="false" outlineLevel="0" collapsed="false">
      <c r="A20" s="7" t="n">
        <v>15</v>
      </c>
      <c r="B20" s="7" t="s">
        <v>22</v>
      </c>
      <c r="C20" s="10" t="n">
        <v>11.912</v>
      </c>
    </row>
    <row r="21" customFormat="false" ht="15" hidden="false" customHeight="false" outlineLevel="0" collapsed="false">
      <c r="A21" s="7" t="n">
        <v>16</v>
      </c>
      <c r="B21" s="7" t="s">
        <v>23</v>
      </c>
      <c r="C21" s="10" t="n">
        <v>11.94</v>
      </c>
    </row>
    <row r="22" customFormat="false" ht="15" hidden="false" customHeight="false" outlineLevel="0" collapsed="false">
      <c r="A22" s="7" t="n">
        <v>17</v>
      </c>
      <c r="B22" s="7" t="s">
        <v>24</v>
      </c>
      <c r="C22" s="10" t="n">
        <v>11.941</v>
      </c>
    </row>
    <row r="23" customFormat="false" ht="15" hidden="false" customHeight="false" outlineLevel="0" collapsed="false">
      <c r="A23" s="7" t="n">
        <v>18</v>
      </c>
      <c r="B23" s="7" t="s">
        <v>25</v>
      </c>
      <c r="C23" s="10" t="n">
        <v>11.936</v>
      </c>
    </row>
    <row r="24" customFormat="false" ht="15" hidden="false" customHeight="false" outlineLevel="0" collapsed="false">
      <c r="A24" s="7" t="n">
        <v>19</v>
      </c>
      <c r="B24" s="7" t="s">
        <v>20</v>
      </c>
      <c r="C24" s="10" t="n">
        <v>11.872</v>
      </c>
    </row>
    <row r="25" customFormat="false" ht="15" hidden="false" customHeight="false" outlineLevel="0" collapsed="false">
      <c r="A25" s="7" t="n">
        <v>20</v>
      </c>
      <c r="B25" s="7" t="s">
        <v>21</v>
      </c>
      <c r="C25" s="10" t="n">
        <v>11.923</v>
      </c>
    </row>
    <row r="26" customFormat="false" ht="15" hidden="false" customHeight="false" outlineLevel="0" collapsed="false">
      <c r="A26" s="7" t="n">
        <v>21</v>
      </c>
      <c r="B26" s="7"/>
      <c r="C26" s="10"/>
    </row>
    <row r="27" customFormat="false" ht="15" hidden="false" customHeight="false" outlineLevel="0" collapsed="false">
      <c r="A27" s="7" t="n">
        <v>22</v>
      </c>
      <c r="B27" s="7"/>
      <c r="C27" s="10"/>
    </row>
    <row r="28" customFormat="false" ht="15" hidden="false" customHeight="false" outlineLevel="0" collapsed="false">
      <c r="A28" s="7" t="n">
        <v>23</v>
      </c>
      <c r="B28" s="7"/>
      <c r="C28" s="10"/>
    </row>
    <row r="29" customFormat="false" ht="15" hidden="false" customHeight="false" outlineLevel="0" collapsed="false">
      <c r="A29" s="7" t="n">
        <v>24</v>
      </c>
      <c r="B29" s="7"/>
      <c r="C29" s="10"/>
    </row>
    <row r="30" customFormat="false" ht="15" hidden="false" customHeight="false" outlineLevel="0" collapsed="false">
      <c r="A30" s="7" t="n">
        <v>25</v>
      </c>
      <c r="B30" s="7"/>
      <c r="C30" s="10"/>
    </row>
    <row r="31" customFormat="false" ht="15" hidden="false" customHeight="false" outlineLevel="0" collapsed="false">
      <c r="A31" s="7" t="n">
        <v>26</v>
      </c>
      <c r="B31" s="7"/>
      <c r="C31" s="10"/>
    </row>
    <row r="32" customFormat="false" ht="15" hidden="false" customHeight="false" outlineLevel="0" collapsed="false">
      <c r="A32" s="7" t="n">
        <v>27</v>
      </c>
      <c r="B32" s="7"/>
      <c r="C32" s="10"/>
    </row>
    <row r="33" customFormat="false" ht="15" hidden="false" customHeight="false" outlineLevel="0" collapsed="false">
      <c r="A33" s="7" t="n">
        <v>28</v>
      </c>
      <c r="B33" s="7"/>
      <c r="C33" s="10"/>
    </row>
    <row r="34" customFormat="false" ht="15" hidden="false" customHeight="false" outlineLevel="0" collapsed="false">
      <c r="A34" s="7" t="n">
        <v>29</v>
      </c>
      <c r="B34" s="7"/>
      <c r="C34" s="10"/>
    </row>
    <row r="35" customFormat="false" ht="15" hidden="false" customHeight="false" outlineLevel="0" collapsed="false">
      <c r="A35" s="7" t="n">
        <v>30</v>
      </c>
      <c r="B35" s="7"/>
      <c r="C35" s="10"/>
    </row>
    <row r="36" customFormat="false" ht="15" hidden="false" customHeight="false" outlineLevel="0" collapsed="false">
      <c r="A36" s="7" t="n">
        <v>31</v>
      </c>
      <c r="B36" s="7"/>
      <c r="C36" s="10"/>
    </row>
    <row r="37" customFormat="false" ht="15" hidden="false" customHeight="false" outlineLevel="0" collapsed="false">
      <c r="A37" s="7" t="n">
        <v>32</v>
      </c>
      <c r="B37" s="7"/>
      <c r="C37" s="10"/>
    </row>
    <row r="38" customFormat="false" ht="15" hidden="false" customHeight="false" outlineLevel="0" collapsed="false">
      <c r="A38" s="7" t="n">
        <v>33</v>
      </c>
      <c r="B38" s="7"/>
      <c r="C38" s="10"/>
    </row>
    <row r="39" customFormat="false" ht="15" hidden="false" customHeight="false" outlineLevel="0" collapsed="false">
      <c r="A39" s="7" t="n">
        <v>34</v>
      </c>
      <c r="B39" s="7"/>
      <c r="C39" s="10"/>
    </row>
    <row r="40" customFormat="false" ht="15" hidden="false" customHeight="false" outlineLevel="0" collapsed="false">
      <c r="A40" s="7" t="n">
        <v>35</v>
      </c>
      <c r="B40" s="7"/>
      <c r="C40" s="10"/>
    </row>
    <row r="41" customFormat="false" ht="15" hidden="false" customHeight="false" outlineLevel="0" collapsed="false">
      <c r="A41" s="7" t="n">
        <v>36</v>
      </c>
      <c r="B41" s="7"/>
      <c r="C41" s="10"/>
    </row>
    <row r="42" customFormat="false" ht="15" hidden="false" customHeight="false" outlineLevel="0" collapsed="false">
      <c r="A42" s="7" t="n">
        <v>37</v>
      </c>
      <c r="B42" s="7"/>
      <c r="C42" s="10"/>
    </row>
    <row r="43" customFormat="false" ht="15" hidden="false" customHeight="false" outlineLevel="0" collapsed="false">
      <c r="A43" s="7" t="n">
        <v>38</v>
      </c>
      <c r="B43" s="7"/>
      <c r="C43" s="10"/>
    </row>
    <row r="44" customFormat="false" ht="15" hidden="false" customHeight="false" outlineLevel="0" collapsed="false">
      <c r="A44" s="7" t="n">
        <v>39</v>
      </c>
      <c r="B44" s="7"/>
      <c r="C44" s="10"/>
    </row>
    <row r="45" customFormat="false" ht="15" hidden="false" customHeight="false" outlineLevel="0" collapsed="false">
      <c r="A45" s="7" t="n">
        <v>40</v>
      </c>
      <c r="B45" s="7"/>
      <c r="C45" s="10"/>
    </row>
    <row r="46" customFormat="false" ht="15" hidden="false" customHeight="false" outlineLevel="0" collapsed="false">
      <c r="A46" s="7" t="n">
        <v>41</v>
      </c>
      <c r="B46" s="7"/>
      <c r="C46" s="10"/>
    </row>
    <row r="47" customFormat="false" ht="15" hidden="false" customHeight="false" outlineLevel="0" collapsed="false">
      <c r="A47" s="7" t="n">
        <v>42</v>
      </c>
      <c r="B47" s="7"/>
      <c r="C47" s="10"/>
    </row>
    <row r="48" customFormat="false" ht="15" hidden="false" customHeight="false" outlineLevel="0" collapsed="false">
      <c r="A48" s="7" t="n">
        <v>43</v>
      </c>
      <c r="B48" s="7"/>
      <c r="C48" s="10"/>
    </row>
    <row r="49" customFormat="false" ht="15" hidden="false" customHeight="false" outlineLevel="0" collapsed="false">
      <c r="A49" s="7" t="n">
        <v>44</v>
      </c>
      <c r="B49" s="7"/>
      <c r="C49" s="10"/>
    </row>
    <row r="50" customFormat="false" ht="15" hidden="false" customHeight="false" outlineLevel="0" collapsed="false">
      <c r="A50" s="7" t="n">
        <v>45</v>
      </c>
      <c r="B50" s="7"/>
      <c r="C50" s="10"/>
    </row>
    <row r="51" customFormat="false" ht="15" hidden="false" customHeight="false" outlineLevel="0" collapsed="false">
      <c r="A51" s="7" t="n">
        <v>46</v>
      </c>
      <c r="B51" s="7"/>
      <c r="C51" s="10"/>
    </row>
    <row r="52" customFormat="false" ht="15" hidden="false" customHeight="false" outlineLevel="0" collapsed="false">
      <c r="A52" s="7" t="n">
        <v>47</v>
      </c>
      <c r="B52" s="7"/>
      <c r="C52" s="10"/>
    </row>
    <row r="53" customFormat="false" ht="15" hidden="false" customHeight="false" outlineLevel="0" collapsed="false">
      <c r="A53" s="7" t="n">
        <v>48</v>
      </c>
      <c r="B53" s="7"/>
      <c r="C53" s="10"/>
    </row>
    <row r="54" customFormat="false" ht="15" hidden="false" customHeight="false" outlineLevel="0" collapsed="false">
      <c r="A54" s="7" t="n">
        <v>49</v>
      </c>
      <c r="B54" s="7"/>
      <c r="C54" s="10"/>
    </row>
    <row r="55" customFormat="false" ht="15" hidden="false" customHeight="false" outlineLevel="0" collapsed="false">
      <c r="A55" s="7" t="n">
        <v>50</v>
      </c>
      <c r="B55" s="7"/>
      <c r="C55" s="10"/>
    </row>
    <row r="56" customFormat="false" ht="15" hidden="false" customHeight="false" outlineLevel="0" collapsed="false">
      <c r="A56" s="7" t="n">
        <v>51</v>
      </c>
      <c r="B56" s="7"/>
      <c r="C56" s="10"/>
    </row>
    <row r="57" customFormat="false" ht="15" hidden="false" customHeight="false" outlineLevel="0" collapsed="false">
      <c r="A57" s="7" t="n">
        <v>52</v>
      </c>
      <c r="B57" s="7"/>
      <c r="C57" s="10"/>
    </row>
    <row r="58" customFormat="false" ht="15" hidden="false" customHeight="false" outlineLevel="0" collapsed="false">
      <c r="A58" s="7" t="n">
        <v>53</v>
      </c>
      <c r="B58" s="7"/>
      <c r="C58" s="10"/>
    </row>
    <row r="59" customFormat="false" ht="15" hidden="false" customHeight="false" outlineLevel="0" collapsed="false">
      <c r="A59" s="7" t="n">
        <v>54</v>
      </c>
      <c r="B59" s="7"/>
      <c r="C59" s="10"/>
    </row>
    <row r="60" customFormat="false" ht="15" hidden="false" customHeight="false" outlineLevel="0" collapsed="false">
      <c r="A60" s="7" t="n">
        <v>55</v>
      </c>
      <c r="B60" s="7"/>
      <c r="C60" s="10"/>
    </row>
    <row r="61" customFormat="false" ht="15" hidden="false" customHeight="false" outlineLevel="0" collapsed="false">
      <c r="A61" s="7" t="n">
        <v>56</v>
      </c>
      <c r="B61" s="7"/>
      <c r="C61" s="10"/>
    </row>
    <row r="62" customFormat="false" ht="15" hidden="false" customHeight="false" outlineLevel="0" collapsed="false">
      <c r="A62" s="7" t="n">
        <v>57</v>
      </c>
      <c r="B62" s="7"/>
      <c r="C62" s="10"/>
    </row>
    <row r="63" customFormat="false" ht="15" hidden="false" customHeight="false" outlineLevel="0" collapsed="false">
      <c r="A63" s="7" t="n">
        <v>58</v>
      </c>
      <c r="B63" s="7"/>
      <c r="C63" s="10"/>
    </row>
    <row r="64" customFormat="false" ht="15" hidden="false" customHeight="false" outlineLevel="0" collapsed="false">
      <c r="A64" s="7" t="n">
        <v>59</v>
      </c>
      <c r="B64" s="7"/>
      <c r="C64" s="10"/>
    </row>
    <row r="65" customFormat="false" ht="15" hidden="false" customHeight="false" outlineLevel="0" collapsed="false">
      <c r="A65" s="7" t="n">
        <v>60</v>
      </c>
      <c r="B65" s="7"/>
      <c r="C65" s="10"/>
    </row>
    <row r="66" customFormat="false" ht="15" hidden="false" customHeight="false" outlineLevel="0" collapsed="false">
      <c r="A66" s="7" t="n">
        <v>61</v>
      </c>
      <c r="B66" s="7"/>
      <c r="C66" s="10"/>
    </row>
    <row r="67" customFormat="false" ht="15" hidden="false" customHeight="false" outlineLevel="0" collapsed="false">
      <c r="A67" s="7" t="n">
        <v>62</v>
      </c>
      <c r="B67" s="7"/>
      <c r="C67" s="10"/>
    </row>
    <row r="68" customFormat="false" ht="15" hidden="false" customHeight="false" outlineLevel="0" collapsed="false">
      <c r="A68" s="7" t="n">
        <v>63</v>
      </c>
      <c r="B68" s="7"/>
      <c r="C68" s="10"/>
    </row>
    <row r="69" customFormat="false" ht="15" hidden="false" customHeight="false" outlineLevel="0" collapsed="false">
      <c r="A69" s="7" t="n">
        <v>64</v>
      </c>
      <c r="B69" s="7"/>
      <c r="C69" s="10"/>
    </row>
    <row r="70" customFormat="false" ht="15" hidden="false" customHeight="false" outlineLevel="0" collapsed="false">
      <c r="A70" s="7" t="n">
        <v>65</v>
      </c>
      <c r="B70" s="7"/>
      <c r="C70" s="10"/>
    </row>
    <row r="71" customFormat="false" ht="15" hidden="false" customHeight="false" outlineLevel="0" collapsed="false">
      <c r="A71" s="7" t="n">
        <v>66</v>
      </c>
      <c r="B71" s="7"/>
      <c r="C71" s="10"/>
    </row>
    <row r="72" customFormat="false" ht="15" hidden="false" customHeight="false" outlineLevel="0" collapsed="false">
      <c r="A72" s="7" t="n">
        <v>67</v>
      </c>
      <c r="B72" s="7"/>
      <c r="C72" s="10"/>
    </row>
    <row r="73" customFormat="false" ht="15" hidden="false" customHeight="false" outlineLevel="0" collapsed="false">
      <c r="A73" s="7" t="n">
        <v>68</v>
      </c>
      <c r="B73" s="7"/>
      <c r="C73" s="10"/>
    </row>
    <row r="74" customFormat="false" ht="15" hidden="false" customHeight="false" outlineLevel="0" collapsed="false">
      <c r="A74" s="7" t="n">
        <v>69</v>
      </c>
      <c r="B74" s="7"/>
      <c r="C74" s="10"/>
    </row>
    <row r="75" customFormat="false" ht="15" hidden="false" customHeight="false" outlineLevel="0" collapsed="false">
      <c r="A75" s="7" t="n">
        <v>70</v>
      </c>
      <c r="B75" s="7"/>
      <c r="C75" s="10"/>
    </row>
    <row r="76" customFormat="false" ht="15" hidden="false" customHeight="false" outlineLevel="0" collapsed="false">
      <c r="A76" s="7" t="n">
        <v>71</v>
      </c>
      <c r="B76" s="7"/>
      <c r="C76" s="10"/>
    </row>
    <row r="77" customFormat="false" ht="15" hidden="false" customHeight="false" outlineLevel="0" collapsed="false">
      <c r="A77" s="7" t="n">
        <v>72</v>
      </c>
      <c r="B77" s="7"/>
      <c r="C77" s="10"/>
    </row>
    <row r="78" customFormat="false" ht="15" hidden="false" customHeight="false" outlineLevel="0" collapsed="false">
      <c r="A78" s="7" t="n">
        <v>73</v>
      </c>
      <c r="B78" s="7"/>
      <c r="C78" s="10"/>
    </row>
    <row r="79" customFormat="false" ht="15" hidden="false" customHeight="false" outlineLevel="0" collapsed="false">
      <c r="A79" s="7" t="n">
        <v>74</v>
      </c>
      <c r="B79" s="7"/>
      <c r="C79" s="10"/>
    </row>
    <row r="80" customFormat="false" ht="15" hidden="false" customHeight="false" outlineLevel="0" collapsed="false">
      <c r="A80" s="7" t="n">
        <v>75</v>
      </c>
      <c r="B80" s="7"/>
      <c r="C80" s="10"/>
    </row>
    <row r="81" customFormat="false" ht="15" hidden="false" customHeight="false" outlineLevel="0" collapsed="false">
      <c r="A81" s="7" t="n">
        <v>76</v>
      </c>
      <c r="B81" s="7"/>
      <c r="C81" s="10"/>
    </row>
    <row r="82" customFormat="false" ht="15" hidden="false" customHeight="false" outlineLevel="0" collapsed="false">
      <c r="A82" s="7" t="n">
        <v>77</v>
      </c>
      <c r="B82" s="7"/>
      <c r="C82" s="10"/>
    </row>
    <row r="83" customFormat="false" ht="15" hidden="false" customHeight="false" outlineLevel="0" collapsed="false">
      <c r="A83" s="7" t="n">
        <v>78</v>
      </c>
      <c r="B83" s="7"/>
      <c r="C83" s="10"/>
    </row>
    <row r="84" customFormat="false" ht="15" hidden="false" customHeight="false" outlineLevel="0" collapsed="false">
      <c r="A84" s="7" t="n">
        <v>79</v>
      </c>
      <c r="B84" s="7"/>
      <c r="C84" s="10"/>
    </row>
    <row r="85" customFormat="false" ht="15" hidden="false" customHeight="false" outlineLevel="0" collapsed="false">
      <c r="A85" s="7" t="n">
        <v>80</v>
      </c>
      <c r="B85" s="7"/>
      <c r="C85" s="10"/>
    </row>
    <row r="86" customFormat="false" ht="15" hidden="false" customHeight="false" outlineLevel="0" collapsed="false">
      <c r="A86" s="7" t="n">
        <v>81</v>
      </c>
      <c r="B86" s="7"/>
      <c r="C86" s="10"/>
    </row>
    <row r="87" customFormat="false" ht="15" hidden="false" customHeight="false" outlineLevel="0" collapsed="false">
      <c r="A87" s="7" t="n">
        <v>82</v>
      </c>
      <c r="B87" s="7"/>
      <c r="C87" s="10"/>
    </row>
    <row r="88" customFormat="false" ht="15" hidden="false" customHeight="false" outlineLevel="0" collapsed="false">
      <c r="A88" s="7" t="n">
        <v>83</v>
      </c>
      <c r="B88" s="7"/>
      <c r="C88" s="10"/>
    </row>
    <row r="89" customFormat="false" ht="15" hidden="false" customHeight="false" outlineLevel="0" collapsed="false">
      <c r="A89" s="7" t="n">
        <v>84</v>
      </c>
      <c r="B89" s="7"/>
      <c r="C89" s="10"/>
    </row>
    <row r="90" customFormat="false" ht="15" hidden="false" customHeight="false" outlineLevel="0" collapsed="false">
      <c r="A90" s="7" t="n">
        <v>85</v>
      </c>
      <c r="B90" s="7"/>
      <c r="C90" s="10"/>
    </row>
    <row r="91" customFormat="false" ht="15" hidden="false" customHeight="false" outlineLevel="0" collapsed="false">
      <c r="A91" s="7" t="n">
        <v>86</v>
      </c>
      <c r="B91" s="7"/>
      <c r="C91" s="10"/>
    </row>
    <row r="92" customFormat="false" ht="15" hidden="false" customHeight="false" outlineLevel="0" collapsed="false">
      <c r="A92" s="7" t="n">
        <v>87</v>
      </c>
      <c r="B92" s="7"/>
      <c r="C92" s="10"/>
    </row>
    <row r="93" customFormat="false" ht="15" hidden="false" customHeight="false" outlineLevel="0" collapsed="false">
      <c r="A93" s="7" t="n">
        <v>88</v>
      </c>
      <c r="B93" s="7"/>
      <c r="C93" s="10"/>
    </row>
    <row r="94" customFormat="false" ht="15" hidden="false" customHeight="false" outlineLevel="0" collapsed="false">
      <c r="A94" s="7" t="n">
        <v>89</v>
      </c>
      <c r="B94" s="7"/>
      <c r="C94" s="10"/>
    </row>
    <row r="95" customFormat="false" ht="15" hidden="false" customHeight="false" outlineLevel="0" collapsed="false">
      <c r="A95" s="7" t="n">
        <v>90</v>
      </c>
      <c r="B95" s="7"/>
      <c r="C95" s="10"/>
    </row>
    <row r="96" customFormat="false" ht="15" hidden="false" customHeight="false" outlineLevel="0" collapsed="false">
      <c r="A96" s="7" t="n">
        <v>91</v>
      </c>
      <c r="B96" s="7"/>
      <c r="C96" s="10"/>
    </row>
    <row r="97" customFormat="false" ht="15" hidden="false" customHeight="false" outlineLevel="0" collapsed="false">
      <c r="A97" s="7" t="n">
        <v>92</v>
      </c>
      <c r="B97" s="7"/>
      <c r="C97" s="10"/>
    </row>
    <row r="98" customFormat="false" ht="15" hidden="false" customHeight="false" outlineLevel="0" collapsed="false">
      <c r="A98" s="7" t="n">
        <v>93</v>
      </c>
      <c r="B98" s="7"/>
      <c r="C98" s="10"/>
    </row>
    <row r="99" customFormat="false" ht="15" hidden="false" customHeight="false" outlineLevel="0" collapsed="false">
      <c r="A99" s="7" t="n">
        <v>94</v>
      </c>
      <c r="B99" s="7"/>
      <c r="C99" s="10"/>
    </row>
    <row r="100" customFormat="false" ht="15" hidden="false" customHeight="false" outlineLevel="0" collapsed="false">
      <c r="A100" s="7" t="n">
        <v>95</v>
      </c>
      <c r="B100" s="7"/>
      <c r="C100" s="10"/>
    </row>
    <row r="101" customFormat="false" ht="15" hidden="false" customHeight="false" outlineLevel="0" collapsed="false">
      <c r="A101" s="7" t="n">
        <v>96</v>
      </c>
      <c r="B101" s="7"/>
      <c r="C101" s="10"/>
    </row>
    <row r="102" customFormat="false" ht="15" hidden="false" customHeight="false" outlineLevel="0" collapsed="false">
      <c r="A102" s="7" t="n">
        <v>97</v>
      </c>
      <c r="B102" s="7"/>
      <c r="C102" s="10"/>
    </row>
    <row r="103" customFormat="false" ht="15" hidden="false" customHeight="false" outlineLevel="0" collapsed="false">
      <c r="A103" s="7" t="n">
        <v>98</v>
      </c>
      <c r="B103" s="7"/>
      <c r="C103" s="10"/>
    </row>
    <row r="104" customFormat="false" ht="15" hidden="false" customHeight="false" outlineLevel="0" collapsed="false">
      <c r="A104" s="7" t="n">
        <v>99</v>
      </c>
      <c r="B104" s="7"/>
      <c r="C104" s="10"/>
    </row>
    <row r="105" customFormat="false" ht="15" hidden="false" customHeight="false" outlineLevel="0" collapsed="false">
      <c r="A105" s="7" t="n">
        <v>100</v>
      </c>
      <c r="B105" s="7"/>
      <c r="C10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1" t="s">
        <v>28</v>
      </c>
      <c r="B4" s="12" t="n">
        <f aca="false">COUNT(Mesures!$C$6:$C$105)</f>
        <v>20</v>
      </c>
    </row>
    <row r="5" customFormat="false" ht="15" hidden="false" customHeight="false" outlineLevel="0" collapsed="false">
      <c r="A5" s="11" t="s">
        <v>29</v>
      </c>
      <c r="B5" s="13" t="n">
        <f aca="false">AVERAGE(Mesures!$C$6:$C$105)</f>
        <v>11.90715</v>
      </c>
    </row>
    <row r="6" customFormat="false" ht="15" hidden="false" customHeight="false" outlineLevel="0" collapsed="false">
      <c r="A6" s="11" t="s">
        <v>30</v>
      </c>
      <c r="B6" s="13" t="n">
        <f aca="false">STDEV(Mesures!$C$6:$C$105)</f>
        <v>0.0236916041091178</v>
      </c>
    </row>
    <row r="7" customFormat="false" ht="15" hidden="false" customHeight="false" outlineLevel="0" collapsed="false">
      <c r="A7" s="11" t="s">
        <v>31</v>
      </c>
      <c r="B7" s="14" t="n">
        <f aca="false">MIN(Mesures!$C$6:$C$105)</f>
        <v>11.866</v>
      </c>
    </row>
    <row r="8" customFormat="false" ht="15" hidden="false" customHeight="false" outlineLevel="0" collapsed="false">
      <c r="A8" s="11" t="s">
        <v>32</v>
      </c>
      <c r="B8" s="14" t="n">
        <f aca="false">MAX(Mesures!$C$6:$C$105)</f>
        <v>11.941</v>
      </c>
    </row>
    <row r="9" customFormat="false" ht="15" hidden="false" customHeight="false" outlineLevel="0" collapsed="false">
      <c r="A9" s="11" t="s">
        <v>33</v>
      </c>
      <c r="B9" s="14" t="n">
        <f aca="false">B8-B7</f>
        <v>0.0750000000000011</v>
      </c>
    </row>
    <row r="10" customFormat="false" ht="15" hidden="false" customHeight="false" outlineLevel="0" collapsed="false">
      <c r="A10" s="11" t="s">
        <v>34</v>
      </c>
      <c r="B10" s="15" t="n">
        <f aca="false">6*B6</f>
        <v>0.142149624654707</v>
      </c>
      <c r="C10" s="16" t="s">
        <v>35</v>
      </c>
    </row>
    <row r="12" customFormat="false" ht="15" hidden="false" customHeight="false" outlineLevel="0" collapsed="false">
      <c r="A12" s="11" t="s">
        <v>36</v>
      </c>
      <c r="B12" s="17" t="n">
        <f aca="false">B9/8</f>
        <v>0.00937500000000013</v>
      </c>
    </row>
    <row r="13" customFormat="false" ht="15" hidden="false" customHeight="false" outlineLevel="0" collapsed="false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41</v>
      </c>
    </row>
    <row r="14" customFormat="false" ht="15" hidden="false" customHeight="false" outlineLevel="0" collapsed="false">
      <c r="A14" s="18" t="n">
        <v>1</v>
      </c>
      <c r="B14" s="17" t="n">
        <f aca="false">$B$7</f>
        <v>11.866</v>
      </c>
      <c r="C14" s="17" t="n">
        <f aca="false">B14+$B$12</f>
        <v>11.875375</v>
      </c>
      <c r="D14" s="14" t="n">
        <f aca="false">ROUND((B14+C14)/2,4)</f>
        <v>11.8707</v>
      </c>
      <c r="E14" s="18" t="n">
        <f aca="false">COUNTIFS(Mesures!$C$6:$C$105,"&gt;="&amp;B14,Mesures!$C$6:$C$105,"&lt;"&amp;C14)</f>
        <v>3</v>
      </c>
    </row>
    <row r="15" customFormat="false" ht="15" hidden="false" customHeight="false" outlineLevel="0" collapsed="false">
      <c r="A15" s="18" t="n">
        <v>2</v>
      </c>
      <c r="B15" s="17" t="n">
        <f aca="false">C14</f>
        <v>11.875375</v>
      </c>
      <c r="C15" s="17" t="n">
        <f aca="false">B15+$B$12</f>
        <v>11.88475</v>
      </c>
      <c r="D15" s="14" t="n">
        <f aca="false">ROUND((B15+C15)/2,4)</f>
        <v>11.8801</v>
      </c>
      <c r="E15" s="18" t="n">
        <f aca="false">COUNTIFS(Mesures!$C$6:$C$105,"&gt;="&amp;B15,Mesures!$C$6:$C$105,"&lt;"&amp;C15)</f>
        <v>2</v>
      </c>
    </row>
    <row r="16" customFormat="false" ht="15" hidden="false" customHeight="false" outlineLevel="0" collapsed="false">
      <c r="A16" s="18" t="n">
        <v>3</v>
      </c>
      <c r="B16" s="17" t="n">
        <f aca="false">C15</f>
        <v>11.88475</v>
      </c>
      <c r="C16" s="17" t="n">
        <f aca="false">B16+$B$12</f>
        <v>11.894125</v>
      </c>
      <c r="D16" s="14" t="n">
        <f aca="false">ROUND((B16+C16)/2,4)</f>
        <v>11.8894</v>
      </c>
      <c r="E16" s="18" t="n">
        <f aca="false">COUNTIFS(Mesures!$C$6:$C$105,"&gt;="&amp;B16,Mesures!$C$6:$C$105,"&lt;"&amp;C16)</f>
        <v>2</v>
      </c>
    </row>
    <row r="17" customFormat="false" ht="15" hidden="false" customHeight="false" outlineLevel="0" collapsed="false">
      <c r="A17" s="18" t="n">
        <v>4</v>
      </c>
      <c r="B17" s="17" t="n">
        <f aca="false">C16</f>
        <v>11.894125</v>
      </c>
      <c r="C17" s="17" t="n">
        <f aca="false">B17+$B$12</f>
        <v>11.9035</v>
      </c>
      <c r="D17" s="14" t="n">
        <f aca="false">ROUND((B17+C17)/2,4)</f>
        <v>11.8988</v>
      </c>
      <c r="E17" s="18" t="n">
        <f aca="false">COUNTIFS(Mesures!$C$6:$C$105,"&gt;="&amp;B17,Mesures!$C$6:$C$105,"&lt;"&amp;C17)</f>
        <v>0</v>
      </c>
    </row>
    <row r="18" customFormat="false" ht="15" hidden="false" customHeight="false" outlineLevel="0" collapsed="false">
      <c r="A18" s="18" t="n">
        <v>5</v>
      </c>
      <c r="B18" s="17" t="n">
        <f aca="false">C17</f>
        <v>11.9035</v>
      </c>
      <c r="C18" s="17" t="n">
        <f aca="false">B18+$B$12</f>
        <v>11.912875</v>
      </c>
      <c r="D18" s="14" t="n">
        <f aca="false">ROUND((B18+C18)/2,4)</f>
        <v>11.9082</v>
      </c>
      <c r="E18" s="18" t="n">
        <f aca="false">COUNTIFS(Mesures!$C$6:$C$105,"&gt;="&amp;B18,Mesures!$C$6:$C$105,"&lt;"&amp;C18)</f>
        <v>4</v>
      </c>
    </row>
    <row r="19" customFormat="false" ht="15" hidden="false" customHeight="false" outlineLevel="0" collapsed="false">
      <c r="A19" s="18" t="n">
        <v>6</v>
      </c>
      <c r="B19" s="17" t="n">
        <f aca="false">C18</f>
        <v>11.912875</v>
      </c>
      <c r="C19" s="17" t="n">
        <f aca="false">B19+$B$12</f>
        <v>11.92225</v>
      </c>
      <c r="D19" s="14" t="n">
        <f aca="false">ROUND((B19+C19)/2,4)</f>
        <v>11.9176</v>
      </c>
      <c r="E19" s="18" t="n">
        <f aca="false">COUNTIFS(Mesures!$C$6:$C$105,"&gt;="&amp;B19,Mesures!$C$6:$C$105,"&lt;"&amp;C19)</f>
        <v>3</v>
      </c>
    </row>
    <row r="20" customFormat="false" ht="15" hidden="false" customHeight="false" outlineLevel="0" collapsed="false">
      <c r="A20" s="18" t="n">
        <v>7</v>
      </c>
      <c r="B20" s="17" t="n">
        <f aca="false">C19</f>
        <v>11.92225</v>
      </c>
      <c r="C20" s="17" t="n">
        <f aca="false">B20+$B$12</f>
        <v>11.931625</v>
      </c>
      <c r="D20" s="14" t="n">
        <f aca="false">ROUND((B20+C20)/2,4)</f>
        <v>11.9269</v>
      </c>
      <c r="E20" s="18" t="n">
        <f aca="false">COUNTIFS(Mesures!$C$6:$C$105,"&gt;="&amp;B20,Mesures!$C$6:$C$105,"&lt;"&amp;C20)</f>
        <v>3</v>
      </c>
    </row>
    <row r="21" customFormat="false" ht="15" hidden="false" customHeight="false" outlineLevel="0" collapsed="false">
      <c r="A21" s="18" t="n">
        <v>8</v>
      </c>
      <c r="B21" s="17" t="n">
        <f aca="false">C20</f>
        <v>11.931625</v>
      </c>
      <c r="C21" s="17" t="n">
        <f aca="false">B21+$B$12</f>
        <v>11.941</v>
      </c>
      <c r="D21" s="14" t="n">
        <f aca="false">ROUND((B21+C21)/2,4)</f>
        <v>11.9363</v>
      </c>
      <c r="E21" s="18" t="n">
        <f aca="false">COUNTIFS(Mesures!$C$6:$C$105,"&gt;="&amp;B21,Mesures!$C$6:$C$105,"&lt;="&amp;(C21+0.000001))</f>
        <v>3</v>
      </c>
    </row>
    <row r="22" customFormat="false" ht="15" hidden="false" customHeight="false" outlineLevel="0" collapsed="false">
      <c r="A22" s="19" t="s">
        <v>42</v>
      </c>
      <c r="E22" s="18" t="n">
        <f aca="false">SUM(E14:E21)</f>
        <v>20</v>
      </c>
      <c r="F22" s="16" t="str">
        <f aca="false">IF(E22=B4,"OK","ÉCART")</f>
        <v>OK</v>
      </c>
    </row>
    <row r="25" customFormat="false" ht="15" hidden="false" customHeight="false" outlineLevel="0" collapsed="false">
      <c r="A25" s="11" t="s">
        <v>43</v>
      </c>
      <c r="B25" s="20" t="n">
        <v>1.33</v>
      </c>
      <c r="C25" s="16" t="s">
        <v>44</v>
      </c>
    </row>
    <row r="27" customFormat="false" ht="15" hidden="false" customHeight="false" outlineLevel="0" collapsed="false">
      <c r="A27" s="9" t="s">
        <v>45</v>
      </c>
      <c r="B27" s="9" t="s">
        <v>46</v>
      </c>
      <c r="C27" s="9" t="s">
        <v>47</v>
      </c>
      <c r="D27" s="9" t="s">
        <v>48</v>
      </c>
    </row>
    <row r="28" customFormat="false" ht="15" hidden="false" customHeight="false" outlineLevel="0" collapsed="false">
      <c r="A28" s="11" t="s">
        <v>49</v>
      </c>
      <c r="B28" s="10" t="n">
        <v>11.85</v>
      </c>
      <c r="C28" s="10" t="n">
        <v>11.85</v>
      </c>
      <c r="D28" s="10" t="n">
        <v>11.88</v>
      </c>
    </row>
    <row r="29" customFormat="false" ht="15" hidden="false" customHeight="false" outlineLevel="0" collapsed="false">
      <c r="A29" s="11" t="s">
        <v>50</v>
      </c>
      <c r="B29" s="10" t="n">
        <v>12</v>
      </c>
      <c r="C29" s="10" t="n">
        <v>11.96</v>
      </c>
      <c r="D29" s="10" t="n">
        <v>12.12</v>
      </c>
    </row>
    <row r="30" customFormat="false" ht="15" hidden="false" customHeight="false" outlineLevel="0" collapsed="false">
      <c r="A30" s="11" t="s">
        <v>51</v>
      </c>
      <c r="B30" s="14" t="n">
        <f aca="false">B29-B28</f>
        <v>0.15</v>
      </c>
      <c r="C30" s="14" t="n">
        <f aca="false">C29-C28</f>
        <v>0.110000000000001</v>
      </c>
      <c r="D30" s="14" t="n">
        <f aca="false">D29-D28</f>
        <v>0.239999999999998</v>
      </c>
    </row>
    <row r="31" customFormat="false" ht="15" hidden="false" customHeight="false" outlineLevel="0" collapsed="false">
      <c r="A31" s="11" t="s">
        <v>52</v>
      </c>
      <c r="B31" s="14" t="n">
        <f aca="false">(B28+B29)/2</f>
        <v>11.925</v>
      </c>
      <c r="C31" s="14" t="n">
        <f aca="false">(C28+C29)/2</f>
        <v>11.905</v>
      </c>
      <c r="D31" s="14" t="n">
        <f aca="false">(D28+D29)/2</f>
        <v>12</v>
      </c>
    </row>
    <row r="32" customFormat="false" ht="15" hidden="false" customHeight="false" outlineLevel="0" collapsed="false">
      <c r="A32" s="11" t="s">
        <v>53</v>
      </c>
      <c r="B32" s="21" t="n">
        <f aca="false">IFERROR(B30/(6*$B$6),"")</f>
        <v>1.05522614192167</v>
      </c>
      <c r="C32" s="21" t="n">
        <f aca="false">IFERROR(C30/(6*$B$6),"")</f>
        <v>0.773832504075901</v>
      </c>
      <c r="D32" s="21" t="n">
        <f aca="false">IFERROR(D30/(6*$B$6),"")</f>
        <v>1.68836182707466</v>
      </c>
    </row>
    <row r="33" customFormat="false" ht="15" hidden="false" customHeight="false" outlineLevel="0" collapsed="false">
      <c r="A33" s="11" t="s">
        <v>54</v>
      </c>
      <c r="B33" s="21" t="n">
        <f aca="false">IFERROR(MIN(B29-$B$5,$B$5-B28)/(3*$B$6),"")</f>
        <v>0.804082320144314</v>
      </c>
      <c r="C33" s="21" t="n">
        <f aca="false">IFERROR(MIN(C29-$B$5,$B$5-C28)/(3*$B$6),"")</f>
        <v>0.743582688007488</v>
      </c>
      <c r="D33" s="21" t="n">
        <f aca="false">IFERROR(MIN(D29-$B$5,$B$5-D28)/(3*$B$6),"")</f>
        <v>0.38199186337563</v>
      </c>
    </row>
    <row r="34" customFormat="false" ht="15" hidden="false" customHeight="false" outlineLevel="0" collapsed="false">
      <c r="A34" s="11" t="s">
        <v>55</v>
      </c>
      <c r="B34" s="18" t="n">
        <f aca="false">COUNTIF(Mesures!$C$6:$C$105,"&lt;"&amp;B28)+COUNTIF(Mesures!$C$6:$C$105,"&gt;"&amp;B29)</f>
        <v>0</v>
      </c>
      <c r="C34" s="18" t="n">
        <f aca="false">COUNTIF(Mesures!$C$6:$C$105,"&lt;"&amp;C28)+COUNTIF(Mesures!$C$6:$C$105,"&gt;"&amp;C29)</f>
        <v>0</v>
      </c>
      <c r="D34" s="18" t="n">
        <f aca="false">COUNTIF(Mesures!$C$6:$C$105,"&lt;"&amp;D28)+COUNTIF(Mesures!$C$6:$C$105,"&gt;"&amp;D29)</f>
        <v>3</v>
      </c>
    </row>
    <row r="35" customFormat="false" ht="15" hidden="false" customHeight="false" outlineLevel="0" collapsed="false">
      <c r="A35" s="11" t="s">
        <v>56</v>
      </c>
      <c r="B35" s="22" t="n">
        <f aca="false">IFERROR((NORMDIST(B28,$B$5,$B$6,TRUE())+1-NORMDIST(B29,$B$5,$B$6,TRUE()))*1000000,"")</f>
        <v>7971.70749028098</v>
      </c>
      <c r="C35" s="22" t="n">
        <f aca="false">IFERROR((NORMDIST(C28,$B$5,$B$6,TRUE())+1-NORMDIST(C29,$B$5,$B$6,TRUE()))*1000000,"")</f>
        <v>20776.1801593243</v>
      </c>
      <c r="D35" s="22" t="n">
        <f aca="false">IFERROR((NORMDIST(D28,$B$5,$B$6,TRUE())+1-NORMDIST(D29,$B$5,$B$6,TRUE()))*1000000,"")</f>
        <v>125902.626115208</v>
      </c>
    </row>
    <row r="36" customFormat="false" ht="30" hidden="false" customHeight="true" outlineLevel="0" collapsed="false">
      <c r="A36" s="11" t="s">
        <v>57</v>
      </c>
      <c r="B36" s="23" t="str">
        <f aca="false">IF($B$4&lt;2,"",IF(B33&gt;=$B$25,"Capable",IF(B32&gt;=$B$25,"À recentrer","Dispersion trop grande")))</f>
        <v>Dispersion trop grande</v>
      </c>
      <c r="C36" s="23" t="str">
        <f aca="false">IF($B$4&lt;2,"",IF(C33&gt;=$B$25,"Capable",IF(C32&gt;=$B$25,"À recentrer","Dispersion trop grande")))</f>
        <v>Dispersion trop grande</v>
      </c>
      <c r="D36" s="23" t="str">
        <f aca="false">IF($B$4&lt;2,"",IF(D33&gt;=$B$25,"Capable",IF(D32&gt;=$B$25,"À recentrer","Dispersion trop grande")))</f>
        <v>À recentrer</v>
      </c>
    </row>
    <row r="38" customFormat="false" ht="15" hidden="false" customHeight="false" outlineLevel="0" collapsed="false">
      <c r="A38" s="24" t="s">
        <v>58</v>
      </c>
    </row>
    <row r="40" customFormat="false" ht="15" hidden="false" customHeight="false" outlineLevel="0" collapsed="false">
      <c r="A40" s="11" t="s">
        <v>59</v>
      </c>
      <c r="B40" s="25" t="n">
        <v>1</v>
      </c>
    </row>
    <row r="42" customFormat="false" ht="15" hidden="false" customHeight="false" outlineLevel="0" collapsed="false">
      <c r="A42" s="9" t="s">
        <v>60</v>
      </c>
      <c r="B42" s="9" t="s">
        <v>16</v>
      </c>
      <c r="C42" s="9" t="s">
        <v>61</v>
      </c>
      <c r="D42" s="9" t="s">
        <v>62</v>
      </c>
    </row>
    <row r="43" customFormat="false" ht="15" hidden="false" customHeight="false" outlineLevel="0" collapsed="false">
      <c r="A43" s="19" t="s">
        <v>63</v>
      </c>
      <c r="B43" s="18" t="n">
        <v>1</v>
      </c>
      <c r="C43" s="14" t="n">
        <f aca="false">INDEX($B$28:$D$28,$B$40)</f>
        <v>11.85</v>
      </c>
      <c r="D43" s="14" t="n">
        <f aca="false">INDEX($B$29:$D$29,$B$40)</f>
        <v>12</v>
      </c>
    </row>
    <row r="44" customFormat="false" ht="15" hidden="false" customHeight="false" outlineLevel="0" collapsed="false">
      <c r="A44" s="19" t="s">
        <v>64</v>
      </c>
      <c r="B44" s="18" t="n">
        <f aca="false">_xlfn.MAXIFS(Mesures!$A$6:$A$105,Mesures!$C$6:$C$105,"&lt;&gt;")</f>
        <v>20</v>
      </c>
      <c r="C44" s="14" t="n">
        <f aca="false">INDEX($B$28:$D$28,$B$40)</f>
        <v>11.85</v>
      </c>
      <c r="D44" s="14" t="n">
        <f aca="false">INDEX($B$29:$D$29,$B$40)</f>
        <v>12</v>
      </c>
    </row>
  </sheetData>
  <conditionalFormatting sqref="B36:D36">
    <cfRule type="expression" priority="2" aboveAverage="0" equalAverage="0" bottom="0" percent="0" rank="0" text="" dxfId="0">
      <formula>B36="Capable"</formula>
    </cfRule>
    <cfRule type="expression" priority="3" aboveAverage="0" equalAverage="0" bottom="0" percent="0" rank="0" text="" dxfId="1">
      <formula>B36="À recentrer"</formula>
    </cfRule>
    <cfRule type="expression" priority="4" aboveAverage="0" equalAverage="0" bottom="0" percent="0" rank="0" text="" dxfId="2">
      <formula>B36="Dispersion trop grande"</formula>
    </cfRule>
  </conditionalFormatting>
  <dataValidations count="1">
    <dataValidation allowBlank="false" errorStyle="stop" operator="between" showDropDown="false" showErrorMessage="false" showInputMessage="false" sqref="B4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2026-10-01T11:24:05Z</dcterms:created>
  <dc:creator>openpyxl</dc:creator>
  <dc:description/>
  <dc:language>en-US</dc:language>
  <cp:lastModifiedBy/>
  <dcterms:modified xsi:type="dcterms:W3CDTF">2026-10-01T13:24:08Z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