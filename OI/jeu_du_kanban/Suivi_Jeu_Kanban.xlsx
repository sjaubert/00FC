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_du_kanban/"/>
    </mc:Choice>
  </mc:AlternateContent>
  <xr:revisionPtr revIDLastSave="5" documentId="11_50F2E013808CAA79946CE4049281ECDD35FF5587" xr6:coauthVersionLast="47" xr6:coauthVersionMax="47" xr10:uidLastSave="{0159944E-2708-4FAB-A019-4AD555D6F905}"/>
  <bookViews>
    <workbookView xWindow="-120" yWindow="-120" windowWidth="29040" windowHeight="15720" tabRatio="500" activeTab="2" xr2:uid="{00000000-000D-0000-FFFF-FFFF00000000}"/>
  </bookViews>
  <sheets>
    <sheet name="Instructions" sheetId="1" r:id="rId1"/>
    <sheet name="Calc. Besoins S1" sheetId="2" r:id="rId2"/>
    <sheet name="S1-A" sheetId="3" r:id="rId3"/>
    <sheet name="S1-B" sheetId="4" r:id="rId4"/>
    <sheet name="S1-C" sheetId="5" r:id="rId5"/>
    <sheet name="S2-A" sheetId="6" r:id="rId6"/>
    <sheet name="S2-B" sheetId="7" r:id="rId7"/>
    <sheet name="S2-C" sheetId="8" r:id="rId8"/>
    <sheet name="S3-A" sheetId="9" r:id="rId9"/>
    <sheet name="S3-B" sheetId="10" r:id="rId10"/>
    <sheet name="S3-C" sheetId="11" r:id="rId11"/>
    <sheet name="S4-A" sheetId="12" r:id="rId12"/>
    <sheet name="S4-B" sheetId="13" r:id="rId13"/>
    <sheet name="S4-C" sheetId="14" r:id="rId14"/>
    <sheet name="Résultats" sheetId="15" r:id="rId15"/>
    <sheet name="Progrès (Animateur)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3" i="16" l="1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F29" i="15"/>
  <c r="F28" i="15"/>
  <c r="F27" i="15"/>
  <c r="F23" i="15"/>
  <c r="F22" i="15"/>
  <c r="F21" i="15"/>
  <c r="H17" i="15"/>
  <c r="H16" i="15"/>
  <c r="H15" i="15"/>
  <c r="H14" i="15"/>
  <c r="H13" i="15"/>
  <c r="H12" i="15"/>
  <c r="H11" i="15"/>
  <c r="H10" i="15"/>
  <c r="H9" i="15"/>
  <c r="H8" i="15"/>
  <c r="H7" i="15"/>
  <c r="H6" i="15"/>
  <c r="D58" i="14"/>
  <c r="D57" i="14"/>
  <c r="D56" i="14"/>
  <c r="D55" i="14"/>
  <c r="D54" i="14"/>
  <c r="D59" i="14" s="1"/>
  <c r="G63" i="14" s="1"/>
  <c r="V50" i="14"/>
  <c r="D63" i="14" s="1"/>
  <c r="R48" i="14"/>
  <c r="N48" i="14"/>
  <c r="J48" i="14"/>
  <c r="F48" i="14"/>
  <c r="B48" i="14"/>
  <c r="V48" i="14" s="1"/>
  <c r="A63" i="14" s="1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K6" i="14"/>
  <c r="K5" i="14"/>
  <c r="D58" i="13"/>
  <c r="D57" i="13"/>
  <c r="D56" i="13"/>
  <c r="D55" i="13"/>
  <c r="D54" i="13"/>
  <c r="D59" i="13" s="1"/>
  <c r="G63" i="13" s="1"/>
  <c r="V50" i="13"/>
  <c r="D63" i="13" s="1"/>
  <c r="R48" i="13"/>
  <c r="N48" i="13"/>
  <c r="J48" i="13"/>
  <c r="F48" i="13"/>
  <c r="B48" i="13"/>
  <c r="V48" i="13" s="1"/>
  <c r="A63" i="13" s="1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K6" i="13"/>
  <c r="K5" i="13"/>
  <c r="D58" i="12"/>
  <c r="D57" i="12"/>
  <c r="D56" i="12"/>
  <c r="D55" i="12"/>
  <c r="D54" i="12"/>
  <c r="D59" i="12" s="1"/>
  <c r="G63" i="12" s="1"/>
  <c r="V50" i="12"/>
  <c r="D63" i="12" s="1"/>
  <c r="R48" i="12"/>
  <c r="N48" i="12"/>
  <c r="J48" i="12"/>
  <c r="F48" i="12"/>
  <c r="B48" i="12"/>
  <c r="V48" i="12" s="1"/>
  <c r="A63" i="12" s="1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K6" i="12"/>
  <c r="K5" i="12"/>
  <c r="D58" i="11"/>
  <c r="D57" i="11"/>
  <c r="D56" i="11"/>
  <c r="D59" i="11" s="1"/>
  <c r="G63" i="11" s="1"/>
  <c r="D55" i="11"/>
  <c r="D54" i="11"/>
  <c r="V50" i="11"/>
  <c r="D63" i="11" s="1"/>
  <c r="R48" i="11"/>
  <c r="N48" i="11"/>
  <c r="J48" i="11"/>
  <c r="F48" i="11"/>
  <c r="B48" i="11"/>
  <c r="V48" i="11" s="1"/>
  <c r="A63" i="11" s="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K6" i="11"/>
  <c r="K5" i="11"/>
  <c r="D58" i="10"/>
  <c r="D57" i="10"/>
  <c r="D56" i="10"/>
  <c r="D55" i="10"/>
  <c r="D54" i="10"/>
  <c r="D59" i="10" s="1"/>
  <c r="G63" i="10" s="1"/>
  <c r="V50" i="10"/>
  <c r="D63" i="10" s="1"/>
  <c r="V48" i="10"/>
  <c r="A63" i="10" s="1"/>
  <c r="R48" i="10"/>
  <c r="N48" i="10"/>
  <c r="J48" i="10"/>
  <c r="F48" i="10"/>
  <c r="B48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K6" i="10"/>
  <c r="K5" i="10"/>
  <c r="D58" i="9"/>
  <c r="D57" i="9"/>
  <c r="D56" i="9"/>
  <c r="D55" i="9"/>
  <c r="D54" i="9"/>
  <c r="D59" i="9" s="1"/>
  <c r="G63" i="9" s="1"/>
  <c r="V50" i="9"/>
  <c r="D63" i="9" s="1"/>
  <c r="R48" i="9"/>
  <c r="N48" i="9"/>
  <c r="J48" i="9"/>
  <c r="F48" i="9"/>
  <c r="V48" i="9" s="1"/>
  <c r="A63" i="9" s="1"/>
  <c r="B48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K6" i="9"/>
  <c r="K5" i="9"/>
  <c r="D58" i="8"/>
  <c r="D57" i="8"/>
  <c r="D56" i="8"/>
  <c r="D55" i="8"/>
  <c r="D54" i="8"/>
  <c r="D59" i="8" s="1"/>
  <c r="G63" i="8" s="1"/>
  <c r="V50" i="8"/>
  <c r="D63" i="8" s="1"/>
  <c r="R48" i="8"/>
  <c r="N48" i="8"/>
  <c r="J48" i="8"/>
  <c r="F48" i="8"/>
  <c r="B48" i="8"/>
  <c r="V48" i="8" s="1"/>
  <c r="A63" i="8" s="1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K6" i="8"/>
  <c r="K5" i="8"/>
  <c r="D58" i="7"/>
  <c r="D57" i="7"/>
  <c r="D56" i="7"/>
  <c r="D55" i="7"/>
  <c r="D54" i="7"/>
  <c r="D59" i="7" s="1"/>
  <c r="G63" i="7" s="1"/>
  <c r="V50" i="7"/>
  <c r="D63" i="7" s="1"/>
  <c r="R48" i="7"/>
  <c r="N48" i="7"/>
  <c r="J48" i="7"/>
  <c r="F48" i="7"/>
  <c r="B48" i="7"/>
  <c r="V48" i="7" s="1"/>
  <c r="A63" i="7" s="1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K6" i="7"/>
  <c r="K5" i="7"/>
  <c r="D58" i="6"/>
  <c r="D57" i="6"/>
  <c r="D56" i="6"/>
  <c r="D55" i="6"/>
  <c r="D54" i="6"/>
  <c r="D59" i="6" s="1"/>
  <c r="G63" i="6" s="1"/>
  <c r="V50" i="6"/>
  <c r="D63" i="6" s="1"/>
  <c r="R48" i="6"/>
  <c r="N48" i="6"/>
  <c r="J48" i="6"/>
  <c r="F48" i="6"/>
  <c r="B48" i="6"/>
  <c r="V48" i="6" s="1"/>
  <c r="A63" i="6" s="1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K6" i="6"/>
  <c r="K5" i="6"/>
  <c r="D60" i="5"/>
  <c r="D59" i="5"/>
  <c r="D58" i="5"/>
  <c r="D57" i="5"/>
  <c r="D56" i="5"/>
  <c r="D61" i="5" s="1"/>
  <c r="G65" i="5" s="1"/>
  <c r="R50" i="5"/>
  <c r="N50" i="5"/>
  <c r="J50" i="5"/>
  <c r="F50" i="5"/>
  <c r="B50" i="5"/>
  <c r="V50" i="5" s="1"/>
  <c r="A65" i="5" s="1"/>
  <c r="AB48" i="5"/>
  <c r="AA48" i="5"/>
  <c r="Z48" i="5"/>
  <c r="Y48" i="5"/>
  <c r="X48" i="5"/>
  <c r="W48" i="5"/>
  <c r="V48" i="5"/>
  <c r="V52" i="5" s="1"/>
  <c r="D65" i="5" s="1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D60" i="4"/>
  <c r="D59" i="4"/>
  <c r="D58" i="4"/>
  <c r="D57" i="4"/>
  <c r="D56" i="4"/>
  <c r="D61" i="4" s="1"/>
  <c r="G65" i="4" s="1"/>
  <c r="V50" i="4"/>
  <c r="A65" i="4" s="1"/>
  <c r="R50" i="4"/>
  <c r="N50" i="4"/>
  <c r="J50" i="4"/>
  <c r="F50" i="4"/>
  <c r="B50" i="4"/>
  <c r="AB48" i="4"/>
  <c r="AA48" i="4"/>
  <c r="Z48" i="4"/>
  <c r="Y48" i="4"/>
  <c r="X48" i="4"/>
  <c r="W48" i="4"/>
  <c r="V48" i="4"/>
  <c r="V52" i="4" s="1"/>
  <c r="D65" i="4" s="1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D60" i="3"/>
  <c r="D59" i="3"/>
  <c r="D58" i="3"/>
  <c r="D57" i="3"/>
  <c r="D56" i="3"/>
  <c r="D61" i="3" s="1"/>
  <c r="G65" i="3" s="1"/>
  <c r="V50" i="3"/>
  <c r="A65" i="3" s="1"/>
  <c r="R50" i="3"/>
  <c r="N50" i="3"/>
  <c r="J50" i="3"/>
  <c r="F50" i="3"/>
  <c r="B50" i="3"/>
  <c r="AB48" i="3"/>
  <c r="AA48" i="3"/>
  <c r="Z48" i="3"/>
  <c r="Y48" i="3"/>
  <c r="X48" i="3"/>
  <c r="W48" i="3"/>
  <c r="V48" i="3"/>
  <c r="V52" i="3" s="1"/>
  <c r="D65" i="3" s="1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</calcChain>
</file>

<file path=xl/sharedStrings.xml><?xml version="1.0" encoding="utf-8"?>
<sst xmlns="http://schemas.openxmlformats.org/spreadsheetml/2006/main" count="1248" uniqueCount="231">
  <si>
    <t>JEU DU KANBAN — FEUILLE DE SUIVI NUMÉRIQUE</t>
  </si>
  <si>
    <t>Remplacement automatisé de la feuille de suivi papier — 3 Équipes × 4 Semaines</t>
  </si>
  <si>
    <t xml:space="preserve">  STRUCTURE DU FICHIER</t>
  </si>
  <si>
    <t>Onglets S1-A / S1-B / S1-C</t>
  </si>
  <si>
    <t>Feuilles de suivi Semaine 1 pour chaque équipe (Flux Poussé)</t>
  </si>
  <si>
    <t>Onglets S2, S3, S4 (A/B/C)</t>
  </si>
  <si>
    <t>Feuilles de suivi Semaines 2 à 4 (Kanban + Progrès)</t>
  </si>
  <si>
    <t>Résultats</t>
  </si>
  <si>
    <t>Tableau de synthèse des 3 indicateurs pour les 3 équipes</t>
  </si>
  <si>
    <t>Progrès (Animateur)</t>
  </si>
  <si>
    <t>Relevé confidentiel des décisions de progrès — réservé à l'animateur</t>
  </si>
  <si>
    <t>Calc. Besoins S1</t>
  </si>
  <si>
    <t>Aide au calcul du planning de production pour la Semaine 1</t>
  </si>
  <si>
    <t xml:space="preserve">  UTILISATION HEURE PAR HEURE</t>
  </si>
  <si>
    <t>Pertes de production</t>
  </si>
  <si>
    <t>Entrez '1' dans la case CS, Inc, Rep ou Arr si l'heure est perdue pour ce motif.
CS = Changement de série  |  Inc = Incident (dé 1 ou 6)  |  Rep = Reprise/Rebut  |  Arr = Arrêt planning</t>
  </si>
  <si>
    <t>Ruptures de livraison</t>
  </si>
  <si>
    <t>Aux heures de livraison, entrez le nombre de produits non livrés par référence (R1 à R6 et p.d.).
En Semaine 1, les heures de livraison sont H1, H9, H17 et H25.</t>
  </si>
  <si>
    <t>Efficience</t>
  </si>
  <si>
    <t>Calculée automatiquement : (32 - Σ pertes) / 32 pour chaque poste et en moyenne usine.</t>
  </si>
  <si>
    <t>Taux de service</t>
  </si>
  <si>
    <t>Calculé automatiquement : (Total ventes - Total ruptures) / Total ventes.
Pour S1 les ventes sont pré-remplies. Pour S2-S4 saisir le total ventes de la semaine.</t>
  </si>
  <si>
    <t xml:space="preserve">  FIN DE SEMAINE — STOCKS</t>
  </si>
  <si>
    <t>Inventaire</t>
  </si>
  <si>
    <t>En fin de semaine (ou milieu pour S2-S4), comptez les pièces en stock et saisissez les quantités.
Les valeurs en € sont calculées automatiquement.</t>
  </si>
  <si>
    <t>Coûts unitaires</t>
  </si>
  <si>
    <t>Engrenages 25 € | Carters 55 € | Couronnes A 9 € | Couronnes B 10 € | Produits finis 100 €</t>
  </si>
  <si>
    <t xml:space="preserve">  PROGRÈS (SEMAINES 2, 3, 4)</t>
  </si>
  <si>
    <t>Décisions H1 et H17</t>
  </si>
  <si>
    <t>En début de semaine (H1) et à la mi-semaine (H17), chaque équipe peut engager des progrès.
Budget : 2 points maximum par décision.</t>
  </si>
  <si>
    <t>Niveaux</t>
  </si>
  <si>
    <t>N1 = 1 point : Chgt.Série réduit à 1h / Fiabilité partielle (incidents réduits de moitié)
N2 = 2 points : Chgt.Série = 0h / Fiabilité totale (aucun incident possible)</t>
  </si>
  <si>
    <t>Saisie</t>
  </si>
  <si>
    <t>Entrez le niveau choisi (1 ou 2) dans les cases de progrès en haut de chaque feuille S2-S4.
L'animateur reporte les décisions dans l'onglet 'Progrès (Animateur)'.</t>
  </si>
  <si>
    <t xml:space="preserve">  RÉSULTATS ET TABLEAU DE BORD</t>
  </si>
  <si>
    <t>Onglet Résultats</t>
  </si>
  <si>
    <t>Reportez les efficiences, taux de service et stocks de chaque feuille de suivi.
Les moyennes sont calculées automatiquement.</t>
  </si>
  <si>
    <t>3 Indicateurs clés</t>
  </si>
  <si>
    <t>1. Efficience usine (%)  |  2. Taux de service (%)  |  3. Valeur des stocks (€)</t>
  </si>
  <si>
    <t>CALCUL DES BESOINS EN PIÈCES — SEMAINE 1 (FLUX POUSSÉ)</t>
  </si>
  <si>
    <t>Utilisez ce tableau pour planifier votre production. Multipliez les commandes prévues par la composition de chaque produit.</t>
  </si>
  <si>
    <t xml:space="preserve"> COMMANDES PRÉVUES SEMAINE 1 (données fixes du jeu)</t>
  </si>
  <si>
    <t>Heure</t>
  </si>
  <si>
    <t>R1</t>
  </si>
  <si>
    <t>R2</t>
  </si>
  <si>
    <t>R3</t>
  </si>
  <si>
    <t>R4</t>
  </si>
  <si>
    <t>R5</t>
  </si>
  <si>
    <t>R6</t>
  </si>
  <si>
    <t>Couronnes
(p.d.)</t>
  </si>
  <si>
    <t>Total</t>
  </si>
  <si>
    <t>Heure 1</t>
  </si>
  <si>
    <t>Heure 9</t>
  </si>
  <si>
    <t>Heure 17</t>
  </si>
  <si>
    <t>Heure 25</t>
  </si>
  <si>
    <t>TOTAL</t>
  </si>
  <si>
    <t xml:space="preserve"> COMPOSITION DES PRODUITS (pièces nécessaires par réducteur)</t>
  </si>
  <si>
    <t>Pièce</t>
  </si>
  <si>
    <t>Couleur</t>
  </si>
  <si>
    <t>BESOIN TOTAL</t>
  </si>
  <si>
    <t>Engrenages</t>
  </si>
  <si>
    <t>Jaune</t>
  </si>
  <si>
    <t>Blanc</t>
  </si>
  <si>
    <t>Carters</t>
  </si>
  <si>
    <t>Rouge</t>
  </si>
  <si>
    <t>Bleu</t>
  </si>
  <si>
    <t>Couronnes B</t>
  </si>
  <si>
    <t>Vert</t>
  </si>
  <si>
    <t>⚠  Couronnes A = même quantité que Couronnes B blanches + ventes pièces détachées (p.d.)</t>
  </si>
  <si>
    <t>Couronnes A</t>
  </si>
  <si>
    <t>JEU DU KANBAN  —  FEUILLE DE SUIVI  |  ÉQUIPE A  |  SEMAINE 1  (FLUX POUSSÉ)</t>
  </si>
  <si>
    <t>Saisie : entrez 1 dans les cases PERTES (CS=Chgt.Série, Inc=Incident, Rep=Reprise, Arr=Arrêt). Entrez le nb de ruptures dans la section RUPTURES.</t>
  </si>
  <si>
    <t xml:space="preserve"> PLANNING DE PRODUCTION (Semaine 1 – Flux Poussé)</t>
  </si>
  <si>
    <t>Poste</t>
  </si>
  <si>
    <t>Cht.Série(h)</t>
  </si>
  <si>
    <t>OF1 Réf.</t>
  </si>
  <si>
    <t>OF1 Qté</t>
  </si>
  <si>
    <t>OF1 h</t>
  </si>
  <si>
    <t>OF2 Réf.</t>
  </si>
  <si>
    <t>OF2 Qté</t>
  </si>
  <si>
    <t>OF2 h</t>
  </si>
  <si>
    <t>OF3 Réf.</t>
  </si>
  <si>
    <t>OF3 Qté</t>
  </si>
  <si>
    <t>OF3 h</t>
  </si>
  <si>
    <t>Cour. A</t>
  </si>
  <si>
    <t>Cour. B</t>
  </si>
  <si>
    <t>Montage</t>
  </si>
  <si>
    <t xml:space="preserve"> SUIVI HEURE PAR HEURE  —  Pertes de production &amp; Ruptures de livraison</t>
  </si>
  <si>
    <t>RUPTURES DE LIVRAISON</t>
  </si>
  <si>
    <t>CS</t>
  </si>
  <si>
    <t>Inc</t>
  </si>
  <si>
    <t>Rep</t>
  </si>
  <si>
    <t>Arr</t>
  </si>
  <si>
    <t>p.d.</t>
  </si>
  <si>
    <t xml:space="preserve"> TOTAUX &amp; INDICATEURS</t>
  </si>
  <si>
    <t>Total pertes</t>
  </si>
  <si>
    <t>Hres ouverture</t>
  </si>
  <si>
    <t>Efficience / poste</t>
  </si>
  <si>
    <t>← Eff. Usine</t>
  </si>
  <si>
    <t>Total ventes</t>
  </si>
  <si>
    <t>TAUX DE SERVICE</t>
  </si>
  <si>
    <t>← Taux de Service</t>
  </si>
  <si>
    <t xml:space="preserve"> INVENTAIRE DES STOCKS — Fin Semaine 1 (ou Milieu si S2+)</t>
  </si>
  <si>
    <t>Pièce / Produit</t>
  </si>
  <si>
    <t>Coût unit.</t>
  </si>
  <si>
    <t>Quantité (saisir)</t>
  </si>
  <si>
    <t>Valeur (calculée)</t>
  </si>
  <si>
    <t>Produits finis</t>
  </si>
  <si>
    <t>TOTAL STOCKS</t>
  </si>
  <si>
    <t xml:space="preserve"> RÉSUMÉ DES INDICATEURS — Semaine 1 | Équipe A</t>
  </si>
  <si>
    <t>Efficience Usine</t>
  </si>
  <si>
    <t>Taux de Service</t>
  </si>
  <si>
    <t>Valeur Stocks</t>
  </si>
  <si>
    <t xml:space="preserve"> COMMANDES SEMAINE 1 (pré-remplies pour référence — entrez vos ruptures dans les heures ci-dessus)</t>
  </si>
  <si>
    <t>Heure livraison</t>
  </si>
  <si>
    <t>Total commandes</t>
  </si>
  <si>
    <t>TOTAL VENTES S1</t>
  </si>
  <si>
    <t>JEU DU KANBAN  —  FEUILLE DE SUIVI  |  ÉQUIPE B  |  SEMAINE 1  (FLUX POUSSÉ)</t>
  </si>
  <si>
    <t xml:space="preserve"> RÉSUMÉ DES INDICATEURS — Semaine 1 | Équipe B</t>
  </si>
  <si>
    <t>JEU DU KANBAN  —  FEUILLE DE SUIVI  |  ÉQUIPE C  |  SEMAINE 1  (FLUX POUSSÉ)</t>
  </si>
  <si>
    <t xml:space="preserve"> RÉSUMÉ DES INDICATEURS — Semaine 1 | Équipe C</t>
  </si>
  <si>
    <t>JEU DU KANBAN  —  FEUILLE DE SUIVI  |  ÉQUIPE A  |  SEMAINE 2  (KANBAN)</t>
  </si>
  <si>
    <t xml:space="preserve"> CHOIX DE PROGRÈS — Semaine 2  (budget : 2 pts par décision)</t>
  </si>
  <si>
    <t>Moment</t>
  </si>
  <si>
    <t>Engrenages Ch.Sér.</t>
  </si>
  <si>
    <t>Engrenages Fiab.</t>
  </si>
  <si>
    <t>Carters Ch.Sér.</t>
  </si>
  <si>
    <t>Carters Fiab.</t>
  </si>
  <si>
    <t>Cour.A Ch.Sér.</t>
  </si>
  <si>
    <t>Cour.A Fiab.</t>
  </si>
  <si>
    <t>Cour.B Ch.Sér.</t>
  </si>
  <si>
    <t>Cour.B Fiab.</t>
  </si>
  <si>
    <t>Montage Fiab.</t>
  </si>
  <si>
    <t>TOTAL pts</t>
  </si>
  <si>
    <t>H1 - Début S2</t>
  </si>
  <si>
    <t>H17 - Mi-S2</t>
  </si>
  <si>
    <t>Rappel niveaux : N1 = 1 pt  (Cht.Série → 1h / Fiab. partielle)   |   N2 = 2 pts  (Cht.Série → 0 / Fiab. totale). Montage : Fiabilité uniquement.</t>
  </si>
  <si>
    <t>Total ventes (à saisir →)</t>
  </si>
  <si>
    <t xml:space="preserve"> INVENTAIRE DES STOCKS — Fin Semaine 2 (ou Milieu si S2+)</t>
  </si>
  <si>
    <t xml:space="preserve"> RÉSUMÉ DES INDICATEURS — Semaine 2 | Équipe A</t>
  </si>
  <si>
    <t>JEU DU KANBAN  —  FEUILLE DE SUIVI  |  ÉQUIPE B  |  SEMAINE 2  (KANBAN)</t>
  </si>
  <si>
    <t xml:space="preserve"> RÉSUMÉ DES INDICATEURS — Semaine 2 | Équipe B</t>
  </si>
  <si>
    <t>JEU DU KANBAN  —  FEUILLE DE SUIVI  |  ÉQUIPE C  |  SEMAINE 2  (KANBAN)</t>
  </si>
  <si>
    <t xml:space="preserve"> RÉSUMÉ DES INDICATEURS — Semaine 2 | Équipe C</t>
  </si>
  <si>
    <t>JEU DU KANBAN  —  FEUILLE DE SUIVI  |  ÉQUIPE A  |  SEMAINE 3  (KANBAN)</t>
  </si>
  <si>
    <t xml:space="preserve"> CHOIX DE PROGRÈS — Semaine 3  (budget : 2 pts par décision)</t>
  </si>
  <si>
    <t>H1 - Début S3</t>
  </si>
  <si>
    <t>H17 - Mi-S3</t>
  </si>
  <si>
    <t xml:space="preserve"> INVENTAIRE DES STOCKS — Fin Semaine 3 (ou Milieu si S2+)</t>
  </si>
  <si>
    <t xml:space="preserve"> RÉSUMÉ DES INDICATEURS — Semaine 3 | Équipe A</t>
  </si>
  <si>
    <t>JEU DU KANBAN  —  FEUILLE DE SUIVI  |  ÉQUIPE B  |  SEMAINE 3  (KANBAN)</t>
  </si>
  <si>
    <t xml:space="preserve"> RÉSUMÉ DES INDICATEURS — Semaine 3 | Équipe B</t>
  </si>
  <si>
    <t>JEU DU KANBAN  —  FEUILLE DE SUIVI  |  ÉQUIPE C  |  SEMAINE 3  (KANBAN)</t>
  </si>
  <si>
    <t xml:space="preserve"> RÉSUMÉ DES INDICATEURS — Semaine 3 | Équipe C</t>
  </si>
  <si>
    <t>JEU DU KANBAN  —  FEUILLE DE SUIVI  |  ÉQUIPE A  |  SEMAINE 4  (KANBAN)</t>
  </si>
  <si>
    <t xml:space="preserve"> CHOIX DE PROGRÈS — Semaine 4  (budget : 2 pts par décision)</t>
  </si>
  <si>
    <t>H1 - Début S4</t>
  </si>
  <si>
    <t>H17 - Mi-S4</t>
  </si>
  <si>
    <t xml:space="preserve"> INVENTAIRE DES STOCKS — Fin Semaine 4 (ou Milieu si S2+)</t>
  </si>
  <si>
    <t xml:space="preserve"> RÉSUMÉ DES INDICATEURS — Semaine 4 | Équipe A</t>
  </si>
  <si>
    <t>JEU DU KANBAN  —  FEUILLE DE SUIVI  |  ÉQUIPE B  |  SEMAINE 4  (KANBAN)</t>
  </si>
  <si>
    <t xml:space="preserve"> RÉSUMÉ DES INDICATEURS — Semaine 4 | Équipe B</t>
  </si>
  <si>
    <t>JEU DU KANBAN  —  FEUILLE DE SUIVI  |  ÉQUIPE C  |  SEMAINE 4  (KANBAN)</t>
  </si>
  <si>
    <t xml:space="preserve"> RÉSUMÉ DES INDICATEURS — Semaine 4 | Équipe C</t>
  </si>
  <si>
    <t>RÉSULTATS DES ÉQUIPES — JEU DU KANBAN</t>
  </si>
  <si>
    <t>Ces données sont calculées automatiquement depuis les feuilles de suivi. Les cellules grises se remplissent seules.</t>
  </si>
  <si>
    <t xml:space="preserve"> EFFICIENCE PAR POSTE &amp; USINE</t>
  </si>
  <si>
    <t>Équipe</t>
  </si>
  <si>
    <t>Semaine</t>
  </si>
  <si>
    <t>Eng.</t>
  </si>
  <si>
    <t>Cart.</t>
  </si>
  <si>
    <t>Cor.A</t>
  </si>
  <si>
    <t>Cor.B</t>
  </si>
  <si>
    <t>Mont.</t>
  </si>
  <si>
    <t>Usine</t>
  </si>
  <si>
    <t>Équipe A</t>
  </si>
  <si>
    <t>S1</t>
  </si>
  <si>
    <t>S2</t>
  </si>
  <si>
    <t>S3</t>
  </si>
  <si>
    <t>S4</t>
  </si>
  <si>
    <t>Équipe B</t>
  </si>
  <si>
    <t>Équipe C</t>
  </si>
  <si>
    <t xml:space="preserve"> TAUX DE SERVICE</t>
  </si>
  <si>
    <t>Moy.</t>
  </si>
  <si>
    <t xml:space="preserve"> VALEUR DES STOCKS (fin S1 / milieu S2, S3, S4)</t>
  </si>
  <si>
    <t>Fin S1</t>
  </si>
  <si>
    <t>Milieu S2</t>
  </si>
  <si>
    <t>Milieu S3</t>
  </si>
  <si>
    <t>Milieu S4</t>
  </si>
  <si>
    <t xml:space="preserve"> ACTIONS DE PROGRÈS PAR ÉQUIPE (à reporter depuis les feuilles de suivi)</t>
  </si>
  <si>
    <t>Eng.CS</t>
  </si>
  <si>
    <t>Eng.Fib.</t>
  </si>
  <si>
    <t>Cart.CS</t>
  </si>
  <si>
    <t>Cart.Fib.</t>
  </si>
  <si>
    <t>CorA.CS</t>
  </si>
  <si>
    <t>CorA.Fib.</t>
  </si>
  <si>
    <t>CorB.CS</t>
  </si>
  <si>
    <t>CorB.Fib.</t>
  </si>
  <si>
    <t>Mont.Fib.</t>
  </si>
  <si>
    <t>Total pts</t>
  </si>
  <si>
    <t>H1</t>
  </si>
  <si>
    <t>H17</t>
  </si>
  <si>
    <t>RELEVÉ DES PROGRÈS — DOCUMENT ANIMATEUR (CONFIDENTIEL)</t>
  </si>
  <si>
    <t>Cette feuille est destinée à l'animateur. Elle récapitule les décisions de progrès de chaque équipe.</t>
  </si>
  <si>
    <t>Niveaux : N1 = 1 point  (Chgt.Série → 1h | Fiabilité partielle)   |   N2 = 2 points (Chgt.Série → 0h | Fiabilité totale)   |   Budget : 2 pts par session de choix</t>
  </si>
  <si>
    <t>Sem.</t>
  </si>
  <si>
    <t>Eng.
CS</t>
  </si>
  <si>
    <t>Eng.
Fiab.</t>
  </si>
  <si>
    <t>Cart.
CS</t>
  </si>
  <si>
    <t>Cart.
Fiab.</t>
  </si>
  <si>
    <t>CorA.
CS</t>
  </si>
  <si>
    <t>CorA.
Fiab.</t>
  </si>
  <si>
    <t>CorB.
CS</t>
  </si>
  <si>
    <t>CorB.
Fiab.</t>
  </si>
  <si>
    <t>Mont.
Fiab.</t>
  </si>
  <si>
    <t>Total
pts</t>
  </si>
  <si>
    <t xml:space="preserve"> TABLEAU D'EFFETS DES PROGRÈS (aide à l'animateur)</t>
  </si>
  <si>
    <t>Type de progrès</t>
  </si>
  <si>
    <t>Niveau</t>
  </si>
  <si>
    <t>Points</t>
  </si>
  <si>
    <t>Effet sur la production</t>
  </si>
  <si>
    <t>Chgt. de Série (SMED)</t>
  </si>
  <si>
    <t>N1</t>
  </si>
  <si>
    <t>1 pt</t>
  </si>
  <si>
    <t>Durée changement de série : 1 heure (au lieu de 2 ou 3)</t>
  </si>
  <si>
    <t>N2</t>
  </si>
  <si>
    <t>2 pts</t>
  </si>
  <si>
    <t>Durée changement de série : 0 heure (changement instantané)</t>
  </si>
  <si>
    <t>Fiabilité / Maintenance</t>
  </si>
  <si>
    <t>Probabilité d'incident réduite de moitié</t>
  </si>
  <si>
    <t>Aucun incident possible sur ce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</si>
</sst>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€&quot;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b/>
      <sz val="7"/>
      <color rgb="FF000000"/>
      <name val="Arial"/>
      <charset val="1"/>
    </font>
    <font>
      <b/>
      <sz val="9"/>
      <color rgb="FF2E75B6"/>
      <name val="Arial"/>
      <charset val="1"/>
    </font>
    <font>
      <b/>
      <sz val="9"/>
      <color rgb="FF375623"/>
      <name val="Arial"/>
      <charset val="1"/>
    </font>
    <font>
      <sz val="8"/>
      <color rgb="FF795548"/>
      <name val="Arial"/>
      <charset val="1"/>
    </font>
    <font>
      <b/>
      <sz val="8"/>
      <color rgb="FFFFFFFF"/>
      <name val="Arial"/>
      <charset val="1"/>
    </font>
    <font>
      <b/>
      <sz val="9"/>
      <color rgb="FFC00000"/>
      <name val="Arial"/>
      <charset val="1"/>
    </font>
    <font>
      <b/>
      <sz val="8"/>
      <color rgb="FF333333"/>
      <name val="Arial"/>
      <charset val="1"/>
    </font>
    <font>
      <b/>
      <sz val="8"/>
      <color rgb="FFC00000"/>
      <name val="Arial"/>
      <charset val="1"/>
    </font>
    <font>
      <sz val="8"/>
      <color rgb="FF000000"/>
      <name val="Arial"/>
      <charset val="1"/>
    </font>
    <font>
      <sz val="9"/>
      <color rgb="FF595959"/>
      <name val="Arial"/>
      <charset val="1"/>
    </font>
    <font>
      <b/>
      <sz val="8"/>
      <color rgb="FF375623"/>
      <name val="Arial"/>
      <charset val="1"/>
    </font>
    <font>
      <b/>
      <sz val="10"/>
      <color rgb="FF375623"/>
      <name val="Arial"/>
      <charset val="1"/>
    </font>
    <font>
      <i/>
      <sz val="7"/>
      <color rgb="FF375623"/>
      <name val="Arial"/>
      <charset val="1"/>
    </font>
    <font>
      <sz val="8"/>
      <color rgb="FF595959"/>
      <name val="Arial"/>
      <charset val="1"/>
    </font>
    <font>
      <sz val="9"/>
      <color rgb="FF0070C0"/>
      <name val="Arial"/>
      <charset val="1"/>
    </font>
    <font>
      <b/>
      <sz val="11"/>
      <color rgb="FF375623"/>
      <name val="Arial"/>
      <charset val="1"/>
    </font>
    <font>
      <sz val="8"/>
      <color rgb="FF375623"/>
      <name val="Arial"/>
      <charset val="1"/>
    </font>
    <font>
      <b/>
      <sz val="14"/>
      <color rgb="FF375623"/>
      <name val="Arial"/>
      <charset val="1"/>
    </font>
    <font>
      <sz val="9"/>
      <color rgb="FF2E75B6"/>
      <name val="Arial"/>
      <charset val="1"/>
    </font>
    <font>
      <sz val="7"/>
      <color rgb="FF595959"/>
      <name val="Arial"/>
      <charset val="1"/>
    </font>
    <font>
      <b/>
      <sz val="13"/>
      <color rgb="FFFFFFFF"/>
      <name val="Arial"/>
      <charset val="1"/>
    </font>
    <font>
      <sz val="8"/>
      <color rgb="FFC00000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FDEDEC"/>
      </patternFill>
    </fill>
    <fill>
      <patternFill patternType="solid">
        <fgColor rgb="FFFFFFFF"/>
        <bgColor rgb="FFFFFDE7"/>
      </patternFill>
    </fill>
    <fill>
      <patternFill patternType="solid">
        <fgColor rgb="FFDEEAF1"/>
        <bgColor rgb="FFD6EAF8"/>
      </patternFill>
    </fill>
    <fill>
      <patternFill patternType="solid">
        <fgColor rgb="FFABEBC6"/>
        <bgColor rgb="FFD5F5E3"/>
      </patternFill>
    </fill>
    <fill>
      <patternFill patternType="solid">
        <fgColor rgb="FFFFF9C4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EEDD"/>
      </patternFill>
    </fill>
    <fill>
      <patternFill patternType="solid">
        <fgColor rgb="FFD6EAF8"/>
        <bgColor rgb="FFDEEAF1"/>
      </patternFill>
    </fill>
    <fill>
      <patternFill patternType="solid">
        <fgColor rgb="FFD5F5E3"/>
        <bgColor rgb="FFE2EFDA"/>
      </patternFill>
    </fill>
    <fill>
      <patternFill patternType="solid">
        <fgColor rgb="FFFDEDEC"/>
        <bgColor rgb="FFFFEEDD"/>
      </patternFill>
    </fill>
    <fill>
      <patternFill patternType="solid">
        <fgColor rgb="FFEBE2F7"/>
        <bgColor rgb="FFDEEAF1"/>
      </patternFill>
    </fill>
    <fill>
      <patternFill patternType="solid">
        <fgColor rgb="FFF4CCCC"/>
        <bgColor rgb="FFF9C6C6"/>
      </patternFill>
    </fill>
    <fill>
      <patternFill patternType="solid">
        <fgColor rgb="FFF9C6C6"/>
        <bgColor rgb="FFF4CCCC"/>
      </patternFill>
    </fill>
    <fill>
      <patternFill patternType="solid">
        <fgColor rgb="FFFFE0B2"/>
        <bgColor rgb="FFFFE0CC"/>
      </patternFill>
    </fill>
    <fill>
      <patternFill patternType="solid">
        <fgColor rgb="FFFFFDE7"/>
        <bgColor rgb="FFFEF9E7"/>
      </patternFill>
    </fill>
    <fill>
      <patternFill patternType="solid">
        <fgColor rgb="FFFEF9E7"/>
        <bgColor rgb="FFFFFDE7"/>
      </patternFill>
    </fill>
    <fill>
      <patternFill patternType="solid">
        <fgColor rgb="FFFADBD8"/>
        <bgColor rgb="FFFFDDCC"/>
      </patternFill>
    </fill>
    <fill>
      <patternFill patternType="solid">
        <fgColor rgb="FFE8F8E8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FF6666"/>
        <bgColor rgb="FFED7D31"/>
      </patternFill>
    </fill>
    <fill>
      <patternFill patternType="solid">
        <fgColor rgb="FFFFE0CC"/>
        <bgColor rgb="FFFFDDCC"/>
      </patternFill>
    </fill>
    <fill>
      <patternFill patternType="solid">
        <fgColor rgb="FFFFEEDD"/>
        <bgColor rgb="FFFDEBD0"/>
      </patternFill>
    </fill>
    <fill>
      <patternFill patternType="solid">
        <fgColor rgb="FFFFDDCC"/>
        <bgColor rgb="FFFFE0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9" fillId="4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1" fontId="15" fillId="21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20" fillId="22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164" fontId="25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left" vertical="center"/>
    </xf>
    <xf numFmtId="165" fontId="25" fillId="7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5" fillId="10" borderId="1" xfId="0" applyNumberFormat="1" applyFont="1" applyFill="1" applyBorder="1" applyAlignment="1">
      <alignment horizontal="center" vertical="center"/>
    </xf>
    <xf numFmtId="164" fontId="12" fillId="22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5" fontId="12" fillId="22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9" fontId="12" fillId="22" borderId="1" xfId="0" applyNumberFormat="1" applyFont="1" applyFill="1" applyBorder="1" applyAlignment="1">
      <alignment horizontal="center" vertical="center"/>
    </xf>
    <xf numFmtId="164" fontId="21" fillId="7" borderId="2" xfId="0" applyNumberFormat="1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27" fillId="7" borderId="0" xfId="0" applyNumberFormat="1" applyFont="1" applyFill="1" applyAlignment="1">
      <alignment horizontal="center" vertical="center"/>
    </xf>
    <xf numFmtId="0" fontId="29" fillId="10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31" fillId="2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FFFDE7"/>
      <rgbColor rgb="FFC00000"/>
      <rgbColor rgb="FF008000"/>
      <rgbColor rgb="FF000080"/>
      <rgbColor rgb="FFFEF9E7"/>
      <rgbColor rgb="FF800080"/>
      <rgbColor rgb="FF008080"/>
      <rgbColor rgb="FFF4CCCC"/>
      <rgbColor rgb="FFFDEDEC"/>
      <rgbColor rgb="FFDEEAF1"/>
      <rgbColor rgb="FF7030A0"/>
      <rgbColor rgb="FFFFF9C4"/>
      <rgbColor rgb="FFD6EAF8"/>
      <rgbColor rgb="FF660066"/>
      <rgbColor rgb="FFFF6666"/>
      <rgbColor rgb="FF0070C0"/>
      <rgbColor rgb="FFEBE2F7"/>
      <rgbColor rgb="FF000080"/>
      <rgbColor rgb="FFFF00FF"/>
      <rgbColor rgb="FFFFE0CC"/>
      <rgbColor rgb="FF00FFFF"/>
      <rgbColor rgb="FF800080"/>
      <rgbColor rgb="FF800000"/>
      <rgbColor rgb="FF008080"/>
      <rgbColor rgb="FF0000FF"/>
      <rgbColor rgb="FF00B0F0"/>
      <rgbColor rgb="FFE8F8E8"/>
      <rgbColor rgb="FFD5F5E3"/>
      <rgbColor rgb="FFFFF2CC"/>
      <rgbColor rgb="FFABEBC6"/>
      <rgbColor rgb="FFFADBD8"/>
      <rgbColor rgb="FFFFDDCC"/>
      <rgbColor rgb="FFF9C6C6"/>
      <rgbColor rgb="FF2E75B6"/>
      <rgbColor rgb="FFF2F2F2"/>
      <rgbColor rgb="FFFFEEDD"/>
      <rgbColor rgb="FFFFE0B2"/>
      <rgbColor rgb="FFFF8C00"/>
      <rgbColor rgb="FFED7D31"/>
      <rgbColor rgb="FF595959"/>
      <rgbColor rgb="FFE2EFDA"/>
      <rgbColor rgb="FF1F3864"/>
      <rgbColor rgb="FF339966"/>
      <rgbColor rgb="FF003300"/>
      <rgbColor rgb="FF375623"/>
      <rgbColor rgb="FF993300"/>
      <rgbColor rgb="FF79554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D2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D1"/>
    </sheetView>
  </sheetViews>
  <sheetFormatPr baseColWidth="10" defaultColWidth="8.7109375" defaultRowHeight="15" x14ac:dyDescent="0.25"/>
  <cols>
    <col min="1" max="1" width="4" customWidth="1"/>
    <col min="2" max="2" width="24" customWidth="1"/>
    <col min="3" max="3" width="70" customWidth="1"/>
    <col min="4" max="4" width="14" customWidth="1"/>
  </cols>
  <sheetData>
    <row r="1" spans="1:4" ht="18" x14ac:dyDescent="0.25">
      <c r="A1" s="14" t="s">
        <v>0</v>
      </c>
      <c r="B1" s="14"/>
      <c r="C1" s="14"/>
      <c r="D1" s="14"/>
    </row>
    <row r="2" spans="1:4" x14ac:dyDescent="0.25">
      <c r="A2" s="13" t="s">
        <v>1</v>
      </c>
      <c r="B2" s="13"/>
      <c r="C2" s="13"/>
      <c r="D2" s="13"/>
    </row>
    <row r="4" spans="1:4" ht="15.75" customHeight="1" x14ac:dyDescent="0.25">
      <c r="B4" s="12" t="s">
        <v>2</v>
      </c>
      <c r="C4" s="12"/>
      <c r="D4" s="12"/>
    </row>
    <row r="5" spans="1:4" ht="12.75" customHeight="1" x14ac:dyDescent="0.25">
      <c r="B5" s="15" t="s">
        <v>3</v>
      </c>
      <c r="C5" s="16" t="s">
        <v>4</v>
      </c>
    </row>
    <row r="6" spans="1:4" ht="12.75" customHeight="1" x14ac:dyDescent="0.25">
      <c r="B6" s="15" t="s">
        <v>5</v>
      </c>
      <c r="C6" s="16" t="s">
        <v>6</v>
      </c>
    </row>
    <row r="7" spans="1:4" ht="12.75" customHeight="1" x14ac:dyDescent="0.25">
      <c r="B7" s="15" t="s">
        <v>7</v>
      </c>
      <c r="C7" s="16" t="s">
        <v>8</v>
      </c>
    </row>
    <row r="8" spans="1:4" ht="12.75" customHeight="1" x14ac:dyDescent="0.25">
      <c r="B8" s="15" t="s">
        <v>9</v>
      </c>
      <c r="C8" s="16" t="s">
        <v>10</v>
      </c>
    </row>
    <row r="9" spans="1:4" ht="12.75" customHeight="1" x14ac:dyDescent="0.25">
      <c r="B9" s="15" t="s">
        <v>11</v>
      </c>
      <c r="C9" s="16" t="s">
        <v>12</v>
      </c>
    </row>
    <row r="11" spans="1:4" ht="15.75" customHeight="1" x14ac:dyDescent="0.25">
      <c r="B11" s="12" t="s">
        <v>13</v>
      </c>
      <c r="C11" s="12"/>
      <c r="D11" s="12"/>
    </row>
    <row r="12" spans="1:4" ht="25.5" customHeight="1" x14ac:dyDescent="0.25">
      <c r="B12" s="15" t="s">
        <v>14</v>
      </c>
      <c r="C12" s="16" t="s">
        <v>15</v>
      </c>
    </row>
    <row r="13" spans="1:4" ht="25.5" customHeight="1" x14ac:dyDescent="0.25">
      <c r="B13" s="15" t="s">
        <v>16</v>
      </c>
      <c r="C13" s="16" t="s">
        <v>17</v>
      </c>
    </row>
    <row r="14" spans="1:4" ht="12.75" customHeight="1" x14ac:dyDescent="0.25">
      <c r="B14" s="15" t="s">
        <v>18</v>
      </c>
      <c r="C14" s="16" t="s">
        <v>19</v>
      </c>
    </row>
    <row r="15" spans="1:4" ht="25.5" customHeight="1" x14ac:dyDescent="0.25">
      <c r="B15" s="15" t="s">
        <v>20</v>
      </c>
      <c r="C15" s="16" t="s">
        <v>21</v>
      </c>
    </row>
    <row r="17" spans="2:4" ht="15.75" customHeight="1" x14ac:dyDescent="0.25">
      <c r="B17" s="12" t="s">
        <v>22</v>
      </c>
      <c r="C17" s="12"/>
      <c r="D17" s="12"/>
    </row>
    <row r="18" spans="2:4" ht="25.5" customHeight="1" x14ac:dyDescent="0.25">
      <c r="B18" s="15" t="s">
        <v>23</v>
      </c>
      <c r="C18" s="16" t="s">
        <v>24</v>
      </c>
    </row>
    <row r="19" spans="2:4" ht="12.75" customHeight="1" x14ac:dyDescent="0.25">
      <c r="B19" s="15" t="s">
        <v>25</v>
      </c>
      <c r="C19" s="16" t="s">
        <v>26</v>
      </c>
    </row>
    <row r="21" spans="2:4" ht="15.75" customHeight="1" x14ac:dyDescent="0.25">
      <c r="B21" s="12" t="s">
        <v>27</v>
      </c>
      <c r="C21" s="12"/>
      <c r="D21" s="12"/>
    </row>
    <row r="22" spans="2:4" ht="25.5" customHeight="1" x14ac:dyDescent="0.25">
      <c r="B22" s="15" t="s">
        <v>28</v>
      </c>
      <c r="C22" s="16" t="s">
        <v>29</v>
      </c>
    </row>
    <row r="23" spans="2:4" ht="25.5" customHeight="1" x14ac:dyDescent="0.25">
      <c r="B23" s="15" t="s">
        <v>30</v>
      </c>
      <c r="C23" s="16" t="s">
        <v>31</v>
      </c>
    </row>
    <row r="24" spans="2:4" ht="25.5" customHeight="1" x14ac:dyDescent="0.25">
      <c r="B24" s="15" t="s">
        <v>32</v>
      </c>
      <c r="C24" s="16" t="s">
        <v>33</v>
      </c>
    </row>
    <row r="26" spans="2:4" ht="15.75" customHeight="1" x14ac:dyDescent="0.25">
      <c r="B26" s="12" t="s">
        <v>34</v>
      </c>
      <c r="C26" s="12"/>
      <c r="D26" s="12"/>
    </row>
    <row r="27" spans="2:4" ht="25.5" customHeight="1" x14ac:dyDescent="0.25">
      <c r="B27" s="15" t="s">
        <v>35</v>
      </c>
      <c r="C27" s="16" t="s">
        <v>36</v>
      </c>
    </row>
    <row r="28" spans="2:4" ht="12.75" customHeight="1" x14ac:dyDescent="0.25">
      <c r="B28" s="15" t="s">
        <v>37</v>
      </c>
      <c r="C28" s="16" t="s">
        <v>38</v>
      </c>
    </row>
  </sheetData>
  <mergeCells count="7">
    <mergeCell ref="B21:D21"/>
    <mergeCell ref="B26:D26"/>
    <mergeCell ref="A1:D1"/>
    <mergeCell ref="A2:D2"/>
    <mergeCell ref="B4:D4"/>
    <mergeCell ref="B11:D11"/>
    <mergeCell ref="B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K23"/>
  <sheetViews>
    <sheetView zoomScaleNormal="100" workbookViewId="0"/>
  </sheetViews>
  <sheetFormatPr baseColWidth="10" defaultColWidth="8.7109375" defaultRowHeight="15" x14ac:dyDescent="0.25"/>
  <cols>
    <col min="1" max="1" width="16" customWidth="1"/>
    <col min="2" max="2" width="12" customWidth="1"/>
    <col min="3" max="11" width="8" customWidth="1"/>
  </cols>
  <sheetData>
    <row r="1" spans="1:11" ht="15.75" x14ac:dyDescent="0.25">
      <c r="A1" s="11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10" t="s">
        <v>40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x14ac:dyDescent="0.25">
      <c r="A4" s="9" t="s">
        <v>41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9.5" customHeight="1" x14ac:dyDescent="0.25">
      <c r="A5" s="17" t="s">
        <v>42</v>
      </c>
      <c r="B5" s="18" t="s">
        <v>43</v>
      </c>
      <c r="C5" s="18" t="s">
        <v>44</v>
      </c>
      <c r="D5" s="18" t="s">
        <v>45</v>
      </c>
      <c r="E5" s="18" t="s">
        <v>46</v>
      </c>
      <c r="F5" s="18" t="s">
        <v>47</v>
      </c>
      <c r="G5" s="18" t="s">
        <v>48</v>
      </c>
      <c r="H5" s="19" t="s">
        <v>49</v>
      </c>
      <c r="I5" s="20" t="s">
        <v>50</v>
      </c>
    </row>
    <row r="6" spans="1:11" ht="12.75" customHeight="1" x14ac:dyDescent="0.25">
      <c r="A6" s="21" t="s">
        <v>51</v>
      </c>
      <c r="B6" s="22">
        <v>2</v>
      </c>
      <c r="C6" s="23"/>
      <c r="D6" s="22">
        <v>1</v>
      </c>
      <c r="E6" s="22">
        <v>2</v>
      </c>
      <c r="F6" s="23"/>
      <c r="G6" s="23"/>
      <c r="H6" s="23"/>
      <c r="I6" s="21">
        <v>5</v>
      </c>
    </row>
    <row r="7" spans="1:11" ht="12.75" customHeight="1" x14ac:dyDescent="0.25">
      <c r="A7" s="21" t="s">
        <v>52</v>
      </c>
      <c r="B7" s="22">
        <v>1</v>
      </c>
      <c r="C7" s="23"/>
      <c r="D7" s="22">
        <v>2</v>
      </c>
      <c r="E7" s="22">
        <v>3</v>
      </c>
      <c r="F7" s="23"/>
      <c r="G7" s="22">
        <v>1</v>
      </c>
      <c r="H7" s="22">
        <v>5</v>
      </c>
      <c r="I7" s="21">
        <v>12</v>
      </c>
    </row>
    <row r="8" spans="1:11" ht="12.75" customHeight="1" x14ac:dyDescent="0.25">
      <c r="A8" s="21" t="s">
        <v>53</v>
      </c>
      <c r="B8" s="22">
        <v>2</v>
      </c>
      <c r="C8" s="23"/>
      <c r="D8" s="23"/>
      <c r="E8" s="22">
        <v>1</v>
      </c>
      <c r="F8" s="22">
        <v>2</v>
      </c>
      <c r="G8" s="22">
        <v>2</v>
      </c>
      <c r="H8" s="22">
        <v>5</v>
      </c>
      <c r="I8" s="21">
        <v>12</v>
      </c>
    </row>
    <row r="9" spans="1:11" ht="12.75" customHeight="1" x14ac:dyDescent="0.25">
      <c r="A9" s="21" t="s">
        <v>54</v>
      </c>
      <c r="B9" s="23"/>
      <c r="C9" s="22">
        <v>1</v>
      </c>
      <c r="D9" s="22">
        <v>1</v>
      </c>
      <c r="E9" s="22">
        <v>2</v>
      </c>
      <c r="F9" s="22">
        <v>1</v>
      </c>
      <c r="G9" s="23"/>
      <c r="H9" s="23"/>
      <c r="I9" s="21">
        <v>5</v>
      </c>
    </row>
    <row r="10" spans="1:11" x14ac:dyDescent="0.25">
      <c r="A10" s="24" t="s">
        <v>55</v>
      </c>
      <c r="B10" s="25">
        <v>5</v>
      </c>
      <c r="C10" s="25">
        <v>1</v>
      </c>
      <c r="D10" s="25">
        <v>4</v>
      </c>
      <c r="E10" s="25">
        <v>8</v>
      </c>
      <c r="F10" s="25">
        <v>3</v>
      </c>
      <c r="G10" s="25">
        <v>3</v>
      </c>
      <c r="H10" s="25">
        <v>10</v>
      </c>
      <c r="I10" s="24">
        <v>34</v>
      </c>
    </row>
    <row r="12" spans="1:11" x14ac:dyDescent="0.25">
      <c r="A12" s="9" t="s">
        <v>56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9.5" customHeight="1" x14ac:dyDescent="0.25">
      <c r="A13" s="26" t="s">
        <v>57</v>
      </c>
      <c r="B13" s="26" t="s">
        <v>58</v>
      </c>
      <c r="C13" s="26" t="s">
        <v>43</v>
      </c>
      <c r="D13" s="26" t="s">
        <v>44</v>
      </c>
      <c r="E13" s="26" t="s">
        <v>45</v>
      </c>
      <c r="F13" s="26" t="s">
        <v>46</v>
      </c>
      <c r="G13" s="26" t="s">
        <v>47</v>
      </c>
      <c r="H13" s="26" t="s">
        <v>48</v>
      </c>
      <c r="I13" s="26" t="s">
        <v>59</v>
      </c>
    </row>
    <row r="14" spans="1:11" ht="12.75" customHeight="1" x14ac:dyDescent="0.25">
      <c r="A14" s="27" t="s">
        <v>60</v>
      </c>
      <c r="B14" s="28" t="s">
        <v>61</v>
      </c>
      <c r="C14" s="29">
        <v>1</v>
      </c>
      <c r="D14" s="29">
        <v>2</v>
      </c>
      <c r="E14" s="29">
        <v>1</v>
      </c>
      <c r="F14" s="23"/>
      <c r="G14" s="23"/>
      <c r="H14" s="23"/>
      <c r="I14" s="30">
        <v>11</v>
      </c>
    </row>
    <row r="15" spans="1:11" ht="12.75" customHeight="1" x14ac:dyDescent="0.25">
      <c r="A15" s="27" t="s">
        <v>60</v>
      </c>
      <c r="B15" s="28" t="s">
        <v>62</v>
      </c>
      <c r="C15" s="23"/>
      <c r="D15" s="23"/>
      <c r="E15" s="23"/>
      <c r="F15" s="29">
        <v>4</v>
      </c>
      <c r="G15" s="29">
        <v>2</v>
      </c>
      <c r="H15" s="29">
        <v>3</v>
      </c>
      <c r="I15" s="30">
        <v>47</v>
      </c>
    </row>
    <row r="16" spans="1:11" ht="12.75" customHeight="1" x14ac:dyDescent="0.25">
      <c r="A16" s="27" t="s">
        <v>63</v>
      </c>
      <c r="B16" s="28" t="s">
        <v>64</v>
      </c>
      <c r="C16" s="29">
        <v>1</v>
      </c>
      <c r="D16" s="29">
        <v>2</v>
      </c>
      <c r="E16" s="29">
        <v>1</v>
      </c>
      <c r="F16" s="29">
        <v>1</v>
      </c>
      <c r="G16" s="23"/>
      <c r="H16" s="23"/>
      <c r="I16" s="30">
        <v>19</v>
      </c>
    </row>
    <row r="17" spans="1:11" ht="12.75" customHeight="1" x14ac:dyDescent="0.25">
      <c r="A17" s="27" t="s">
        <v>63</v>
      </c>
      <c r="B17" s="28" t="s">
        <v>65</v>
      </c>
      <c r="C17" s="23"/>
      <c r="D17" s="23"/>
      <c r="E17" s="23"/>
      <c r="F17" s="23"/>
      <c r="G17" s="29">
        <v>2</v>
      </c>
      <c r="H17" s="29">
        <v>3</v>
      </c>
      <c r="I17" s="30">
        <v>15</v>
      </c>
    </row>
    <row r="18" spans="1:11" ht="12.75" customHeight="1" x14ac:dyDescent="0.25">
      <c r="A18" s="27" t="s">
        <v>66</v>
      </c>
      <c r="B18" s="28" t="s">
        <v>62</v>
      </c>
      <c r="C18" s="29">
        <v>1</v>
      </c>
      <c r="D18" s="23"/>
      <c r="E18" s="23"/>
      <c r="F18" s="29">
        <v>1</v>
      </c>
      <c r="G18" s="23"/>
      <c r="H18" s="23"/>
      <c r="I18" s="30">
        <v>13</v>
      </c>
    </row>
    <row r="19" spans="1:11" ht="12.75" customHeight="1" x14ac:dyDescent="0.25">
      <c r="A19" s="27" t="s">
        <v>66</v>
      </c>
      <c r="B19" s="28" t="s">
        <v>67</v>
      </c>
      <c r="C19" s="23"/>
      <c r="D19" s="29">
        <v>2</v>
      </c>
      <c r="E19" s="23"/>
      <c r="F19" s="23"/>
      <c r="G19" s="29">
        <v>2</v>
      </c>
      <c r="H19" s="23"/>
      <c r="I19" s="30">
        <v>8</v>
      </c>
    </row>
    <row r="20" spans="1:11" ht="12.75" customHeight="1" x14ac:dyDescent="0.25">
      <c r="A20" s="27" t="s">
        <v>66</v>
      </c>
      <c r="B20" s="28" t="s">
        <v>64</v>
      </c>
      <c r="C20" s="23"/>
      <c r="D20" s="23"/>
      <c r="E20" s="29">
        <v>1</v>
      </c>
      <c r="F20" s="23"/>
      <c r="G20" s="23"/>
      <c r="H20" s="29">
        <v>3</v>
      </c>
      <c r="I20" s="30">
        <v>13</v>
      </c>
    </row>
    <row r="22" spans="1:11" x14ac:dyDescent="0.25">
      <c r="A22" s="8" t="s">
        <v>68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12.75" customHeight="1" x14ac:dyDescent="0.25">
      <c r="A23" s="31" t="s">
        <v>69</v>
      </c>
      <c r="B23" s="28" t="s">
        <v>62</v>
      </c>
      <c r="C23" s="28"/>
      <c r="D23" s="28"/>
      <c r="E23" s="28"/>
      <c r="F23" s="28"/>
      <c r="G23" s="28"/>
      <c r="H23" s="28"/>
      <c r="I23" s="30">
        <v>15</v>
      </c>
    </row>
  </sheetData>
  <mergeCells count="5">
    <mergeCell ref="A1:K1"/>
    <mergeCell ref="A2:K2"/>
    <mergeCell ref="A4:K4"/>
    <mergeCell ref="A12:K12"/>
    <mergeCell ref="A22:K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B73"/>
  <sheetViews>
    <sheetView tabSelected="1" topLeftCell="A29" zoomScaleNormal="100" workbookViewId="0">
      <pane xSplit="1" topLeftCell="B1" activePane="topRight" state="frozen"/>
      <selection pane="topRight" activeCell="C48" sqref="C48"/>
    </sheetView>
  </sheetViews>
  <sheetFormatPr baseColWidth="10" defaultColWidth="8.7109375" defaultRowHeight="15" x14ac:dyDescent="0.25"/>
  <cols>
    <col min="1" max="1" width="15.140625" customWidth="1"/>
    <col min="2" max="2" width="10.42578125" customWidth="1"/>
    <col min="3" max="3" width="19.42578125" customWidth="1"/>
    <col min="4" max="4" width="17.140625" customWidth="1"/>
    <col min="5" max="21" width="4.42578125" customWidth="1"/>
    <col min="22" max="28" width="5.5703125" customWidth="1"/>
  </cols>
  <sheetData>
    <row r="1" spans="1:28" ht="21.75" customHeight="1" x14ac:dyDescent="0.25">
      <c r="A1" s="11" t="s">
        <v>70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72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4" customHeight="1" x14ac:dyDescent="0.25">
      <c r="A4" s="26" t="s">
        <v>73</v>
      </c>
      <c r="B4" s="26" t="s">
        <v>74</v>
      </c>
      <c r="C4" s="26" t="s">
        <v>75</v>
      </c>
      <c r="D4" s="26" t="s">
        <v>76</v>
      </c>
      <c r="E4" s="26" t="s">
        <v>77</v>
      </c>
      <c r="F4" s="26" t="s">
        <v>78</v>
      </c>
      <c r="G4" s="26" t="s">
        <v>79</v>
      </c>
      <c r="H4" s="26" t="s">
        <v>80</v>
      </c>
      <c r="I4" s="26" t="s">
        <v>81</v>
      </c>
      <c r="J4" s="26" t="s">
        <v>82</v>
      </c>
      <c r="K4" s="26" t="s">
        <v>83</v>
      </c>
    </row>
    <row r="5" spans="1:28" ht="13.5" customHeight="1" x14ac:dyDescent="0.25">
      <c r="A5" s="32" t="s">
        <v>60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28" ht="13.5" customHeight="1" x14ac:dyDescent="0.25">
      <c r="A6" s="33" t="s">
        <v>63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28" ht="13.5" customHeight="1" x14ac:dyDescent="0.25">
      <c r="A7" s="34" t="s">
        <v>84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28" ht="13.5" customHeight="1" x14ac:dyDescent="0.25">
      <c r="A8" s="35" t="s">
        <v>85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28" ht="13.5" customHeight="1" x14ac:dyDescent="0.25">
      <c r="A9" s="36" t="s">
        <v>86</v>
      </c>
      <c r="B9" s="29"/>
      <c r="C9" s="29"/>
      <c r="D9" s="29"/>
      <c r="E9" s="29"/>
      <c r="F9" s="29"/>
      <c r="G9" s="29"/>
      <c r="H9" s="29"/>
      <c r="I9" s="29"/>
      <c r="J9" s="29"/>
      <c r="K9" s="29"/>
    </row>
    <row r="11" spans="1:28" ht="13.5" customHeight="1" x14ac:dyDescent="0.25">
      <c r="A11" s="12" t="s">
        <v>87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13.5" customHeight="1" x14ac:dyDescent="0.25">
      <c r="A12" s="37" t="s">
        <v>42</v>
      </c>
      <c r="B12" s="7" t="s">
        <v>60</v>
      </c>
      <c r="C12" s="7"/>
      <c r="D12" s="7"/>
      <c r="E12" s="7"/>
      <c r="F12" s="6" t="s">
        <v>63</v>
      </c>
      <c r="G12" s="6"/>
      <c r="H12" s="6"/>
      <c r="I12" s="6"/>
      <c r="J12" s="5" t="s">
        <v>84</v>
      </c>
      <c r="K12" s="5"/>
      <c r="L12" s="5"/>
      <c r="M12" s="5"/>
      <c r="N12" s="4" t="s">
        <v>85</v>
      </c>
      <c r="O12" s="4"/>
      <c r="P12" s="4"/>
      <c r="Q12" s="4"/>
      <c r="R12" s="3" t="s">
        <v>86</v>
      </c>
      <c r="S12" s="3"/>
      <c r="T12" s="3"/>
      <c r="U12" s="3"/>
      <c r="V12" s="2" t="s">
        <v>88</v>
      </c>
      <c r="W12" s="2"/>
      <c r="X12" s="2"/>
      <c r="Y12" s="2"/>
      <c r="Z12" s="2"/>
      <c r="AA12" s="2"/>
      <c r="AB12" s="2"/>
    </row>
    <row r="13" spans="1:28" ht="24" customHeight="1" x14ac:dyDescent="0.25">
      <c r="A13" s="38"/>
      <c r="B13" s="39" t="s">
        <v>89</v>
      </c>
      <c r="C13" s="39" t="s">
        <v>90</v>
      </c>
      <c r="D13" s="39" t="s">
        <v>91</v>
      </c>
      <c r="E13" s="39" t="s">
        <v>92</v>
      </c>
      <c r="F13" s="40" t="s">
        <v>89</v>
      </c>
      <c r="G13" s="40" t="s">
        <v>90</v>
      </c>
      <c r="H13" s="40" t="s">
        <v>91</v>
      </c>
      <c r="I13" s="40" t="s">
        <v>92</v>
      </c>
      <c r="J13" s="41" t="s">
        <v>89</v>
      </c>
      <c r="K13" s="41" t="s">
        <v>90</v>
      </c>
      <c r="L13" s="41" t="s">
        <v>91</v>
      </c>
      <c r="M13" s="41" t="s">
        <v>92</v>
      </c>
      <c r="N13" s="42" t="s">
        <v>89</v>
      </c>
      <c r="O13" s="42" t="s">
        <v>90</v>
      </c>
      <c r="P13" s="42" t="s">
        <v>91</v>
      </c>
      <c r="Q13" s="42" t="s">
        <v>92</v>
      </c>
      <c r="R13" s="43" t="s">
        <v>89</v>
      </c>
      <c r="S13" s="43" t="s">
        <v>90</v>
      </c>
      <c r="T13" s="43" t="s">
        <v>91</v>
      </c>
      <c r="U13" s="43" t="s">
        <v>92</v>
      </c>
      <c r="V13" s="44" t="s">
        <v>43</v>
      </c>
      <c r="W13" s="44" t="s">
        <v>44</v>
      </c>
      <c r="X13" s="44" t="s">
        <v>45</v>
      </c>
      <c r="Y13" s="44" t="s">
        <v>46</v>
      </c>
      <c r="Z13" s="44" t="s">
        <v>47</v>
      </c>
      <c r="AA13" s="44" t="s">
        <v>48</v>
      </c>
      <c r="AB13" s="44" t="s">
        <v>93</v>
      </c>
    </row>
    <row r="14" spans="1:28" ht="12.75" customHeight="1" x14ac:dyDescent="0.25">
      <c r="A14" s="45">
        <v>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29"/>
      <c r="W14" s="29"/>
      <c r="X14" s="29"/>
      <c r="Y14" s="29"/>
      <c r="Z14" s="29"/>
      <c r="AA14" s="29"/>
      <c r="AB14" s="29"/>
    </row>
    <row r="15" spans="1:28" ht="12.75" customHeight="1" x14ac:dyDescent="0.25">
      <c r="A15" s="47">
        <v>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45">
        <v>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9"/>
      <c r="W22" s="29"/>
      <c r="X22" s="29"/>
      <c r="Y22" s="29"/>
      <c r="Z22" s="29"/>
      <c r="AA22" s="29"/>
      <c r="AB22" s="29"/>
    </row>
    <row r="23" spans="1:28" ht="12.75" customHeight="1" x14ac:dyDescent="0.25">
      <c r="A23" s="47">
        <v>10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45">
        <v>17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29"/>
      <c r="W30" s="29"/>
      <c r="X30" s="29"/>
      <c r="Y30" s="29"/>
      <c r="Z30" s="29"/>
      <c r="AA30" s="29"/>
      <c r="AB30" s="29"/>
    </row>
    <row r="31" spans="1:28" ht="12.75" customHeight="1" x14ac:dyDescent="0.25">
      <c r="A31" s="47">
        <v>18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19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45">
        <v>25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9"/>
      <c r="W38" s="29"/>
      <c r="X38" s="29"/>
      <c r="Y38" s="29"/>
      <c r="Z38" s="29"/>
      <c r="AA38" s="29"/>
      <c r="AB38" s="29"/>
    </row>
    <row r="39" spans="1:28" ht="12.75" customHeight="1" x14ac:dyDescent="0.25">
      <c r="A39" s="47">
        <v>26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28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29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4" spans="1:28" ht="12.75" customHeight="1" x14ac:dyDescent="0.25">
      <c r="A44" s="23">
        <v>31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3"/>
      <c r="W44" s="23"/>
      <c r="X44" s="23"/>
      <c r="Y44" s="23"/>
      <c r="Z44" s="23"/>
      <c r="AA44" s="23"/>
      <c r="AB44" s="23"/>
    </row>
    <row r="45" spans="1:28" ht="12.75" customHeight="1" x14ac:dyDescent="0.25">
      <c r="A45" s="47">
        <v>32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3"/>
      <c r="W45" s="23"/>
      <c r="X45" s="23"/>
      <c r="Y45" s="23"/>
      <c r="Z45" s="23"/>
      <c r="AA45" s="23"/>
      <c r="AB45" s="23"/>
    </row>
    <row r="47" spans="1:28" ht="13.5" customHeight="1" x14ac:dyDescent="0.25">
      <c r="A47" s="12" t="s">
        <v>94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3.5" customHeight="1" x14ac:dyDescent="0.25">
      <c r="A48" s="48" t="s">
        <v>95</v>
      </c>
      <c r="B48" s="49">
        <f t="shared" ref="B48:AB48" si="0">SUM(B14:B45)</f>
        <v>0</v>
      </c>
      <c r="C48" s="49">
        <f t="shared" si="0"/>
        <v>0</v>
      </c>
      <c r="D48" s="49">
        <f t="shared" si="0"/>
        <v>0</v>
      </c>
      <c r="E48" s="49">
        <f t="shared" si="0"/>
        <v>0</v>
      </c>
      <c r="F48" s="49">
        <f t="shared" si="0"/>
        <v>0</v>
      </c>
      <c r="G48" s="49">
        <f t="shared" si="0"/>
        <v>0</v>
      </c>
      <c r="H48" s="49">
        <f t="shared" si="0"/>
        <v>0</v>
      </c>
      <c r="I48" s="49">
        <f t="shared" si="0"/>
        <v>0</v>
      </c>
      <c r="J48" s="49">
        <f t="shared" si="0"/>
        <v>0</v>
      </c>
      <c r="K48" s="49">
        <f t="shared" si="0"/>
        <v>0</v>
      </c>
      <c r="L48" s="49">
        <f t="shared" si="0"/>
        <v>0</v>
      </c>
      <c r="M48" s="49">
        <f t="shared" si="0"/>
        <v>0</v>
      </c>
      <c r="N48" s="49">
        <f t="shared" si="0"/>
        <v>0</v>
      </c>
      <c r="O48" s="49">
        <f t="shared" si="0"/>
        <v>0</v>
      </c>
      <c r="P48" s="49">
        <f t="shared" si="0"/>
        <v>0</v>
      </c>
      <c r="Q48" s="49">
        <f t="shared" si="0"/>
        <v>0</v>
      </c>
      <c r="R48" s="49">
        <f t="shared" si="0"/>
        <v>0</v>
      </c>
      <c r="S48" s="49">
        <f t="shared" si="0"/>
        <v>0</v>
      </c>
      <c r="T48" s="49">
        <f t="shared" si="0"/>
        <v>0</v>
      </c>
      <c r="U48" s="49">
        <f t="shared" si="0"/>
        <v>0</v>
      </c>
      <c r="V48" s="50">
        <f t="shared" si="0"/>
        <v>0</v>
      </c>
      <c r="W48" s="50">
        <f t="shared" si="0"/>
        <v>0</v>
      </c>
      <c r="X48" s="50">
        <f t="shared" si="0"/>
        <v>0</v>
      </c>
      <c r="Y48" s="50">
        <f t="shared" si="0"/>
        <v>0</v>
      </c>
      <c r="Z48" s="50">
        <f t="shared" si="0"/>
        <v>0</v>
      </c>
      <c r="AA48" s="50">
        <f t="shared" si="0"/>
        <v>0</v>
      </c>
      <c r="AB48" s="50">
        <f t="shared" si="0"/>
        <v>0</v>
      </c>
    </row>
    <row r="49" spans="1:28" ht="12" customHeight="1" x14ac:dyDescent="0.25">
      <c r="A49" s="51" t="s">
        <v>96</v>
      </c>
      <c r="B49" s="1">
        <v>32</v>
      </c>
      <c r="C49" s="1"/>
      <c r="D49" s="1"/>
      <c r="E49" s="1"/>
      <c r="F49" s="1">
        <v>32</v>
      </c>
      <c r="G49" s="1"/>
      <c r="H49" s="1"/>
      <c r="I49" s="1"/>
      <c r="J49" s="1">
        <v>32</v>
      </c>
      <c r="K49" s="1"/>
      <c r="L49" s="1"/>
      <c r="M49" s="1"/>
      <c r="N49" s="1">
        <v>32</v>
      </c>
      <c r="O49" s="1"/>
      <c r="P49" s="1"/>
      <c r="Q49" s="1"/>
      <c r="R49" s="1">
        <v>32</v>
      </c>
      <c r="S49" s="1"/>
      <c r="T49" s="1"/>
      <c r="U49" s="1"/>
    </row>
    <row r="50" spans="1:28" ht="13.5" customHeight="1" x14ac:dyDescent="0.25">
      <c r="A50" s="52" t="s">
        <v>97</v>
      </c>
      <c r="B50" s="84">
        <f>(32-(SUM(B14:B45)+SUM(C14:C45)+SUM(D14:D45)+SUM(E14:E45)))/32</f>
        <v>1</v>
      </c>
      <c r="C50" s="84"/>
      <c r="D50" s="84"/>
      <c r="E50" s="84"/>
      <c r="F50" s="84">
        <f>(32-(SUM(F14:F45)+SUM(G14:G45)+SUM(H14:H45)+SUM(I14:I45)))/32</f>
        <v>1</v>
      </c>
      <c r="G50" s="84"/>
      <c r="H50" s="84"/>
      <c r="I50" s="84"/>
      <c r="J50" s="84">
        <f>(32-(SUM(J14:J45)+SUM(K14:K45)+SUM(L14:L45)+SUM(M14:M45)))/32</f>
        <v>1</v>
      </c>
      <c r="K50" s="84"/>
      <c r="L50" s="84"/>
      <c r="M50" s="84"/>
      <c r="N50" s="84">
        <f>(32-(SUM(N14:N45)+SUM(O14:O45)+SUM(P14:P45)+SUM(Q14:Q45)))/32</f>
        <v>1</v>
      </c>
      <c r="O50" s="84"/>
      <c r="P50" s="84"/>
      <c r="Q50" s="84"/>
      <c r="R50" s="84">
        <f>(32-(SUM(R14:R45)+SUM(S14:S45)+SUM(T14:T45)+SUM(U14:U45)))/32</f>
        <v>1</v>
      </c>
      <c r="S50" s="84"/>
      <c r="T50" s="84"/>
      <c r="U50" s="84"/>
      <c r="V50" s="85">
        <f>AVERAGE(B50,F50,J50,N50,R50)</f>
        <v>1</v>
      </c>
      <c r="W50" s="85"/>
      <c r="X50" s="85"/>
      <c r="Y50" s="53" t="s">
        <v>98</v>
      </c>
      <c r="Z50" s="23"/>
      <c r="AA50" s="23"/>
      <c r="AB50" s="23"/>
    </row>
    <row r="51" spans="1:28" ht="12" customHeight="1" x14ac:dyDescent="0.25">
      <c r="A51" s="54" t="s">
        <v>99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55">
        <v>5</v>
      </c>
      <c r="W51" s="55">
        <v>1</v>
      </c>
      <c r="X51" s="55">
        <v>4</v>
      </c>
      <c r="Y51" s="55">
        <v>8</v>
      </c>
      <c r="Z51" s="55">
        <v>3</v>
      </c>
      <c r="AA51" s="55">
        <v>3</v>
      </c>
      <c r="AB51" s="55">
        <v>10</v>
      </c>
    </row>
    <row r="52" spans="1:28" ht="13.5" customHeight="1" x14ac:dyDescent="0.25">
      <c r="A52" s="52" t="s">
        <v>100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7">
        <f>IF((V51+W51+X51+Y51+Z51+AA51+AB51)=0,"",(V51+W51+X51+Y51+Z51+AA51+AB51-(V48+W48+X48+Y48+Z48+AA48+AB48))/(V51+W51+X51+Y51+Z51+AA51+AB51))</f>
        <v>1</v>
      </c>
      <c r="W52" s="86" t="s">
        <v>101</v>
      </c>
      <c r="X52" s="86"/>
      <c r="Y52" s="86"/>
      <c r="Z52" s="23"/>
      <c r="AA52" s="23"/>
      <c r="AB52" s="23"/>
    </row>
    <row r="54" spans="1:28" ht="13.5" customHeight="1" x14ac:dyDescent="0.25">
      <c r="A54" s="12" t="s">
        <v>102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x14ac:dyDescent="0.25">
      <c r="A55" s="17" t="s">
        <v>103</v>
      </c>
      <c r="B55" s="17" t="s">
        <v>104</v>
      </c>
      <c r="C55" s="17" t="s">
        <v>105</v>
      </c>
      <c r="D55" s="17" t="s">
        <v>106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spans="1:28" x14ac:dyDescent="0.25">
      <c r="A56" s="27" t="s">
        <v>60</v>
      </c>
      <c r="B56" s="59">
        <v>25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63</v>
      </c>
      <c r="B57" s="59">
        <v>55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69</v>
      </c>
      <c r="B58" s="59">
        <v>9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x14ac:dyDescent="0.25">
      <c r="A59" s="27" t="s">
        <v>66</v>
      </c>
      <c r="B59" s="59">
        <v>10</v>
      </c>
      <c r="C59" s="29"/>
      <c r="D59" s="59">
        <f>IF(C59="",0,C59*B59)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x14ac:dyDescent="0.25">
      <c r="A60" s="27" t="s">
        <v>107</v>
      </c>
      <c r="B60" s="59">
        <v>100</v>
      </c>
      <c r="C60" s="29"/>
      <c r="D60" s="59">
        <f>IF(C60="",0,C60*B60)</f>
        <v>0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spans="1:28" ht="13.5" customHeight="1" x14ac:dyDescent="0.25">
      <c r="A61" s="60" t="s">
        <v>108</v>
      </c>
      <c r="B61" s="56"/>
      <c r="C61" s="56"/>
      <c r="D61" s="61">
        <f>SUM(D56,D57,D58,D59,D60)</f>
        <v>0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3" spans="1:28" ht="18" customHeight="1" x14ac:dyDescent="0.25">
      <c r="A63" s="87" t="s">
        <v>109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</row>
    <row r="64" spans="1:28" ht="13.5" customHeight="1" x14ac:dyDescent="0.25">
      <c r="A64" s="88" t="s">
        <v>110</v>
      </c>
      <c r="B64" s="88"/>
      <c r="C64" s="88"/>
      <c r="D64" s="88" t="s">
        <v>111</v>
      </c>
      <c r="E64" s="88"/>
      <c r="F64" s="88"/>
      <c r="G64" s="88" t="s">
        <v>112</v>
      </c>
      <c r="H64" s="88"/>
      <c r="I64" s="8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spans="1:28" ht="18" customHeight="1" x14ac:dyDescent="0.25">
      <c r="A65" s="89">
        <f>V50</f>
        <v>1</v>
      </c>
      <c r="B65" s="89"/>
      <c r="C65" s="89"/>
      <c r="D65" s="89">
        <f>V52</f>
        <v>1</v>
      </c>
      <c r="E65" s="89"/>
      <c r="F65" s="89"/>
      <c r="G65" s="62">
        <f>D61</f>
        <v>0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7" spans="1:28" x14ac:dyDescent="0.25">
      <c r="A67" s="8" t="s">
        <v>113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25">
      <c r="A68" s="17" t="s">
        <v>114</v>
      </c>
      <c r="B68" s="17" t="s">
        <v>43</v>
      </c>
      <c r="C68" s="17" t="s">
        <v>44</v>
      </c>
      <c r="D68" s="17" t="s">
        <v>45</v>
      </c>
      <c r="E68" s="17" t="s">
        <v>46</v>
      </c>
      <c r="F68" s="17" t="s">
        <v>47</v>
      </c>
      <c r="G68" s="17" t="s">
        <v>48</v>
      </c>
      <c r="H68" s="17" t="s">
        <v>93</v>
      </c>
      <c r="I68" s="17" t="s">
        <v>115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spans="1:28" x14ac:dyDescent="0.25">
      <c r="A69" s="21" t="s">
        <v>51</v>
      </c>
      <c r="B69" s="63">
        <v>2</v>
      </c>
      <c r="C69" s="23"/>
      <c r="D69" s="63">
        <v>1</v>
      </c>
      <c r="E69" s="63">
        <v>2</v>
      </c>
      <c r="F69" s="23"/>
      <c r="G69" s="23"/>
      <c r="H69" s="23"/>
      <c r="I69" s="21">
        <v>5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spans="1:28" x14ac:dyDescent="0.25">
      <c r="A70" s="21" t="s">
        <v>52</v>
      </c>
      <c r="B70" s="63">
        <v>1</v>
      </c>
      <c r="C70" s="23"/>
      <c r="D70" s="63">
        <v>2</v>
      </c>
      <c r="E70" s="63">
        <v>3</v>
      </c>
      <c r="F70" s="23"/>
      <c r="G70" s="63">
        <v>1</v>
      </c>
      <c r="H70" s="63">
        <v>5</v>
      </c>
      <c r="I70" s="21">
        <v>12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spans="1:28" x14ac:dyDescent="0.25">
      <c r="A71" s="21" t="s">
        <v>53</v>
      </c>
      <c r="B71" s="63">
        <v>2</v>
      </c>
      <c r="C71" s="23"/>
      <c r="D71" s="23"/>
      <c r="E71" s="63">
        <v>1</v>
      </c>
      <c r="F71" s="63">
        <v>2</v>
      </c>
      <c r="G71" s="63">
        <v>2</v>
      </c>
      <c r="H71" s="63">
        <v>5</v>
      </c>
      <c r="I71" s="21">
        <v>12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spans="1:28" x14ac:dyDescent="0.25">
      <c r="A72" s="21" t="s">
        <v>54</v>
      </c>
      <c r="B72" s="23"/>
      <c r="C72" s="63">
        <v>1</v>
      </c>
      <c r="D72" s="63">
        <v>1</v>
      </c>
      <c r="E72" s="63">
        <v>2</v>
      </c>
      <c r="F72" s="63">
        <v>1</v>
      </c>
      <c r="G72" s="23"/>
      <c r="H72" s="23"/>
      <c r="I72" s="21">
        <v>5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spans="1:28" x14ac:dyDescent="0.25">
      <c r="A73" s="24" t="s">
        <v>116</v>
      </c>
      <c r="B73" s="25">
        <v>5</v>
      </c>
      <c r="C73" s="25">
        <v>1</v>
      </c>
      <c r="D73" s="25">
        <v>4</v>
      </c>
      <c r="E73" s="25">
        <v>8</v>
      </c>
      <c r="F73" s="25">
        <v>3</v>
      </c>
      <c r="G73" s="25">
        <v>3</v>
      </c>
      <c r="H73" s="25">
        <v>10</v>
      </c>
      <c r="I73" s="24">
        <v>34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</sheetData>
  <mergeCells count="31">
    <mergeCell ref="A65:C65"/>
    <mergeCell ref="D65:F65"/>
    <mergeCell ref="A67:AB67"/>
    <mergeCell ref="V50:X50"/>
    <mergeCell ref="W52:Y52"/>
    <mergeCell ref="A54:AB54"/>
    <mergeCell ref="A63:AB63"/>
    <mergeCell ref="A64:C64"/>
    <mergeCell ref="D64:F64"/>
    <mergeCell ref="G64:I64"/>
    <mergeCell ref="B50:E50"/>
    <mergeCell ref="F50:I50"/>
    <mergeCell ref="J50:M50"/>
    <mergeCell ref="N50:Q50"/>
    <mergeCell ref="R50:U50"/>
    <mergeCell ref="A47:AB47"/>
    <mergeCell ref="B49:E49"/>
    <mergeCell ref="F49:I49"/>
    <mergeCell ref="J49:M49"/>
    <mergeCell ref="N49:Q49"/>
    <mergeCell ref="R49:U49"/>
    <mergeCell ref="A1:AB1"/>
    <mergeCell ref="A2:AB2"/>
    <mergeCell ref="A3:AB3"/>
    <mergeCell ref="A11:AB11"/>
    <mergeCell ref="B12:E12"/>
    <mergeCell ref="F12:I12"/>
    <mergeCell ref="J12:M12"/>
    <mergeCell ref="N12:Q12"/>
    <mergeCell ref="R12:U12"/>
    <mergeCell ref="V12:A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B73"/>
  <sheetViews>
    <sheetView zoomScaleNormal="100" workbookViewId="0">
      <pane xSplit="1" topLeftCell="B1" activePane="topRight" state="frozen"/>
      <selection pane="topRight" sqref="A1:AB1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72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4" customHeight="1" x14ac:dyDescent="0.25">
      <c r="A4" s="26" t="s">
        <v>73</v>
      </c>
      <c r="B4" s="26" t="s">
        <v>74</v>
      </c>
      <c r="C4" s="26" t="s">
        <v>75</v>
      </c>
      <c r="D4" s="26" t="s">
        <v>76</v>
      </c>
      <c r="E4" s="26" t="s">
        <v>77</v>
      </c>
      <c r="F4" s="26" t="s">
        <v>78</v>
      </c>
      <c r="G4" s="26" t="s">
        <v>79</v>
      </c>
      <c r="H4" s="26" t="s">
        <v>80</v>
      </c>
      <c r="I4" s="26" t="s">
        <v>81</v>
      </c>
      <c r="J4" s="26" t="s">
        <v>82</v>
      </c>
      <c r="K4" s="26" t="s">
        <v>83</v>
      </c>
    </row>
    <row r="5" spans="1:28" ht="13.5" customHeight="1" x14ac:dyDescent="0.25">
      <c r="A5" s="32" t="s">
        <v>60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28" ht="13.5" customHeight="1" x14ac:dyDescent="0.25">
      <c r="A6" s="33" t="s">
        <v>63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28" ht="13.5" customHeight="1" x14ac:dyDescent="0.25">
      <c r="A7" s="34" t="s">
        <v>84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28" ht="13.5" customHeight="1" x14ac:dyDescent="0.25">
      <c r="A8" s="35" t="s">
        <v>85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28" ht="13.5" customHeight="1" x14ac:dyDescent="0.25">
      <c r="A9" s="36" t="s">
        <v>86</v>
      </c>
      <c r="B9" s="29"/>
      <c r="C9" s="29"/>
      <c r="D9" s="29"/>
      <c r="E9" s="29"/>
      <c r="F9" s="29"/>
      <c r="G9" s="29"/>
      <c r="H9" s="29"/>
      <c r="I9" s="29"/>
      <c r="J9" s="29"/>
      <c r="K9" s="29"/>
    </row>
    <row r="11" spans="1:28" ht="13.5" customHeight="1" x14ac:dyDescent="0.25">
      <c r="A11" s="12" t="s">
        <v>87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13.5" customHeight="1" x14ac:dyDescent="0.25">
      <c r="A12" s="37" t="s">
        <v>42</v>
      </c>
      <c r="B12" s="7" t="s">
        <v>60</v>
      </c>
      <c r="C12" s="7"/>
      <c r="D12" s="7"/>
      <c r="E12" s="7"/>
      <c r="F12" s="6" t="s">
        <v>63</v>
      </c>
      <c r="G12" s="6"/>
      <c r="H12" s="6"/>
      <c r="I12" s="6"/>
      <c r="J12" s="5" t="s">
        <v>84</v>
      </c>
      <c r="K12" s="5"/>
      <c r="L12" s="5"/>
      <c r="M12" s="5"/>
      <c r="N12" s="4" t="s">
        <v>85</v>
      </c>
      <c r="O12" s="4"/>
      <c r="P12" s="4"/>
      <c r="Q12" s="4"/>
      <c r="R12" s="3" t="s">
        <v>86</v>
      </c>
      <c r="S12" s="3"/>
      <c r="T12" s="3"/>
      <c r="U12" s="3"/>
      <c r="V12" s="2" t="s">
        <v>88</v>
      </c>
      <c r="W12" s="2"/>
      <c r="X12" s="2"/>
      <c r="Y12" s="2"/>
      <c r="Z12" s="2"/>
      <c r="AA12" s="2"/>
      <c r="AB12" s="2"/>
    </row>
    <row r="13" spans="1:28" ht="24" customHeight="1" x14ac:dyDescent="0.25">
      <c r="A13" s="38"/>
      <c r="B13" s="39" t="s">
        <v>89</v>
      </c>
      <c r="C13" s="39" t="s">
        <v>90</v>
      </c>
      <c r="D13" s="39" t="s">
        <v>91</v>
      </c>
      <c r="E13" s="39" t="s">
        <v>92</v>
      </c>
      <c r="F13" s="40" t="s">
        <v>89</v>
      </c>
      <c r="G13" s="40" t="s">
        <v>90</v>
      </c>
      <c r="H13" s="40" t="s">
        <v>91</v>
      </c>
      <c r="I13" s="40" t="s">
        <v>92</v>
      </c>
      <c r="J13" s="41" t="s">
        <v>89</v>
      </c>
      <c r="K13" s="41" t="s">
        <v>90</v>
      </c>
      <c r="L13" s="41" t="s">
        <v>91</v>
      </c>
      <c r="M13" s="41" t="s">
        <v>92</v>
      </c>
      <c r="N13" s="42" t="s">
        <v>89</v>
      </c>
      <c r="O13" s="42" t="s">
        <v>90</v>
      </c>
      <c r="P13" s="42" t="s">
        <v>91</v>
      </c>
      <c r="Q13" s="42" t="s">
        <v>92</v>
      </c>
      <c r="R13" s="43" t="s">
        <v>89</v>
      </c>
      <c r="S13" s="43" t="s">
        <v>90</v>
      </c>
      <c r="T13" s="43" t="s">
        <v>91</v>
      </c>
      <c r="U13" s="43" t="s">
        <v>92</v>
      </c>
      <c r="V13" s="44" t="s">
        <v>43</v>
      </c>
      <c r="W13" s="44" t="s">
        <v>44</v>
      </c>
      <c r="X13" s="44" t="s">
        <v>45</v>
      </c>
      <c r="Y13" s="44" t="s">
        <v>46</v>
      </c>
      <c r="Z13" s="44" t="s">
        <v>47</v>
      </c>
      <c r="AA13" s="44" t="s">
        <v>48</v>
      </c>
      <c r="AB13" s="44" t="s">
        <v>93</v>
      </c>
    </row>
    <row r="14" spans="1:28" ht="12.75" customHeight="1" x14ac:dyDescent="0.25">
      <c r="A14" s="45">
        <v>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29"/>
      <c r="W14" s="29"/>
      <c r="X14" s="29"/>
      <c r="Y14" s="29"/>
      <c r="Z14" s="29"/>
      <c r="AA14" s="29"/>
      <c r="AB14" s="29"/>
    </row>
    <row r="15" spans="1:28" ht="12.75" customHeight="1" x14ac:dyDescent="0.25">
      <c r="A15" s="47">
        <v>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45">
        <v>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9"/>
      <c r="W22" s="29"/>
      <c r="X22" s="29"/>
      <c r="Y22" s="29"/>
      <c r="Z22" s="29"/>
      <c r="AA22" s="29"/>
      <c r="AB22" s="29"/>
    </row>
    <row r="23" spans="1:28" ht="12.75" customHeight="1" x14ac:dyDescent="0.25">
      <c r="A23" s="47">
        <v>10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45">
        <v>17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29"/>
      <c r="W30" s="29"/>
      <c r="X30" s="29"/>
      <c r="Y30" s="29"/>
      <c r="Z30" s="29"/>
      <c r="AA30" s="29"/>
      <c r="AB30" s="29"/>
    </row>
    <row r="31" spans="1:28" ht="12.75" customHeight="1" x14ac:dyDescent="0.25">
      <c r="A31" s="47">
        <v>18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19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45">
        <v>25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9"/>
      <c r="W38" s="29"/>
      <c r="X38" s="29"/>
      <c r="Y38" s="29"/>
      <c r="Z38" s="29"/>
      <c r="AA38" s="29"/>
      <c r="AB38" s="29"/>
    </row>
    <row r="39" spans="1:28" ht="12.75" customHeight="1" x14ac:dyDescent="0.25">
      <c r="A39" s="47">
        <v>26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28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29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4" spans="1:28" ht="12.75" customHeight="1" x14ac:dyDescent="0.25">
      <c r="A44" s="23">
        <v>31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3"/>
      <c r="W44" s="23"/>
      <c r="X44" s="23"/>
      <c r="Y44" s="23"/>
      <c r="Z44" s="23"/>
      <c r="AA44" s="23"/>
      <c r="AB44" s="23"/>
    </row>
    <row r="45" spans="1:28" ht="12.75" customHeight="1" x14ac:dyDescent="0.25">
      <c r="A45" s="47">
        <v>32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3"/>
      <c r="W45" s="23"/>
      <c r="X45" s="23"/>
      <c r="Y45" s="23"/>
      <c r="Z45" s="23"/>
      <c r="AA45" s="23"/>
      <c r="AB45" s="23"/>
    </row>
    <row r="47" spans="1:28" ht="13.5" customHeight="1" x14ac:dyDescent="0.25">
      <c r="A47" s="12" t="s">
        <v>94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3.5" customHeight="1" x14ac:dyDescent="0.25">
      <c r="A48" s="48" t="s">
        <v>95</v>
      </c>
      <c r="B48" s="49">
        <f t="shared" ref="B48:AB48" si="0">SUM(B14:B45)</f>
        <v>0</v>
      </c>
      <c r="C48" s="49">
        <f t="shared" si="0"/>
        <v>0</v>
      </c>
      <c r="D48" s="49">
        <f t="shared" si="0"/>
        <v>0</v>
      </c>
      <c r="E48" s="49">
        <f t="shared" si="0"/>
        <v>0</v>
      </c>
      <c r="F48" s="49">
        <f t="shared" si="0"/>
        <v>0</v>
      </c>
      <c r="G48" s="49">
        <f t="shared" si="0"/>
        <v>0</v>
      </c>
      <c r="H48" s="49">
        <f t="shared" si="0"/>
        <v>0</v>
      </c>
      <c r="I48" s="49">
        <f t="shared" si="0"/>
        <v>0</v>
      </c>
      <c r="J48" s="49">
        <f t="shared" si="0"/>
        <v>0</v>
      </c>
      <c r="K48" s="49">
        <f t="shared" si="0"/>
        <v>0</v>
      </c>
      <c r="L48" s="49">
        <f t="shared" si="0"/>
        <v>0</v>
      </c>
      <c r="M48" s="49">
        <f t="shared" si="0"/>
        <v>0</v>
      </c>
      <c r="N48" s="49">
        <f t="shared" si="0"/>
        <v>0</v>
      </c>
      <c r="O48" s="49">
        <f t="shared" si="0"/>
        <v>0</v>
      </c>
      <c r="P48" s="49">
        <f t="shared" si="0"/>
        <v>0</v>
      </c>
      <c r="Q48" s="49">
        <f t="shared" si="0"/>
        <v>0</v>
      </c>
      <c r="R48" s="49">
        <f t="shared" si="0"/>
        <v>0</v>
      </c>
      <c r="S48" s="49">
        <f t="shared" si="0"/>
        <v>0</v>
      </c>
      <c r="T48" s="49">
        <f t="shared" si="0"/>
        <v>0</v>
      </c>
      <c r="U48" s="49">
        <f t="shared" si="0"/>
        <v>0</v>
      </c>
      <c r="V48" s="50">
        <f t="shared" si="0"/>
        <v>0</v>
      </c>
      <c r="W48" s="50">
        <f t="shared" si="0"/>
        <v>0</v>
      </c>
      <c r="X48" s="50">
        <f t="shared" si="0"/>
        <v>0</v>
      </c>
      <c r="Y48" s="50">
        <f t="shared" si="0"/>
        <v>0</v>
      </c>
      <c r="Z48" s="50">
        <f t="shared" si="0"/>
        <v>0</v>
      </c>
      <c r="AA48" s="50">
        <f t="shared" si="0"/>
        <v>0</v>
      </c>
      <c r="AB48" s="50">
        <f t="shared" si="0"/>
        <v>0</v>
      </c>
    </row>
    <row r="49" spans="1:28" ht="12" customHeight="1" x14ac:dyDescent="0.25">
      <c r="A49" s="51" t="s">
        <v>96</v>
      </c>
      <c r="B49" s="1">
        <v>32</v>
      </c>
      <c r="C49" s="1"/>
      <c r="D49" s="1"/>
      <c r="E49" s="1"/>
      <c r="F49" s="1">
        <v>32</v>
      </c>
      <c r="G49" s="1"/>
      <c r="H49" s="1"/>
      <c r="I49" s="1"/>
      <c r="J49" s="1">
        <v>32</v>
      </c>
      <c r="K49" s="1"/>
      <c r="L49" s="1"/>
      <c r="M49" s="1"/>
      <c r="N49" s="1">
        <v>32</v>
      </c>
      <c r="O49" s="1"/>
      <c r="P49" s="1"/>
      <c r="Q49" s="1"/>
      <c r="R49" s="1">
        <v>32</v>
      </c>
      <c r="S49" s="1"/>
      <c r="T49" s="1"/>
      <c r="U49" s="1"/>
    </row>
    <row r="50" spans="1:28" ht="13.5" customHeight="1" x14ac:dyDescent="0.25">
      <c r="A50" s="52" t="s">
        <v>97</v>
      </c>
      <c r="B50" s="84">
        <f>(32-(SUM(B14:B45)+SUM(C14:C45)+SUM(D14:D45)+SUM(E14:E45)))/32</f>
        <v>1</v>
      </c>
      <c r="C50" s="84"/>
      <c r="D50" s="84"/>
      <c r="E50" s="84"/>
      <c r="F50" s="84">
        <f>(32-(SUM(F14:F45)+SUM(G14:G45)+SUM(H14:H45)+SUM(I14:I45)))/32</f>
        <v>1</v>
      </c>
      <c r="G50" s="84"/>
      <c r="H50" s="84"/>
      <c r="I50" s="84"/>
      <c r="J50" s="84">
        <f>(32-(SUM(J14:J45)+SUM(K14:K45)+SUM(L14:L45)+SUM(M14:M45)))/32</f>
        <v>1</v>
      </c>
      <c r="K50" s="84"/>
      <c r="L50" s="84"/>
      <c r="M50" s="84"/>
      <c r="N50" s="84">
        <f>(32-(SUM(N14:N45)+SUM(O14:O45)+SUM(P14:P45)+SUM(Q14:Q45)))/32</f>
        <v>1</v>
      </c>
      <c r="O50" s="84"/>
      <c r="P50" s="84"/>
      <c r="Q50" s="84"/>
      <c r="R50" s="84">
        <f>(32-(SUM(R14:R45)+SUM(S14:S45)+SUM(T14:T45)+SUM(U14:U45)))/32</f>
        <v>1</v>
      </c>
      <c r="S50" s="84"/>
      <c r="T50" s="84"/>
      <c r="U50" s="84"/>
      <c r="V50" s="85">
        <f>AVERAGE(B50,F50,J50,N50,R50)</f>
        <v>1</v>
      </c>
      <c r="W50" s="85"/>
      <c r="X50" s="85"/>
      <c r="Y50" s="53" t="s">
        <v>98</v>
      </c>
      <c r="Z50" s="23"/>
      <c r="AA50" s="23"/>
      <c r="AB50" s="23"/>
    </row>
    <row r="51" spans="1:28" ht="12" customHeight="1" x14ac:dyDescent="0.25">
      <c r="A51" s="54" t="s">
        <v>99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55">
        <v>5</v>
      </c>
      <c r="W51" s="55">
        <v>1</v>
      </c>
      <c r="X51" s="55">
        <v>4</v>
      </c>
      <c r="Y51" s="55">
        <v>8</v>
      </c>
      <c r="Z51" s="55">
        <v>3</v>
      </c>
      <c r="AA51" s="55">
        <v>3</v>
      </c>
      <c r="AB51" s="55">
        <v>10</v>
      </c>
    </row>
    <row r="52" spans="1:28" ht="13.5" customHeight="1" x14ac:dyDescent="0.25">
      <c r="A52" s="52" t="s">
        <v>100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7">
        <f>IF((V51+W51+X51+Y51+Z51+AA51+AB51)=0,"",(V51+W51+X51+Y51+Z51+AA51+AB51-(V48+W48+X48+Y48+Z48+AA48+AB48))/(V51+W51+X51+Y51+Z51+AA51+AB51))</f>
        <v>1</v>
      </c>
      <c r="W52" s="86" t="s">
        <v>101</v>
      </c>
      <c r="X52" s="86"/>
      <c r="Y52" s="86"/>
      <c r="Z52" s="23"/>
      <c r="AA52" s="23"/>
      <c r="AB52" s="23"/>
    </row>
    <row r="54" spans="1:28" ht="13.5" customHeight="1" x14ac:dyDescent="0.25">
      <c r="A54" s="12" t="s">
        <v>102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x14ac:dyDescent="0.25">
      <c r="A55" s="17" t="s">
        <v>103</v>
      </c>
      <c r="B55" s="17" t="s">
        <v>104</v>
      </c>
      <c r="C55" s="17" t="s">
        <v>105</v>
      </c>
      <c r="D55" s="17" t="s">
        <v>106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spans="1:28" x14ac:dyDescent="0.25">
      <c r="A56" s="27" t="s">
        <v>60</v>
      </c>
      <c r="B56" s="59">
        <v>25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63</v>
      </c>
      <c r="B57" s="59">
        <v>55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69</v>
      </c>
      <c r="B58" s="59">
        <v>9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x14ac:dyDescent="0.25">
      <c r="A59" s="27" t="s">
        <v>66</v>
      </c>
      <c r="B59" s="59">
        <v>10</v>
      </c>
      <c r="C59" s="29"/>
      <c r="D59" s="59">
        <f>IF(C59="",0,C59*B59)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x14ac:dyDescent="0.25">
      <c r="A60" s="27" t="s">
        <v>107</v>
      </c>
      <c r="B60" s="59">
        <v>100</v>
      </c>
      <c r="C60" s="29"/>
      <c r="D60" s="59">
        <f>IF(C60="",0,C60*B60)</f>
        <v>0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spans="1:28" ht="13.5" customHeight="1" x14ac:dyDescent="0.25">
      <c r="A61" s="60" t="s">
        <v>108</v>
      </c>
      <c r="B61" s="56"/>
      <c r="C61" s="56"/>
      <c r="D61" s="61">
        <f>SUM(D56,D57,D58,D59,D60)</f>
        <v>0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3" spans="1:28" ht="18" customHeight="1" x14ac:dyDescent="0.25">
      <c r="A63" s="87" t="s">
        <v>118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</row>
    <row r="64" spans="1:28" ht="13.5" customHeight="1" x14ac:dyDescent="0.25">
      <c r="A64" s="88" t="s">
        <v>110</v>
      </c>
      <c r="B64" s="88"/>
      <c r="C64" s="88"/>
      <c r="D64" s="88" t="s">
        <v>111</v>
      </c>
      <c r="E64" s="88"/>
      <c r="F64" s="88"/>
      <c r="G64" s="88" t="s">
        <v>112</v>
      </c>
      <c r="H64" s="88"/>
      <c r="I64" s="8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spans="1:28" ht="18" customHeight="1" x14ac:dyDescent="0.25">
      <c r="A65" s="89">
        <f>V50</f>
        <v>1</v>
      </c>
      <c r="B65" s="89"/>
      <c r="C65" s="89"/>
      <c r="D65" s="89">
        <f>V52</f>
        <v>1</v>
      </c>
      <c r="E65" s="89"/>
      <c r="F65" s="89"/>
      <c r="G65" s="62">
        <f>D61</f>
        <v>0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7" spans="1:28" x14ac:dyDescent="0.25">
      <c r="A67" s="8" t="s">
        <v>113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25">
      <c r="A68" s="17" t="s">
        <v>114</v>
      </c>
      <c r="B68" s="17" t="s">
        <v>43</v>
      </c>
      <c r="C68" s="17" t="s">
        <v>44</v>
      </c>
      <c r="D68" s="17" t="s">
        <v>45</v>
      </c>
      <c r="E68" s="17" t="s">
        <v>46</v>
      </c>
      <c r="F68" s="17" t="s">
        <v>47</v>
      </c>
      <c r="G68" s="17" t="s">
        <v>48</v>
      </c>
      <c r="H68" s="17" t="s">
        <v>93</v>
      </c>
      <c r="I68" s="17" t="s">
        <v>115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spans="1:28" x14ac:dyDescent="0.25">
      <c r="A69" s="21" t="s">
        <v>51</v>
      </c>
      <c r="B69" s="63">
        <v>2</v>
      </c>
      <c r="C69" s="23"/>
      <c r="D69" s="63">
        <v>1</v>
      </c>
      <c r="E69" s="63">
        <v>2</v>
      </c>
      <c r="F69" s="23"/>
      <c r="G69" s="23"/>
      <c r="H69" s="23"/>
      <c r="I69" s="21">
        <v>5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spans="1:28" x14ac:dyDescent="0.25">
      <c r="A70" s="21" t="s">
        <v>52</v>
      </c>
      <c r="B70" s="63">
        <v>1</v>
      </c>
      <c r="C70" s="23"/>
      <c r="D70" s="63">
        <v>2</v>
      </c>
      <c r="E70" s="63">
        <v>3</v>
      </c>
      <c r="F70" s="23"/>
      <c r="G70" s="63">
        <v>1</v>
      </c>
      <c r="H70" s="63">
        <v>5</v>
      </c>
      <c r="I70" s="21">
        <v>12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spans="1:28" x14ac:dyDescent="0.25">
      <c r="A71" s="21" t="s">
        <v>53</v>
      </c>
      <c r="B71" s="63">
        <v>2</v>
      </c>
      <c r="C71" s="23"/>
      <c r="D71" s="23"/>
      <c r="E71" s="63">
        <v>1</v>
      </c>
      <c r="F71" s="63">
        <v>2</v>
      </c>
      <c r="G71" s="63">
        <v>2</v>
      </c>
      <c r="H71" s="63">
        <v>5</v>
      </c>
      <c r="I71" s="21">
        <v>12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spans="1:28" x14ac:dyDescent="0.25">
      <c r="A72" s="21" t="s">
        <v>54</v>
      </c>
      <c r="B72" s="23"/>
      <c r="C72" s="63">
        <v>1</v>
      </c>
      <c r="D72" s="63">
        <v>1</v>
      </c>
      <c r="E72" s="63">
        <v>2</v>
      </c>
      <c r="F72" s="63">
        <v>1</v>
      </c>
      <c r="G72" s="23"/>
      <c r="H72" s="23"/>
      <c r="I72" s="21">
        <v>5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spans="1:28" x14ac:dyDescent="0.25">
      <c r="A73" s="24" t="s">
        <v>116</v>
      </c>
      <c r="B73" s="25">
        <v>5</v>
      </c>
      <c r="C73" s="25">
        <v>1</v>
      </c>
      <c r="D73" s="25">
        <v>4</v>
      </c>
      <c r="E73" s="25">
        <v>8</v>
      </c>
      <c r="F73" s="25">
        <v>3</v>
      </c>
      <c r="G73" s="25">
        <v>3</v>
      </c>
      <c r="H73" s="25">
        <v>10</v>
      </c>
      <c r="I73" s="24">
        <v>34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</sheetData>
  <mergeCells count="31">
    <mergeCell ref="A65:C65"/>
    <mergeCell ref="D65:F65"/>
    <mergeCell ref="A67:AB67"/>
    <mergeCell ref="V50:X50"/>
    <mergeCell ref="W52:Y52"/>
    <mergeCell ref="A54:AB54"/>
    <mergeCell ref="A63:AB63"/>
    <mergeCell ref="A64:C64"/>
    <mergeCell ref="D64:F64"/>
    <mergeCell ref="G64:I64"/>
    <mergeCell ref="B50:E50"/>
    <mergeCell ref="F50:I50"/>
    <mergeCell ref="J50:M50"/>
    <mergeCell ref="N50:Q50"/>
    <mergeCell ref="R50:U50"/>
    <mergeCell ref="A47:AB47"/>
    <mergeCell ref="B49:E49"/>
    <mergeCell ref="F49:I49"/>
    <mergeCell ref="J49:M49"/>
    <mergeCell ref="N49:Q49"/>
    <mergeCell ref="R49:U49"/>
    <mergeCell ref="A1:AB1"/>
    <mergeCell ref="A2:AB2"/>
    <mergeCell ref="A3:AB3"/>
    <mergeCell ref="A11:AB11"/>
    <mergeCell ref="B12:E12"/>
    <mergeCell ref="F12:I12"/>
    <mergeCell ref="J12:M12"/>
    <mergeCell ref="N12:Q12"/>
    <mergeCell ref="R12:U12"/>
    <mergeCell ref="V12:A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B73"/>
  <sheetViews>
    <sheetView zoomScaleNormal="100" workbookViewId="0">
      <pane xSplit="1" topLeftCell="B1" activePane="topRight" state="frozen"/>
      <selection pane="topRight" sqref="A1:AB1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72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4" customHeight="1" x14ac:dyDescent="0.25">
      <c r="A4" s="26" t="s">
        <v>73</v>
      </c>
      <c r="B4" s="26" t="s">
        <v>74</v>
      </c>
      <c r="C4" s="26" t="s">
        <v>75</v>
      </c>
      <c r="D4" s="26" t="s">
        <v>76</v>
      </c>
      <c r="E4" s="26" t="s">
        <v>77</v>
      </c>
      <c r="F4" s="26" t="s">
        <v>78</v>
      </c>
      <c r="G4" s="26" t="s">
        <v>79</v>
      </c>
      <c r="H4" s="26" t="s">
        <v>80</v>
      </c>
      <c r="I4" s="26" t="s">
        <v>81</v>
      </c>
      <c r="J4" s="26" t="s">
        <v>82</v>
      </c>
      <c r="K4" s="26" t="s">
        <v>83</v>
      </c>
    </row>
    <row r="5" spans="1:28" ht="13.5" customHeight="1" x14ac:dyDescent="0.25">
      <c r="A5" s="32" t="s">
        <v>60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28" ht="13.5" customHeight="1" x14ac:dyDescent="0.25">
      <c r="A6" s="33" t="s">
        <v>63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28" ht="13.5" customHeight="1" x14ac:dyDescent="0.25">
      <c r="A7" s="34" t="s">
        <v>84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28" ht="13.5" customHeight="1" x14ac:dyDescent="0.25">
      <c r="A8" s="35" t="s">
        <v>85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28" ht="13.5" customHeight="1" x14ac:dyDescent="0.25">
      <c r="A9" s="36" t="s">
        <v>86</v>
      </c>
      <c r="B9" s="29"/>
      <c r="C9" s="29"/>
      <c r="D9" s="29"/>
      <c r="E9" s="29"/>
      <c r="F9" s="29"/>
      <c r="G9" s="29"/>
      <c r="H9" s="29"/>
      <c r="I9" s="29"/>
      <c r="J9" s="29"/>
      <c r="K9" s="29"/>
    </row>
    <row r="11" spans="1:28" ht="13.5" customHeight="1" x14ac:dyDescent="0.25">
      <c r="A11" s="12" t="s">
        <v>87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13.5" customHeight="1" x14ac:dyDescent="0.25">
      <c r="A12" s="37" t="s">
        <v>42</v>
      </c>
      <c r="B12" s="7" t="s">
        <v>60</v>
      </c>
      <c r="C12" s="7"/>
      <c r="D12" s="7"/>
      <c r="E12" s="7"/>
      <c r="F12" s="6" t="s">
        <v>63</v>
      </c>
      <c r="G12" s="6"/>
      <c r="H12" s="6"/>
      <c r="I12" s="6"/>
      <c r="J12" s="5" t="s">
        <v>84</v>
      </c>
      <c r="K12" s="5"/>
      <c r="L12" s="5"/>
      <c r="M12" s="5"/>
      <c r="N12" s="4" t="s">
        <v>85</v>
      </c>
      <c r="O12" s="4"/>
      <c r="P12" s="4"/>
      <c r="Q12" s="4"/>
      <c r="R12" s="3" t="s">
        <v>86</v>
      </c>
      <c r="S12" s="3"/>
      <c r="T12" s="3"/>
      <c r="U12" s="3"/>
      <c r="V12" s="2" t="s">
        <v>88</v>
      </c>
      <c r="W12" s="2"/>
      <c r="X12" s="2"/>
      <c r="Y12" s="2"/>
      <c r="Z12" s="2"/>
      <c r="AA12" s="2"/>
      <c r="AB12" s="2"/>
    </row>
    <row r="13" spans="1:28" ht="24" customHeight="1" x14ac:dyDescent="0.25">
      <c r="A13" s="38"/>
      <c r="B13" s="39" t="s">
        <v>89</v>
      </c>
      <c r="C13" s="39" t="s">
        <v>90</v>
      </c>
      <c r="D13" s="39" t="s">
        <v>91</v>
      </c>
      <c r="E13" s="39" t="s">
        <v>92</v>
      </c>
      <c r="F13" s="40" t="s">
        <v>89</v>
      </c>
      <c r="G13" s="40" t="s">
        <v>90</v>
      </c>
      <c r="H13" s="40" t="s">
        <v>91</v>
      </c>
      <c r="I13" s="40" t="s">
        <v>92</v>
      </c>
      <c r="J13" s="41" t="s">
        <v>89</v>
      </c>
      <c r="K13" s="41" t="s">
        <v>90</v>
      </c>
      <c r="L13" s="41" t="s">
        <v>91</v>
      </c>
      <c r="M13" s="41" t="s">
        <v>92</v>
      </c>
      <c r="N13" s="42" t="s">
        <v>89</v>
      </c>
      <c r="O13" s="42" t="s">
        <v>90</v>
      </c>
      <c r="P13" s="42" t="s">
        <v>91</v>
      </c>
      <c r="Q13" s="42" t="s">
        <v>92</v>
      </c>
      <c r="R13" s="43" t="s">
        <v>89</v>
      </c>
      <c r="S13" s="43" t="s">
        <v>90</v>
      </c>
      <c r="T13" s="43" t="s">
        <v>91</v>
      </c>
      <c r="U13" s="43" t="s">
        <v>92</v>
      </c>
      <c r="V13" s="44" t="s">
        <v>43</v>
      </c>
      <c r="W13" s="44" t="s">
        <v>44</v>
      </c>
      <c r="X13" s="44" t="s">
        <v>45</v>
      </c>
      <c r="Y13" s="44" t="s">
        <v>46</v>
      </c>
      <c r="Z13" s="44" t="s">
        <v>47</v>
      </c>
      <c r="AA13" s="44" t="s">
        <v>48</v>
      </c>
      <c r="AB13" s="44" t="s">
        <v>93</v>
      </c>
    </row>
    <row r="14" spans="1:28" ht="12.75" customHeight="1" x14ac:dyDescent="0.25">
      <c r="A14" s="45">
        <v>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29"/>
      <c r="W14" s="29"/>
      <c r="X14" s="29"/>
      <c r="Y14" s="29"/>
      <c r="Z14" s="29"/>
      <c r="AA14" s="29"/>
      <c r="AB14" s="29"/>
    </row>
    <row r="15" spans="1:28" ht="12.75" customHeight="1" x14ac:dyDescent="0.25">
      <c r="A15" s="47">
        <v>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45">
        <v>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9"/>
      <c r="W22" s="29"/>
      <c r="X22" s="29"/>
      <c r="Y22" s="29"/>
      <c r="Z22" s="29"/>
      <c r="AA22" s="29"/>
      <c r="AB22" s="29"/>
    </row>
    <row r="23" spans="1:28" ht="12.75" customHeight="1" x14ac:dyDescent="0.25">
      <c r="A23" s="47">
        <v>10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45">
        <v>17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29"/>
      <c r="W30" s="29"/>
      <c r="X30" s="29"/>
      <c r="Y30" s="29"/>
      <c r="Z30" s="29"/>
      <c r="AA30" s="29"/>
      <c r="AB30" s="29"/>
    </row>
    <row r="31" spans="1:28" ht="12.75" customHeight="1" x14ac:dyDescent="0.25">
      <c r="A31" s="47">
        <v>18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19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45">
        <v>25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29"/>
      <c r="W38" s="29"/>
      <c r="X38" s="29"/>
      <c r="Y38" s="29"/>
      <c r="Z38" s="29"/>
      <c r="AA38" s="29"/>
      <c r="AB38" s="29"/>
    </row>
    <row r="39" spans="1:28" ht="12.75" customHeight="1" x14ac:dyDescent="0.25">
      <c r="A39" s="47">
        <v>26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28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29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4" spans="1:28" ht="12.75" customHeight="1" x14ac:dyDescent="0.25">
      <c r="A44" s="23">
        <v>31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3"/>
      <c r="W44" s="23"/>
      <c r="X44" s="23"/>
      <c r="Y44" s="23"/>
      <c r="Z44" s="23"/>
      <c r="AA44" s="23"/>
      <c r="AB44" s="23"/>
    </row>
    <row r="45" spans="1:28" ht="12.75" customHeight="1" x14ac:dyDescent="0.25">
      <c r="A45" s="47">
        <v>32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3"/>
      <c r="W45" s="23"/>
      <c r="X45" s="23"/>
      <c r="Y45" s="23"/>
      <c r="Z45" s="23"/>
      <c r="AA45" s="23"/>
      <c r="AB45" s="23"/>
    </row>
    <row r="47" spans="1:28" ht="13.5" customHeight="1" x14ac:dyDescent="0.25">
      <c r="A47" s="12" t="s">
        <v>94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3.5" customHeight="1" x14ac:dyDescent="0.25">
      <c r="A48" s="48" t="s">
        <v>95</v>
      </c>
      <c r="B48" s="49">
        <f t="shared" ref="B48:AB48" si="0">SUM(B14:B45)</f>
        <v>0</v>
      </c>
      <c r="C48" s="49">
        <f t="shared" si="0"/>
        <v>0</v>
      </c>
      <c r="D48" s="49">
        <f t="shared" si="0"/>
        <v>0</v>
      </c>
      <c r="E48" s="49">
        <f t="shared" si="0"/>
        <v>0</v>
      </c>
      <c r="F48" s="49">
        <f t="shared" si="0"/>
        <v>0</v>
      </c>
      <c r="G48" s="49">
        <f t="shared" si="0"/>
        <v>0</v>
      </c>
      <c r="H48" s="49">
        <f t="shared" si="0"/>
        <v>0</v>
      </c>
      <c r="I48" s="49">
        <f t="shared" si="0"/>
        <v>0</v>
      </c>
      <c r="J48" s="49">
        <f t="shared" si="0"/>
        <v>0</v>
      </c>
      <c r="K48" s="49">
        <f t="shared" si="0"/>
        <v>0</v>
      </c>
      <c r="L48" s="49">
        <f t="shared" si="0"/>
        <v>0</v>
      </c>
      <c r="M48" s="49">
        <f t="shared" si="0"/>
        <v>0</v>
      </c>
      <c r="N48" s="49">
        <f t="shared" si="0"/>
        <v>0</v>
      </c>
      <c r="O48" s="49">
        <f t="shared" si="0"/>
        <v>0</v>
      </c>
      <c r="P48" s="49">
        <f t="shared" si="0"/>
        <v>0</v>
      </c>
      <c r="Q48" s="49">
        <f t="shared" si="0"/>
        <v>0</v>
      </c>
      <c r="R48" s="49">
        <f t="shared" si="0"/>
        <v>0</v>
      </c>
      <c r="S48" s="49">
        <f t="shared" si="0"/>
        <v>0</v>
      </c>
      <c r="T48" s="49">
        <f t="shared" si="0"/>
        <v>0</v>
      </c>
      <c r="U48" s="49">
        <f t="shared" si="0"/>
        <v>0</v>
      </c>
      <c r="V48" s="50">
        <f t="shared" si="0"/>
        <v>0</v>
      </c>
      <c r="W48" s="50">
        <f t="shared" si="0"/>
        <v>0</v>
      </c>
      <c r="X48" s="50">
        <f t="shared" si="0"/>
        <v>0</v>
      </c>
      <c r="Y48" s="50">
        <f t="shared" si="0"/>
        <v>0</v>
      </c>
      <c r="Z48" s="50">
        <f t="shared" si="0"/>
        <v>0</v>
      </c>
      <c r="AA48" s="50">
        <f t="shared" si="0"/>
        <v>0</v>
      </c>
      <c r="AB48" s="50">
        <f t="shared" si="0"/>
        <v>0</v>
      </c>
    </row>
    <row r="49" spans="1:28" ht="12" customHeight="1" x14ac:dyDescent="0.25">
      <c r="A49" s="51" t="s">
        <v>96</v>
      </c>
      <c r="B49" s="1">
        <v>32</v>
      </c>
      <c r="C49" s="1"/>
      <c r="D49" s="1"/>
      <c r="E49" s="1"/>
      <c r="F49" s="1">
        <v>32</v>
      </c>
      <c r="G49" s="1"/>
      <c r="H49" s="1"/>
      <c r="I49" s="1"/>
      <c r="J49" s="1">
        <v>32</v>
      </c>
      <c r="K49" s="1"/>
      <c r="L49" s="1"/>
      <c r="M49" s="1"/>
      <c r="N49" s="1">
        <v>32</v>
      </c>
      <c r="O49" s="1"/>
      <c r="P49" s="1"/>
      <c r="Q49" s="1"/>
      <c r="R49" s="1">
        <v>32</v>
      </c>
      <c r="S49" s="1"/>
      <c r="T49" s="1"/>
      <c r="U49" s="1"/>
    </row>
    <row r="50" spans="1:28" ht="13.5" customHeight="1" x14ac:dyDescent="0.25">
      <c r="A50" s="52" t="s">
        <v>97</v>
      </c>
      <c r="B50" s="84">
        <f>(32-(SUM(B14:B45)+SUM(C14:C45)+SUM(D14:D45)+SUM(E14:E45)))/32</f>
        <v>1</v>
      </c>
      <c r="C50" s="84"/>
      <c r="D50" s="84"/>
      <c r="E50" s="84"/>
      <c r="F50" s="84">
        <f>(32-(SUM(F14:F45)+SUM(G14:G45)+SUM(H14:H45)+SUM(I14:I45)))/32</f>
        <v>1</v>
      </c>
      <c r="G50" s="84"/>
      <c r="H50" s="84"/>
      <c r="I50" s="84"/>
      <c r="J50" s="84">
        <f>(32-(SUM(J14:J45)+SUM(K14:K45)+SUM(L14:L45)+SUM(M14:M45)))/32</f>
        <v>1</v>
      </c>
      <c r="K50" s="84"/>
      <c r="L50" s="84"/>
      <c r="M50" s="84"/>
      <c r="N50" s="84">
        <f>(32-(SUM(N14:N45)+SUM(O14:O45)+SUM(P14:P45)+SUM(Q14:Q45)))/32</f>
        <v>1</v>
      </c>
      <c r="O50" s="84"/>
      <c r="P50" s="84"/>
      <c r="Q50" s="84"/>
      <c r="R50" s="84">
        <f>(32-(SUM(R14:R45)+SUM(S14:S45)+SUM(T14:T45)+SUM(U14:U45)))/32</f>
        <v>1</v>
      </c>
      <c r="S50" s="84"/>
      <c r="T50" s="84"/>
      <c r="U50" s="84"/>
      <c r="V50" s="85">
        <f>AVERAGE(B50,F50,J50,N50,R50)</f>
        <v>1</v>
      </c>
      <c r="W50" s="85"/>
      <c r="X50" s="85"/>
      <c r="Y50" s="53" t="s">
        <v>98</v>
      </c>
      <c r="Z50" s="23"/>
      <c r="AA50" s="23"/>
      <c r="AB50" s="23"/>
    </row>
    <row r="51" spans="1:28" ht="12" customHeight="1" x14ac:dyDescent="0.25">
      <c r="A51" s="54" t="s">
        <v>99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55">
        <v>5</v>
      </c>
      <c r="W51" s="55">
        <v>1</v>
      </c>
      <c r="X51" s="55">
        <v>4</v>
      </c>
      <c r="Y51" s="55">
        <v>8</v>
      </c>
      <c r="Z51" s="55">
        <v>3</v>
      </c>
      <c r="AA51" s="55">
        <v>3</v>
      </c>
      <c r="AB51" s="55">
        <v>10</v>
      </c>
    </row>
    <row r="52" spans="1:28" ht="13.5" customHeight="1" x14ac:dyDescent="0.25">
      <c r="A52" s="52" t="s">
        <v>100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7">
        <f>IF((V51+W51+X51+Y51+Z51+AA51+AB51)=0,"",(V51+W51+X51+Y51+Z51+AA51+AB51-(V48+W48+X48+Y48+Z48+AA48+AB48))/(V51+W51+X51+Y51+Z51+AA51+AB51))</f>
        <v>1</v>
      </c>
      <c r="W52" s="86" t="s">
        <v>101</v>
      </c>
      <c r="X52" s="86"/>
      <c r="Y52" s="86"/>
      <c r="Z52" s="23"/>
      <c r="AA52" s="23"/>
      <c r="AB52" s="23"/>
    </row>
    <row r="54" spans="1:28" ht="13.5" customHeight="1" x14ac:dyDescent="0.25">
      <c r="A54" s="12" t="s">
        <v>102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x14ac:dyDescent="0.25">
      <c r="A55" s="17" t="s">
        <v>103</v>
      </c>
      <c r="B55" s="17" t="s">
        <v>104</v>
      </c>
      <c r="C55" s="17" t="s">
        <v>105</v>
      </c>
      <c r="D55" s="17" t="s">
        <v>106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spans="1:28" x14ac:dyDescent="0.25">
      <c r="A56" s="27" t="s">
        <v>60</v>
      </c>
      <c r="B56" s="59">
        <v>25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63</v>
      </c>
      <c r="B57" s="59">
        <v>55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69</v>
      </c>
      <c r="B58" s="59">
        <v>9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x14ac:dyDescent="0.25">
      <c r="A59" s="27" t="s">
        <v>66</v>
      </c>
      <c r="B59" s="59">
        <v>10</v>
      </c>
      <c r="C59" s="29"/>
      <c r="D59" s="59">
        <f>IF(C59="",0,C59*B59)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x14ac:dyDescent="0.25">
      <c r="A60" s="27" t="s">
        <v>107</v>
      </c>
      <c r="B60" s="59">
        <v>100</v>
      </c>
      <c r="C60" s="29"/>
      <c r="D60" s="59">
        <f>IF(C60="",0,C60*B60)</f>
        <v>0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spans="1:28" ht="13.5" customHeight="1" x14ac:dyDescent="0.25">
      <c r="A61" s="60" t="s">
        <v>108</v>
      </c>
      <c r="B61" s="56"/>
      <c r="C61" s="56"/>
      <c r="D61" s="61">
        <f>SUM(D56,D57,D58,D59,D60)</f>
        <v>0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3" spans="1:28" ht="18" customHeight="1" x14ac:dyDescent="0.25">
      <c r="A63" s="87" t="s">
        <v>120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</row>
    <row r="64" spans="1:28" ht="13.5" customHeight="1" x14ac:dyDescent="0.25">
      <c r="A64" s="88" t="s">
        <v>110</v>
      </c>
      <c r="B64" s="88"/>
      <c r="C64" s="88"/>
      <c r="D64" s="88" t="s">
        <v>111</v>
      </c>
      <c r="E64" s="88"/>
      <c r="F64" s="88"/>
      <c r="G64" s="88" t="s">
        <v>112</v>
      </c>
      <c r="H64" s="88"/>
      <c r="I64" s="8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spans="1:28" ht="18" customHeight="1" x14ac:dyDescent="0.25">
      <c r="A65" s="89">
        <f>V50</f>
        <v>1</v>
      </c>
      <c r="B65" s="89"/>
      <c r="C65" s="89"/>
      <c r="D65" s="89">
        <f>V52</f>
        <v>1</v>
      </c>
      <c r="E65" s="89"/>
      <c r="F65" s="89"/>
      <c r="G65" s="62">
        <f>D61</f>
        <v>0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7" spans="1:28" x14ac:dyDescent="0.25">
      <c r="A67" s="8" t="s">
        <v>113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25">
      <c r="A68" s="17" t="s">
        <v>114</v>
      </c>
      <c r="B68" s="17" t="s">
        <v>43</v>
      </c>
      <c r="C68" s="17" t="s">
        <v>44</v>
      </c>
      <c r="D68" s="17" t="s">
        <v>45</v>
      </c>
      <c r="E68" s="17" t="s">
        <v>46</v>
      </c>
      <c r="F68" s="17" t="s">
        <v>47</v>
      </c>
      <c r="G68" s="17" t="s">
        <v>48</v>
      </c>
      <c r="H68" s="17" t="s">
        <v>93</v>
      </c>
      <c r="I68" s="17" t="s">
        <v>115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spans="1:28" x14ac:dyDescent="0.25">
      <c r="A69" s="21" t="s">
        <v>51</v>
      </c>
      <c r="B69" s="63">
        <v>2</v>
      </c>
      <c r="C69" s="23"/>
      <c r="D69" s="63">
        <v>1</v>
      </c>
      <c r="E69" s="63">
        <v>2</v>
      </c>
      <c r="F69" s="23"/>
      <c r="G69" s="23"/>
      <c r="H69" s="23"/>
      <c r="I69" s="21">
        <v>5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spans="1:28" x14ac:dyDescent="0.25">
      <c r="A70" s="21" t="s">
        <v>52</v>
      </c>
      <c r="B70" s="63">
        <v>1</v>
      </c>
      <c r="C70" s="23"/>
      <c r="D70" s="63">
        <v>2</v>
      </c>
      <c r="E70" s="63">
        <v>3</v>
      </c>
      <c r="F70" s="23"/>
      <c r="G70" s="63">
        <v>1</v>
      </c>
      <c r="H70" s="63">
        <v>5</v>
      </c>
      <c r="I70" s="21">
        <v>12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spans="1:28" x14ac:dyDescent="0.25">
      <c r="A71" s="21" t="s">
        <v>53</v>
      </c>
      <c r="B71" s="63">
        <v>2</v>
      </c>
      <c r="C71" s="23"/>
      <c r="D71" s="23"/>
      <c r="E71" s="63">
        <v>1</v>
      </c>
      <c r="F71" s="63">
        <v>2</v>
      </c>
      <c r="G71" s="63">
        <v>2</v>
      </c>
      <c r="H71" s="63">
        <v>5</v>
      </c>
      <c r="I71" s="21">
        <v>12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spans="1:28" x14ac:dyDescent="0.25">
      <c r="A72" s="21" t="s">
        <v>54</v>
      </c>
      <c r="B72" s="23"/>
      <c r="C72" s="63">
        <v>1</v>
      </c>
      <c r="D72" s="63">
        <v>1</v>
      </c>
      <c r="E72" s="63">
        <v>2</v>
      </c>
      <c r="F72" s="63">
        <v>1</v>
      </c>
      <c r="G72" s="23"/>
      <c r="H72" s="23"/>
      <c r="I72" s="21">
        <v>5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spans="1:28" x14ac:dyDescent="0.25">
      <c r="A73" s="24" t="s">
        <v>116</v>
      </c>
      <c r="B73" s="25">
        <v>5</v>
      </c>
      <c r="C73" s="25">
        <v>1</v>
      </c>
      <c r="D73" s="25">
        <v>4</v>
      </c>
      <c r="E73" s="25">
        <v>8</v>
      </c>
      <c r="F73" s="25">
        <v>3</v>
      </c>
      <c r="G73" s="25">
        <v>3</v>
      </c>
      <c r="H73" s="25">
        <v>10</v>
      </c>
      <c r="I73" s="24">
        <v>34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</sheetData>
  <mergeCells count="31">
    <mergeCell ref="A65:C65"/>
    <mergeCell ref="D65:F65"/>
    <mergeCell ref="A67:AB67"/>
    <mergeCell ref="V50:X50"/>
    <mergeCell ref="W52:Y52"/>
    <mergeCell ref="A54:AB54"/>
    <mergeCell ref="A63:AB63"/>
    <mergeCell ref="A64:C64"/>
    <mergeCell ref="D64:F64"/>
    <mergeCell ref="G64:I64"/>
    <mergeCell ref="B50:E50"/>
    <mergeCell ref="F50:I50"/>
    <mergeCell ref="J50:M50"/>
    <mergeCell ref="N50:Q50"/>
    <mergeCell ref="R50:U50"/>
    <mergeCell ref="A47:AB47"/>
    <mergeCell ref="B49:E49"/>
    <mergeCell ref="F49:I49"/>
    <mergeCell ref="J49:M49"/>
    <mergeCell ref="N49:Q49"/>
    <mergeCell ref="R49:U49"/>
    <mergeCell ref="A1:AB1"/>
    <mergeCell ref="A2:AB2"/>
    <mergeCell ref="A3:AB3"/>
    <mergeCell ref="A11:AB11"/>
    <mergeCell ref="B12:E12"/>
    <mergeCell ref="F12:I12"/>
    <mergeCell ref="J12:M12"/>
    <mergeCell ref="N12:Q12"/>
    <mergeCell ref="R12:U12"/>
    <mergeCell ref="V12:A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8C00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134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135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138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139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8C00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134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135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138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141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8C00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142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134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135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138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143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146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147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148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149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146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147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148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151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146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147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148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153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75623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155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156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157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158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159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75623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155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156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157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158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161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75623"/>
  </sheetPr>
  <dimension ref="A1:AB63"/>
  <sheetViews>
    <sheetView zoomScaleNormal="100" workbookViewId="0">
      <pane xSplit="1" topLeftCell="B1" activePane="topRight" state="frozen"/>
      <selection pane="topRight"/>
    </sheetView>
  </sheetViews>
  <sheetFormatPr baseColWidth="10" defaultColWidth="8.7109375" defaultRowHeight="15" x14ac:dyDescent="0.25"/>
  <cols>
    <col min="1" max="1" width="5.5703125" customWidth="1"/>
    <col min="2" max="21" width="4.42578125" customWidth="1"/>
    <col min="22" max="28" width="5.5703125" customWidth="1"/>
  </cols>
  <sheetData>
    <row r="1" spans="1:28" ht="21.75" customHeight="1" x14ac:dyDescent="0.25">
      <c r="A1" s="11" t="s">
        <v>162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 x14ac:dyDescent="0.25">
      <c r="A2" s="10" t="s">
        <v>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3.5" customHeight="1" x14ac:dyDescent="0.25">
      <c r="A3" s="12" t="s">
        <v>155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7.75" customHeight="1" x14ac:dyDescent="0.25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133</v>
      </c>
    </row>
    <row r="5" spans="1:28" ht="13.5" customHeight="1" x14ac:dyDescent="0.25">
      <c r="A5" s="64" t="s">
        <v>156</v>
      </c>
      <c r="B5" s="29"/>
      <c r="C5" s="29"/>
      <c r="D5" s="29"/>
      <c r="E5" s="29"/>
      <c r="F5" s="29"/>
      <c r="G5" s="29"/>
      <c r="H5" s="29"/>
      <c r="I5" s="29"/>
      <c r="J5" s="29"/>
      <c r="K5" s="49">
        <f>SUM(B5:J5)</f>
        <v>0</v>
      </c>
    </row>
    <row r="6" spans="1:28" ht="13.5" customHeight="1" x14ac:dyDescent="0.25">
      <c r="A6" s="64" t="s">
        <v>157</v>
      </c>
      <c r="B6" s="29"/>
      <c r="C6" s="29"/>
      <c r="D6" s="29"/>
      <c r="E6" s="29"/>
      <c r="F6" s="29"/>
      <c r="G6" s="29"/>
      <c r="H6" s="29"/>
      <c r="I6" s="29"/>
      <c r="J6" s="29"/>
      <c r="K6" s="49">
        <f>SUM(B6:J6)</f>
        <v>0</v>
      </c>
    </row>
    <row r="7" spans="1:28" ht="12" customHeight="1" x14ac:dyDescent="0.25">
      <c r="A7" s="90" t="s">
        <v>136</v>
      </c>
      <c r="B7" s="90"/>
      <c r="C7" s="90"/>
      <c r="D7" s="90"/>
      <c r="E7" s="90"/>
      <c r="F7" s="90"/>
      <c r="G7" s="90"/>
      <c r="H7" s="90"/>
      <c r="I7" s="90"/>
      <c r="J7" s="90"/>
      <c r="K7" s="90"/>
    </row>
    <row r="9" spans="1:28" ht="13.5" customHeight="1" x14ac:dyDescent="0.25">
      <c r="A9" s="12" t="s">
        <v>87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13.5" customHeight="1" x14ac:dyDescent="0.25">
      <c r="A10" s="37" t="s">
        <v>42</v>
      </c>
      <c r="B10" s="7" t="s">
        <v>60</v>
      </c>
      <c r="C10" s="7"/>
      <c r="D10" s="7"/>
      <c r="E10" s="7"/>
      <c r="F10" s="6" t="s">
        <v>63</v>
      </c>
      <c r="G10" s="6"/>
      <c r="H10" s="6"/>
      <c r="I10" s="6"/>
      <c r="J10" s="5" t="s">
        <v>84</v>
      </c>
      <c r="K10" s="5"/>
      <c r="L10" s="5"/>
      <c r="M10" s="5"/>
      <c r="N10" s="4" t="s">
        <v>85</v>
      </c>
      <c r="O10" s="4"/>
      <c r="P10" s="4"/>
      <c r="Q10" s="4"/>
      <c r="R10" s="3" t="s">
        <v>86</v>
      </c>
      <c r="S10" s="3"/>
      <c r="T10" s="3"/>
      <c r="U10" s="3"/>
      <c r="V10" s="2" t="s">
        <v>88</v>
      </c>
      <c r="W10" s="2"/>
      <c r="X10" s="2"/>
      <c r="Y10" s="2"/>
      <c r="Z10" s="2"/>
      <c r="AA10" s="2"/>
      <c r="AB10" s="2"/>
    </row>
    <row r="11" spans="1:28" ht="24" customHeight="1" x14ac:dyDescent="0.25">
      <c r="A11" s="38"/>
      <c r="B11" s="39" t="s">
        <v>89</v>
      </c>
      <c r="C11" s="39" t="s">
        <v>90</v>
      </c>
      <c r="D11" s="39" t="s">
        <v>91</v>
      </c>
      <c r="E11" s="39" t="s">
        <v>92</v>
      </c>
      <c r="F11" s="40" t="s">
        <v>89</v>
      </c>
      <c r="G11" s="40" t="s">
        <v>90</v>
      </c>
      <c r="H11" s="40" t="s">
        <v>91</v>
      </c>
      <c r="I11" s="40" t="s">
        <v>92</v>
      </c>
      <c r="J11" s="41" t="s">
        <v>89</v>
      </c>
      <c r="K11" s="41" t="s">
        <v>90</v>
      </c>
      <c r="L11" s="41" t="s">
        <v>91</v>
      </c>
      <c r="M11" s="41" t="s">
        <v>92</v>
      </c>
      <c r="N11" s="42" t="s">
        <v>89</v>
      </c>
      <c r="O11" s="42" t="s">
        <v>90</v>
      </c>
      <c r="P11" s="42" t="s">
        <v>91</v>
      </c>
      <c r="Q11" s="42" t="s">
        <v>92</v>
      </c>
      <c r="R11" s="43" t="s">
        <v>89</v>
      </c>
      <c r="S11" s="43" t="s">
        <v>90</v>
      </c>
      <c r="T11" s="43" t="s">
        <v>91</v>
      </c>
      <c r="U11" s="43" t="s">
        <v>92</v>
      </c>
      <c r="V11" s="44" t="s">
        <v>43</v>
      </c>
      <c r="W11" s="44" t="s">
        <v>44</v>
      </c>
      <c r="X11" s="44" t="s">
        <v>45</v>
      </c>
      <c r="Y11" s="44" t="s">
        <v>46</v>
      </c>
      <c r="Z11" s="44" t="s">
        <v>47</v>
      </c>
      <c r="AA11" s="44" t="s">
        <v>48</v>
      </c>
      <c r="AB11" s="44" t="s">
        <v>93</v>
      </c>
    </row>
    <row r="12" spans="1:28" ht="12.75" customHeight="1" x14ac:dyDescent="0.25">
      <c r="A12" s="23">
        <v>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3"/>
      <c r="W12" s="23"/>
      <c r="X12" s="23"/>
      <c r="Y12" s="23"/>
      <c r="Z12" s="23"/>
      <c r="AA12" s="23"/>
      <c r="AB12" s="23"/>
    </row>
    <row r="13" spans="1:28" ht="12.75" customHeight="1" x14ac:dyDescent="0.25">
      <c r="A13" s="47">
        <v>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3"/>
      <c r="W13" s="23"/>
      <c r="X13" s="23"/>
      <c r="Y13" s="23"/>
      <c r="Z13" s="23"/>
      <c r="AA13" s="23"/>
      <c r="AB13" s="23"/>
    </row>
    <row r="14" spans="1:28" ht="12.75" customHeight="1" x14ac:dyDescent="0.25">
      <c r="A14" s="23">
        <v>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3"/>
      <c r="W14" s="23"/>
      <c r="X14" s="23"/>
      <c r="Y14" s="23"/>
      <c r="Z14" s="23"/>
      <c r="AA14" s="23"/>
      <c r="AB14" s="23"/>
    </row>
    <row r="15" spans="1:28" ht="12.75" customHeight="1" x14ac:dyDescent="0.25">
      <c r="A15" s="47">
        <v>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3"/>
      <c r="W15" s="23"/>
      <c r="X15" s="23"/>
      <c r="Y15" s="23"/>
      <c r="Z15" s="23"/>
      <c r="AA15" s="23"/>
      <c r="AB15" s="23"/>
    </row>
    <row r="16" spans="1:28" ht="12.75" customHeight="1" x14ac:dyDescent="0.25">
      <c r="A16" s="23">
        <v>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3"/>
      <c r="W16" s="23"/>
      <c r="X16" s="23"/>
      <c r="Y16" s="23"/>
      <c r="Z16" s="23"/>
      <c r="AA16" s="23"/>
      <c r="AB16" s="23"/>
    </row>
    <row r="17" spans="1:28" ht="12.75" customHeight="1" x14ac:dyDescent="0.25">
      <c r="A17" s="47">
        <v>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3"/>
      <c r="W17" s="23"/>
      <c r="X17" s="23"/>
      <c r="Y17" s="23"/>
      <c r="Z17" s="23"/>
      <c r="AA17" s="23"/>
      <c r="AB17" s="23"/>
    </row>
    <row r="18" spans="1:28" ht="12.75" customHeight="1" x14ac:dyDescent="0.25">
      <c r="A18" s="23">
        <v>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3"/>
      <c r="W18" s="23"/>
      <c r="X18" s="23"/>
      <c r="Y18" s="23"/>
      <c r="Z18" s="23"/>
      <c r="AA18" s="23"/>
      <c r="AB18" s="23"/>
    </row>
    <row r="19" spans="1:28" ht="12.75" customHeight="1" x14ac:dyDescent="0.25">
      <c r="A19" s="47">
        <v>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3"/>
      <c r="W19" s="23"/>
      <c r="X19" s="23"/>
      <c r="Y19" s="23"/>
      <c r="Z19" s="23"/>
      <c r="AA19" s="23"/>
      <c r="AB19" s="23"/>
    </row>
    <row r="20" spans="1:28" ht="12.75" customHeight="1" x14ac:dyDescent="0.25">
      <c r="A20" s="23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3"/>
      <c r="W20" s="23"/>
      <c r="X20" s="23"/>
      <c r="Y20" s="23"/>
      <c r="Z20" s="23"/>
      <c r="AA20" s="23"/>
      <c r="AB20" s="23"/>
    </row>
    <row r="21" spans="1:28" ht="12.75" customHeight="1" x14ac:dyDescent="0.25">
      <c r="A21" s="47">
        <v>10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3"/>
      <c r="W21" s="23"/>
      <c r="X21" s="23"/>
      <c r="Y21" s="23"/>
      <c r="Z21" s="23"/>
      <c r="AA21" s="23"/>
      <c r="AB21" s="23"/>
    </row>
    <row r="22" spans="1:28" ht="12.75" customHeight="1" x14ac:dyDescent="0.25">
      <c r="A22" s="23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3"/>
      <c r="W22" s="23"/>
      <c r="X22" s="23"/>
      <c r="Y22" s="23"/>
      <c r="Z22" s="23"/>
      <c r="AA22" s="23"/>
      <c r="AB22" s="23"/>
    </row>
    <row r="23" spans="1:28" ht="12.75" customHeight="1" x14ac:dyDescent="0.25">
      <c r="A23" s="47">
        <v>12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3"/>
      <c r="W23" s="23"/>
      <c r="X23" s="23"/>
      <c r="Y23" s="23"/>
      <c r="Z23" s="23"/>
      <c r="AA23" s="23"/>
      <c r="AB23" s="23"/>
    </row>
    <row r="24" spans="1:28" ht="12.75" customHeight="1" x14ac:dyDescent="0.25">
      <c r="A24" s="23">
        <v>13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3"/>
      <c r="W24" s="23"/>
      <c r="X24" s="23"/>
      <c r="Y24" s="23"/>
      <c r="Z24" s="23"/>
      <c r="AA24" s="23"/>
      <c r="AB24" s="23"/>
    </row>
    <row r="25" spans="1:28" ht="12.75" customHeight="1" x14ac:dyDescent="0.25">
      <c r="A25" s="47">
        <v>14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3"/>
      <c r="W25" s="23"/>
      <c r="X25" s="23"/>
      <c r="Y25" s="23"/>
      <c r="Z25" s="23"/>
      <c r="AA25" s="23"/>
      <c r="AB25" s="23"/>
    </row>
    <row r="26" spans="1:28" ht="12.75" customHeight="1" x14ac:dyDescent="0.25">
      <c r="A26" s="23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3"/>
      <c r="W26" s="23"/>
      <c r="X26" s="23"/>
      <c r="Y26" s="23"/>
      <c r="Z26" s="23"/>
      <c r="AA26" s="23"/>
      <c r="AB26" s="23"/>
    </row>
    <row r="27" spans="1:28" ht="12.75" customHeight="1" x14ac:dyDescent="0.25">
      <c r="A27" s="47">
        <v>16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3"/>
      <c r="W27" s="23"/>
      <c r="X27" s="23"/>
      <c r="Y27" s="23"/>
      <c r="Z27" s="23"/>
      <c r="AA27" s="23"/>
      <c r="AB27" s="23"/>
    </row>
    <row r="28" spans="1:28" ht="12.75" customHeight="1" x14ac:dyDescent="0.25">
      <c r="A28" s="23">
        <v>17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3"/>
      <c r="W28" s="23"/>
      <c r="X28" s="23"/>
      <c r="Y28" s="23"/>
      <c r="Z28" s="23"/>
      <c r="AA28" s="23"/>
      <c r="AB28" s="23"/>
    </row>
    <row r="29" spans="1:28" ht="12.75" customHeight="1" x14ac:dyDescent="0.25">
      <c r="A29" s="47">
        <v>18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3"/>
      <c r="W29" s="23"/>
      <c r="X29" s="23"/>
      <c r="Y29" s="23"/>
      <c r="Z29" s="23"/>
      <c r="AA29" s="23"/>
      <c r="AB29" s="23"/>
    </row>
    <row r="30" spans="1:28" ht="12.75" customHeight="1" x14ac:dyDescent="0.25">
      <c r="A30" s="23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3"/>
      <c r="W30" s="23"/>
      <c r="X30" s="23"/>
      <c r="Y30" s="23"/>
      <c r="Z30" s="23"/>
      <c r="AA30" s="23"/>
      <c r="AB30" s="23"/>
    </row>
    <row r="31" spans="1:28" ht="12.75" customHeight="1" x14ac:dyDescent="0.25">
      <c r="A31" s="47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3"/>
      <c r="W31" s="23"/>
      <c r="X31" s="23"/>
      <c r="Y31" s="23"/>
      <c r="Z31" s="23"/>
      <c r="AA31" s="23"/>
      <c r="AB31" s="23"/>
    </row>
    <row r="32" spans="1:28" ht="12.75" customHeight="1" x14ac:dyDescent="0.25">
      <c r="A32" s="23">
        <v>21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3"/>
      <c r="W32" s="23"/>
      <c r="X32" s="23"/>
      <c r="Y32" s="23"/>
      <c r="Z32" s="23"/>
      <c r="AA32" s="23"/>
      <c r="AB32" s="23"/>
    </row>
    <row r="33" spans="1:28" ht="12.75" customHeight="1" x14ac:dyDescent="0.25">
      <c r="A33" s="47">
        <v>22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3"/>
      <c r="W33" s="23"/>
      <c r="X33" s="23"/>
      <c r="Y33" s="23"/>
      <c r="Z33" s="23"/>
      <c r="AA33" s="23"/>
      <c r="AB33" s="23"/>
    </row>
    <row r="34" spans="1:28" ht="12.75" customHeight="1" x14ac:dyDescent="0.25">
      <c r="A34" s="23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3"/>
      <c r="W34" s="23"/>
      <c r="X34" s="23"/>
      <c r="Y34" s="23"/>
      <c r="Z34" s="23"/>
      <c r="AA34" s="23"/>
      <c r="AB34" s="23"/>
    </row>
    <row r="35" spans="1:28" ht="12.75" customHeight="1" x14ac:dyDescent="0.25">
      <c r="A35" s="47">
        <v>24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3"/>
      <c r="W35" s="23"/>
      <c r="X35" s="23"/>
      <c r="Y35" s="23"/>
      <c r="Z35" s="23"/>
      <c r="AA35" s="23"/>
      <c r="AB35" s="23"/>
    </row>
    <row r="36" spans="1:28" ht="12.75" customHeight="1" x14ac:dyDescent="0.25">
      <c r="A36" s="23">
        <v>25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3"/>
      <c r="W36" s="23"/>
      <c r="X36" s="23"/>
      <c r="Y36" s="23"/>
      <c r="Z36" s="23"/>
      <c r="AA36" s="23"/>
      <c r="AB36" s="23"/>
    </row>
    <row r="37" spans="1:28" ht="12.75" customHeight="1" x14ac:dyDescent="0.25">
      <c r="A37" s="47">
        <v>26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3"/>
      <c r="W37" s="23"/>
      <c r="X37" s="23"/>
      <c r="Y37" s="23"/>
      <c r="Z37" s="23"/>
      <c r="AA37" s="23"/>
      <c r="AB37" s="23"/>
    </row>
    <row r="38" spans="1:28" ht="12.75" customHeight="1" x14ac:dyDescent="0.25">
      <c r="A38" s="23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3"/>
      <c r="W38" s="23"/>
      <c r="X38" s="23"/>
      <c r="Y38" s="23"/>
      <c r="Z38" s="23"/>
      <c r="AA38" s="23"/>
      <c r="AB38" s="23"/>
    </row>
    <row r="39" spans="1:28" ht="12.75" customHeight="1" x14ac:dyDescent="0.25">
      <c r="A39" s="47">
        <v>28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3"/>
      <c r="W39" s="23"/>
      <c r="X39" s="23"/>
      <c r="Y39" s="23"/>
      <c r="Z39" s="23"/>
      <c r="AA39" s="23"/>
      <c r="AB39" s="23"/>
    </row>
    <row r="40" spans="1:28" ht="12.75" customHeight="1" x14ac:dyDescent="0.25">
      <c r="A40" s="23">
        <v>29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3"/>
      <c r="W40" s="23"/>
      <c r="X40" s="23"/>
      <c r="Y40" s="23"/>
      <c r="Z40" s="23"/>
      <c r="AA40" s="23"/>
      <c r="AB40" s="23"/>
    </row>
    <row r="41" spans="1:28" ht="12.75" customHeight="1" x14ac:dyDescent="0.25">
      <c r="A41" s="47">
        <v>30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3"/>
      <c r="W41" s="23"/>
      <c r="X41" s="23"/>
      <c r="Y41" s="23"/>
      <c r="Z41" s="23"/>
      <c r="AA41" s="23"/>
      <c r="AB41" s="23"/>
    </row>
    <row r="42" spans="1:28" ht="12.75" customHeight="1" x14ac:dyDescent="0.25">
      <c r="A42" s="23">
        <v>31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3"/>
      <c r="W42" s="23"/>
      <c r="X42" s="23"/>
      <c r="Y42" s="23"/>
      <c r="Z42" s="23"/>
      <c r="AA42" s="23"/>
      <c r="AB42" s="23"/>
    </row>
    <row r="43" spans="1:28" ht="12.75" customHeight="1" x14ac:dyDescent="0.25">
      <c r="A43" s="47">
        <v>32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3"/>
      <c r="W43" s="23"/>
      <c r="X43" s="23"/>
      <c r="Y43" s="23"/>
      <c r="Z43" s="23"/>
      <c r="AA43" s="23"/>
      <c r="AB43" s="23"/>
    </row>
    <row r="45" spans="1:28" ht="13.5" customHeight="1" x14ac:dyDescent="0.25">
      <c r="A45" s="12" t="s">
        <v>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3.5" customHeight="1" x14ac:dyDescent="0.25">
      <c r="A46" s="48" t="s">
        <v>95</v>
      </c>
      <c r="B46" s="49">
        <f t="shared" ref="B46:AB46" si="0">SUM(B12:B43)</f>
        <v>0</v>
      </c>
      <c r="C46" s="49">
        <f t="shared" si="0"/>
        <v>0</v>
      </c>
      <c r="D46" s="49">
        <f t="shared" si="0"/>
        <v>0</v>
      </c>
      <c r="E46" s="49">
        <f t="shared" si="0"/>
        <v>0</v>
      </c>
      <c r="F46" s="49">
        <f t="shared" si="0"/>
        <v>0</v>
      </c>
      <c r="G46" s="49">
        <f t="shared" si="0"/>
        <v>0</v>
      </c>
      <c r="H46" s="49">
        <f t="shared" si="0"/>
        <v>0</v>
      </c>
      <c r="I46" s="49">
        <f t="shared" si="0"/>
        <v>0</v>
      </c>
      <c r="J46" s="49">
        <f t="shared" si="0"/>
        <v>0</v>
      </c>
      <c r="K46" s="49">
        <f t="shared" si="0"/>
        <v>0</v>
      </c>
      <c r="L46" s="49">
        <f t="shared" si="0"/>
        <v>0</v>
      </c>
      <c r="M46" s="49">
        <f t="shared" si="0"/>
        <v>0</v>
      </c>
      <c r="N46" s="49">
        <f t="shared" si="0"/>
        <v>0</v>
      </c>
      <c r="O46" s="49">
        <f t="shared" si="0"/>
        <v>0</v>
      </c>
      <c r="P46" s="49">
        <f t="shared" si="0"/>
        <v>0</v>
      </c>
      <c r="Q46" s="49">
        <f t="shared" si="0"/>
        <v>0</v>
      </c>
      <c r="R46" s="49">
        <f t="shared" si="0"/>
        <v>0</v>
      </c>
      <c r="S46" s="49">
        <f t="shared" si="0"/>
        <v>0</v>
      </c>
      <c r="T46" s="49">
        <f t="shared" si="0"/>
        <v>0</v>
      </c>
      <c r="U46" s="49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si="0"/>
        <v>0</v>
      </c>
      <c r="AB46" s="50">
        <f t="shared" si="0"/>
        <v>0</v>
      </c>
    </row>
    <row r="47" spans="1:28" ht="12" customHeight="1" x14ac:dyDescent="0.25">
      <c r="A47" s="51" t="s">
        <v>96</v>
      </c>
      <c r="B47" s="1">
        <v>32</v>
      </c>
      <c r="C47" s="1"/>
      <c r="D47" s="1"/>
      <c r="E47" s="1"/>
      <c r="F47" s="1">
        <v>32</v>
      </c>
      <c r="G47" s="1"/>
      <c r="H47" s="1"/>
      <c r="I47" s="1"/>
      <c r="J47" s="1">
        <v>32</v>
      </c>
      <c r="K47" s="1"/>
      <c r="L47" s="1"/>
      <c r="M47" s="1"/>
      <c r="N47" s="1">
        <v>32</v>
      </c>
      <c r="O47" s="1"/>
      <c r="P47" s="1"/>
      <c r="Q47" s="1"/>
      <c r="R47" s="1">
        <v>32</v>
      </c>
      <c r="S47" s="1"/>
      <c r="T47" s="1"/>
      <c r="U47" s="1"/>
    </row>
    <row r="48" spans="1:28" ht="13.5" customHeight="1" x14ac:dyDescent="0.25">
      <c r="A48" s="52" t="s">
        <v>97</v>
      </c>
      <c r="B48" s="84">
        <f>(32-(SUM(B12:B43)+SUM(C12:C43)+SUM(D12:D43)+SUM(E12:E43)))/32</f>
        <v>1</v>
      </c>
      <c r="C48" s="84"/>
      <c r="D48" s="84"/>
      <c r="E48" s="84"/>
      <c r="F48" s="84">
        <f>(32-(SUM(F12:F43)+SUM(G12:G43)+SUM(H12:H43)+SUM(I12:I43)))/32</f>
        <v>1</v>
      </c>
      <c r="G48" s="84"/>
      <c r="H48" s="84"/>
      <c r="I48" s="84"/>
      <c r="J48" s="84">
        <f>(32-(SUM(J12:J43)+SUM(K12:K43)+SUM(L12:L43)+SUM(M12:M43)))/32</f>
        <v>1</v>
      </c>
      <c r="K48" s="84"/>
      <c r="L48" s="84"/>
      <c r="M48" s="84"/>
      <c r="N48" s="84">
        <f>(32-(SUM(N12:N43)+SUM(O12:O43)+SUM(P12:P43)+SUM(Q12:Q43)))/32</f>
        <v>1</v>
      </c>
      <c r="O48" s="84"/>
      <c r="P48" s="84"/>
      <c r="Q48" s="84"/>
      <c r="R48" s="84">
        <f>(32-(SUM(R12:R43)+SUM(S12:S43)+SUM(T12:T43)+SUM(U12:U43)))/32</f>
        <v>1</v>
      </c>
      <c r="S48" s="84"/>
      <c r="T48" s="84"/>
      <c r="U48" s="84"/>
      <c r="V48" s="85">
        <f>AVERAGE(B48,F48,J48,N48,R48)</f>
        <v>1</v>
      </c>
      <c r="W48" s="85"/>
      <c r="X48" s="85"/>
      <c r="Y48" s="53" t="s">
        <v>98</v>
      </c>
      <c r="Z48" s="23"/>
      <c r="AA48" s="23"/>
      <c r="AB48" s="23"/>
    </row>
    <row r="49" spans="1:28" ht="12" customHeight="1" x14ac:dyDescent="0.25">
      <c r="A49" s="54" t="s">
        <v>137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9"/>
      <c r="W49" s="29"/>
      <c r="X49" s="29"/>
      <c r="Y49" s="29"/>
      <c r="Z49" s="29"/>
      <c r="AA49" s="29"/>
      <c r="AB49" s="29"/>
    </row>
    <row r="50" spans="1:28" ht="13.5" customHeight="1" x14ac:dyDescent="0.25">
      <c r="A50" s="52" t="s">
        <v>100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7" t="str">
        <f>IF((V49+W49+X49+Y49+Z49+AA49+AB49)=0,"",(V49+W49+X49+Y49+Z49+AA49+AB49-(V46+W46+X46+Y46+Z46+AA46+AB46))/(V49+W49+X49+Y49+Z49+AA49+AB49))</f>
        <v/>
      </c>
      <c r="W50" s="86" t="s">
        <v>101</v>
      </c>
      <c r="X50" s="86"/>
      <c r="Y50" s="86"/>
      <c r="Z50" s="23"/>
      <c r="AA50" s="23"/>
      <c r="AB50" s="23"/>
    </row>
    <row r="52" spans="1:28" ht="13.5" customHeight="1" x14ac:dyDescent="0.25">
      <c r="A52" s="12" t="s">
        <v>158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7" t="s">
        <v>103</v>
      </c>
      <c r="B53" s="17" t="s">
        <v>104</v>
      </c>
      <c r="C53" s="17" t="s">
        <v>105</v>
      </c>
      <c r="D53" s="17" t="s">
        <v>106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 x14ac:dyDescent="0.25">
      <c r="A54" s="27" t="s">
        <v>60</v>
      </c>
      <c r="B54" s="59">
        <v>25</v>
      </c>
      <c r="C54" s="29"/>
      <c r="D54" s="59">
        <f>IF(C54="",0,C54*B54)</f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x14ac:dyDescent="0.25">
      <c r="A55" s="27" t="s">
        <v>63</v>
      </c>
      <c r="B55" s="59">
        <v>55</v>
      </c>
      <c r="C55" s="29"/>
      <c r="D55" s="59">
        <f>IF(C55="",0,C55*B55)</f>
        <v>0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x14ac:dyDescent="0.25">
      <c r="A56" s="27" t="s">
        <v>69</v>
      </c>
      <c r="B56" s="59">
        <v>9</v>
      </c>
      <c r="C56" s="29"/>
      <c r="D56" s="59">
        <f>IF(C56="",0,C56*B56)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x14ac:dyDescent="0.25">
      <c r="A57" s="27" t="s">
        <v>66</v>
      </c>
      <c r="B57" s="59">
        <v>10</v>
      </c>
      <c r="C57" s="29"/>
      <c r="D57" s="59">
        <f>IF(C57="",0,C57*B57)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x14ac:dyDescent="0.25">
      <c r="A58" s="27" t="s">
        <v>107</v>
      </c>
      <c r="B58" s="59">
        <v>100</v>
      </c>
      <c r="C58" s="29"/>
      <c r="D58" s="59">
        <f>IF(C58="",0,C58*B58)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3.5" customHeight="1" x14ac:dyDescent="0.25">
      <c r="A59" s="60" t="s">
        <v>108</v>
      </c>
      <c r="B59" s="56"/>
      <c r="C59" s="56"/>
      <c r="D59" s="61">
        <f>SUM(D54,D55,D56,D57,D58)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1" spans="1:28" ht="18" customHeight="1" x14ac:dyDescent="0.25">
      <c r="A61" s="87" t="s">
        <v>163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 spans="1:28" ht="13.5" customHeight="1" x14ac:dyDescent="0.25">
      <c r="A62" s="88" t="s">
        <v>110</v>
      </c>
      <c r="B62" s="88"/>
      <c r="C62" s="88"/>
      <c r="D62" s="88" t="s">
        <v>111</v>
      </c>
      <c r="E62" s="88"/>
      <c r="F62" s="88"/>
      <c r="G62" s="88" t="s">
        <v>112</v>
      </c>
      <c r="H62" s="88"/>
      <c r="I62" s="8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 ht="18" customHeight="1" x14ac:dyDescent="0.25">
      <c r="A63" s="89">
        <f>V48</f>
        <v>1</v>
      </c>
      <c r="B63" s="89"/>
      <c r="C63" s="89"/>
      <c r="D63" s="89" t="str">
        <f>V50</f>
        <v/>
      </c>
      <c r="E63" s="89"/>
      <c r="F63" s="89"/>
      <c r="G63" s="62">
        <f>D59</f>
        <v>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</sheetData>
  <mergeCells count="31">
    <mergeCell ref="A63:C63"/>
    <mergeCell ref="D63:F63"/>
    <mergeCell ref="V48:X48"/>
    <mergeCell ref="W50:Y50"/>
    <mergeCell ref="A52:AB52"/>
    <mergeCell ref="A61:AB61"/>
    <mergeCell ref="A62:C62"/>
    <mergeCell ref="D62:F62"/>
    <mergeCell ref="G62:I62"/>
    <mergeCell ref="B48:E48"/>
    <mergeCell ref="F48:I48"/>
    <mergeCell ref="J48:M48"/>
    <mergeCell ref="N48:Q48"/>
    <mergeCell ref="R48:U48"/>
    <mergeCell ref="V10:AB10"/>
    <mergeCell ref="A45:AB45"/>
    <mergeCell ref="B47:E47"/>
    <mergeCell ref="F47:I47"/>
    <mergeCell ref="J47:M47"/>
    <mergeCell ref="N47:Q47"/>
    <mergeCell ref="R47:U47"/>
    <mergeCell ref="B10:E10"/>
    <mergeCell ref="F10:I10"/>
    <mergeCell ref="J10:M10"/>
    <mergeCell ref="N10:Q10"/>
    <mergeCell ref="R10:U10"/>
    <mergeCell ref="A1:AB1"/>
    <mergeCell ref="A2:AB2"/>
    <mergeCell ref="A3:AB3"/>
    <mergeCell ref="A7:K7"/>
    <mergeCell ref="A9:A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S5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7109375" defaultRowHeight="15" x14ac:dyDescent="0.25"/>
  <cols>
    <col min="1" max="1" width="14" customWidth="1"/>
    <col min="2" max="19" width="8" customWidth="1"/>
  </cols>
  <sheetData>
    <row r="1" spans="1:19" ht="16.5" x14ac:dyDescent="0.25">
      <c r="A1" s="91" t="s">
        <v>164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</row>
    <row r="2" spans="1:19" x14ac:dyDescent="0.25">
      <c r="A2" s="10" t="s">
        <v>165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spans="1:19" x14ac:dyDescent="0.25">
      <c r="A4" s="12" t="s">
        <v>166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25">
      <c r="A5" s="17" t="s">
        <v>167</v>
      </c>
      <c r="B5" s="17" t="s">
        <v>168</v>
      </c>
      <c r="C5" s="65" t="s">
        <v>169</v>
      </c>
      <c r="D5" s="66" t="s">
        <v>170</v>
      </c>
      <c r="E5" s="67" t="s">
        <v>171</v>
      </c>
      <c r="F5" s="68" t="s">
        <v>172</v>
      </c>
      <c r="G5" s="69" t="s">
        <v>173</v>
      </c>
      <c r="H5" s="20" t="s">
        <v>174</v>
      </c>
    </row>
    <row r="6" spans="1:19" ht="13.5" customHeight="1" x14ac:dyDescent="0.25">
      <c r="A6" s="70" t="s">
        <v>175</v>
      </c>
      <c r="B6" s="28" t="s">
        <v>176</v>
      </c>
      <c r="C6" s="71"/>
      <c r="D6" s="71"/>
      <c r="E6" s="71"/>
      <c r="F6" s="71"/>
      <c r="G6" s="71"/>
      <c r="H6" s="72" t="str">
        <f t="shared" ref="H6:H17" si="0">IF(COUNTA(C6:G6)=5,AVERAGE(C6:G6),"")</f>
        <v/>
      </c>
    </row>
    <row r="7" spans="1:19" ht="13.5" customHeight="1" x14ac:dyDescent="0.25">
      <c r="A7" s="70" t="s">
        <v>175</v>
      </c>
      <c r="B7" s="28" t="s">
        <v>177</v>
      </c>
      <c r="C7" s="71"/>
      <c r="D7" s="71"/>
      <c r="E7" s="71"/>
      <c r="F7" s="71"/>
      <c r="G7" s="71"/>
      <c r="H7" s="72" t="str">
        <f t="shared" si="0"/>
        <v/>
      </c>
    </row>
    <row r="8" spans="1:19" ht="13.5" customHeight="1" x14ac:dyDescent="0.25">
      <c r="A8" s="70" t="s">
        <v>175</v>
      </c>
      <c r="B8" s="28" t="s">
        <v>178</v>
      </c>
      <c r="C8" s="71"/>
      <c r="D8" s="71"/>
      <c r="E8" s="71"/>
      <c r="F8" s="71"/>
      <c r="G8" s="71"/>
      <c r="H8" s="72" t="str">
        <f t="shared" si="0"/>
        <v/>
      </c>
    </row>
    <row r="9" spans="1:19" ht="13.5" customHeight="1" x14ac:dyDescent="0.25">
      <c r="A9" s="70" t="s">
        <v>175</v>
      </c>
      <c r="B9" s="28" t="s">
        <v>179</v>
      </c>
      <c r="C9" s="71"/>
      <c r="D9" s="71"/>
      <c r="E9" s="71"/>
      <c r="F9" s="71"/>
      <c r="G9" s="71"/>
      <c r="H9" s="72" t="str">
        <f t="shared" si="0"/>
        <v/>
      </c>
    </row>
    <row r="10" spans="1:19" ht="13.5" customHeight="1" x14ac:dyDescent="0.25">
      <c r="A10" s="70" t="s">
        <v>180</v>
      </c>
      <c r="B10" s="28" t="s">
        <v>176</v>
      </c>
      <c r="C10" s="71"/>
      <c r="D10" s="71"/>
      <c r="E10" s="71"/>
      <c r="F10" s="71"/>
      <c r="G10" s="71"/>
      <c r="H10" s="72" t="str">
        <f t="shared" si="0"/>
        <v/>
      </c>
    </row>
    <row r="11" spans="1:19" ht="13.5" customHeight="1" x14ac:dyDescent="0.25">
      <c r="A11" s="70" t="s">
        <v>180</v>
      </c>
      <c r="B11" s="28" t="s">
        <v>177</v>
      </c>
      <c r="C11" s="71"/>
      <c r="D11" s="71"/>
      <c r="E11" s="71"/>
      <c r="F11" s="71"/>
      <c r="G11" s="71"/>
      <c r="H11" s="72" t="str">
        <f t="shared" si="0"/>
        <v/>
      </c>
    </row>
    <row r="12" spans="1:19" ht="13.5" customHeight="1" x14ac:dyDescent="0.25">
      <c r="A12" s="70" t="s">
        <v>180</v>
      </c>
      <c r="B12" s="28" t="s">
        <v>178</v>
      </c>
      <c r="C12" s="71"/>
      <c r="D12" s="71"/>
      <c r="E12" s="71"/>
      <c r="F12" s="71"/>
      <c r="G12" s="71"/>
      <c r="H12" s="72" t="str">
        <f t="shared" si="0"/>
        <v/>
      </c>
    </row>
    <row r="13" spans="1:19" ht="13.5" customHeight="1" x14ac:dyDescent="0.25">
      <c r="A13" s="70" t="s">
        <v>180</v>
      </c>
      <c r="B13" s="28" t="s">
        <v>179</v>
      </c>
      <c r="C13" s="71"/>
      <c r="D13" s="71"/>
      <c r="E13" s="71"/>
      <c r="F13" s="71"/>
      <c r="G13" s="71"/>
      <c r="H13" s="72" t="str">
        <f t="shared" si="0"/>
        <v/>
      </c>
    </row>
    <row r="14" spans="1:19" ht="13.5" customHeight="1" x14ac:dyDescent="0.25">
      <c r="A14" s="70" t="s">
        <v>181</v>
      </c>
      <c r="B14" s="28" t="s">
        <v>176</v>
      </c>
      <c r="C14" s="71"/>
      <c r="D14" s="71"/>
      <c r="E14" s="71"/>
      <c r="F14" s="71"/>
      <c r="G14" s="71"/>
      <c r="H14" s="72" t="str">
        <f t="shared" si="0"/>
        <v/>
      </c>
    </row>
    <row r="15" spans="1:19" ht="13.5" customHeight="1" x14ac:dyDescent="0.25">
      <c r="A15" s="70" t="s">
        <v>181</v>
      </c>
      <c r="B15" s="28" t="s">
        <v>177</v>
      </c>
      <c r="C15" s="71"/>
      <c r="D15" s="71"/>
      <c r="E15" s="71"/>
      <c r="F15" s="71"/>
      <c r="G15" s="71"/>
      <c r="H15" s="72" t="str">
        <f t="shared" si="0"/>
        <v/>
      </c>
    </row>
    <row r="16" spans="1:19" ht="13.5" customHeight="1" x14ac:dyDescent="0.25">
      <c r="A16" s="70" t="s">
        <v>181</v>
      </c>
      <c r="B16" s="28" t="s">
        <v>178</v>
      </c>
      <c r="C16" s="71"/>
      <c r="D16" s="71"/>
      <c r="E16" s="71"/>
      <c r="F16" s="71"/>
      <c r="G16" s="71"/>
      <c r="H16" s="72" t="str">
        <f t="shared" si="0"/>
        <v/>
      </c>
    </row>
    <row r="17" spans="1:19" ht="13.5" customHeight="1" x14ac:dyDescent="0.25">
      <c r="A17" s="70" t="s">
        <v>181</v>
      </c>
      <c r="B17" s="28" t="s">
        <v>179</v>
      </c>
      <c r="C17" s="71"/>
      <c r="D17" s="71"/>
      <c r="E17" s="71"/>
      <c r="F17" s="71"/>
      <c r="G17" s="71"/>
      <c r="H17" s="72" t="str">
        <f t="shared" si="0"/>
        <v/>
      </c>
    </row>
    <row r="19" spans="1:19" x14ac:dyDescent="0.25">
      <c r="A19" s="12" t="s">
        <v>182</v>
      </c>
      <c r="B19" s="12"/>
      <c r="C19" s="12"/>
      <c r="D19" s="12"/>
      <c r="E19" s="12"/>
      <c r="F19" s="12"/>
      <c r="G19" s="12"/>
      <c r="H19" s="12"/>
    </row>
    <row r="20" spans="1:19" x14ac:dyDescent="0.25">
      <c r="A20" s="17" t="s">
        <v>167</v>
      </c>
      <c r="B20" s="17" t="s">
        <v>176</v>
      </c>
      <c r="C20" s="17" t="s">
        <v>177</v>
      </c>
      <c r="D20" s="17" t="s">
        <v>178</v>
      </c>
      <c r="E20" s="17" t="s">
        <v>179</v>
      </c>
      <c r="F20" s="20" t="s">
        <v>183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</row>
    <row r="21" spans="1:19" x14ac:dyDescent="0.25">
      <c r="A21" s="70" t="s">
        <v>175</v>
      </c>
      <c r="B21" s="71"/>
      <c r="C21" s="71"/>
      <c r="D21" s="71"/>
      <c r="E21" s="71"/>
      <c r="F21" s="72" t="str">
        <f>IF(COUNTA(B21:E21)=4,AVERAGE(B21:E21),"")</f>
        <v/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1:19" x14ac:dyDescent="0.25">
      <c r="A22" s="70" t="s">
        <v>180</v>
      </c>
      <c r="B22" s="71"/>
      <c r="C22" s="71"/>
      <c r="D22" s="71"/>
      <c r="E22" s="71"/>
      <c r="F22" s="72" t="str">
        <f>IF(COUNTA(B22:E22)=4,AVERAGE(B22:E22),"")</f>
        <v/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19" x14ac:dyDescent="0.25">
      <c r="A23" s="70" t="s">
        <v>181</v>
      </c>
      <c r="B23" s="71"/>
      <c r="C23" s="71"/>
      <c r="D23" s="71"/>
      <c r="E23" s="71"/>
      <c r="F23" s="72" t="str">
        <f>IF(COUNTA(B23:E23)=4,AVERAGE(B23:E23),"")</f>
        <v/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5" spans="1:19" x14ac:dyDescent="0.25">
      <c r="A25" s="12" t="s">
        <v>184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25">
      <c r="A26" s="17" t="s">
        <v>167</v>
      </c>
      <c r="B26" s="17" t="s">
        <v>185</v>
      </c>
      <c r="C26" s="17" t="s">
        <v>186</v>
      </c>
      <c r="D26" s="17" t="s">
        <v>187</v>
      </c>
      <c r="E26" s="17" t="s">
        <v>188</v>
      </c>
      <c r="F26" s="20" t="s">
        <v>183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</row>
    <row r="27" spans="1:19" x14ac:dyDescent="0.25">
      <c r="A27" s="70" t="s">
        <v>175</v>
      </c>
      <c r="B27" s="73"/>
      <c r="C27" s="73"/>
      <c r="D27" s="73"/>
      <c r="E27" s="73"/>
      <c r="F27" s="74" t="str">
        <f>IF(COUNTA(B27:E27)=4,AVERAGE(B27:E27),"")</f>
        <v/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19" x14ac:dyDescent="0.25">
      <c r="A28" s="70" t="s">
        <v>180</v>
      </c>
      <c r="B28" s="73"/>
      <c r="C28" s="73"/>
      <c r="D28" s="73"/>
      <c r="E28" s="73"/>
      <c r="F28" s="74" t="str">
        <f>IF(COUNTA(B28:E28)=4,AVERAGE(B28:E28),"")</f>
        <v/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x14ac:dyDescent="0.25">
      <c r="A29" s="70" t="s">
        <v>181</v>
      </c>
      <c r="B29" s="73"/>
      <c r="C29" s="73"/>
      <c r="D29" s="73"/>
      <c r="E29" s="73"/>
      <c r="F29" s="74" t="str">
        <f>IF(COUNTA(B29:E29)=4,AVERAGE(B29:E29),"")</f>
        <v/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1" spans="1:19" x14ac:dyDescent="0.25">
      <c r="A31" s="12" t="s">
        <v>189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24" customHeight="1" x14ac:dyDescent="0.25">
      <c r="A32" s="19" t="s">
        <v>167</v>
      </c>
      <c r="B32" s="19" t="s">
        <v>168</v>
      </c>
      <c r="C32" s="19" t="s">
        <v>42</v>
      </c>
      <c r="D32" s="19" t="s">
        <v>190</v>
      </c>
      <c r="E32" s="19" t="s">
        <v>191</v>
      </c>
      <c r="F32" s="19" t="s">
        <v>192</v>
      </c>
      <c r="G32" s="19" t="s">
        <v>193</v>
      </c>
      <c r="H32" s="19" t="s">
        <v>194</v>
      </c>
      <c r="I32" s="19" t="s">
        <v>195</v>
      </c>
      <c r="J32" s="19" t="s">
        <v>196</v>
      </c>
      <c r="K32" s="19" t="s">
        <v>197</v>
      </c>
      <c r="L32" s="19" t="s">
        <v>198</v>
      </c>
      <c r="M32" s="19" t="s">
        <v>199</v>
      </c>
      <c r="N32" s="58"/>
      <c r="O32" s="58"/>
      <c r="P32" s="58"/>
      <c r="Q32" s="58"/>
      <c r="R32" s="58"/>
      <c r="S32" s="58"/>
    </row>
    <row r="33" spans="1:19" x14ac:dyDescent="0.25">
      <c r="A33" s="75" t="s">
        <v>175</v>
      </c>
      <c r="B33" s="75" t="s">
        <v>177</v>
      </c>
      <c r="C33" s="75" t="s">
        <v>200</v>
      </c>
      <c r="D33" s="76"/>
      <c r="E33" s="76"/>
      <c r="F33" s="76"/>
      <c r="G33" s="76"/>
      <c r="H33" s="76"/>
      <c r="I33" s="76"/>
      <c r="J33" s="76"/>
      <c r="K33" s="76"/>
      <c r="L33" s="76"/>
      <c r="M33" s="70">
        <f t="shared" ref="M33:M50" si="1">SUM(D33:L33)</f>
        <v>0</v>
      </c>
      <c r="N33" s="23"/>
      <c r="O33" s="23"/>
      <c r="P33" s="23"/>
      <c r="Q33" s="23"/>
      <c r="R33" s="23"/>
      <c r="S33" s="23"/>
    </row>
    <row r="34" spans="1:19" x14ac:dyDescent="0.25">
      <c r="A34" s="75" t="s">
        <v>175</v>
      </c>
      <c r="B34" s="75" t="s">
        <v>177</v>
      </c>
      <c r="C34" s="75" t="s">
        <v>201</v>
      </c>
      <c r="D34" s="76"/>
      <c r="E34" s="76"/>
      <c r="F34" s="76"/>
      <c r="G34" s="76"/>
      <c r="H34" s="76"/>
      <c r="I34" s="76"/>
      <c r="J34" s="76"/>
      <c r="K34" s="76"/>
      <c r="L34" s="76"/>
      <c r="M34" s="70">
        <f t="shared" si="1"/>
        <v>0</v>
      </c>
      <c r="N34" s="23"/>
      <c r="O34" s="23"/>
      <c r="P34" s="23"/>
      <c r="Q34" s="23"/>
      <c r="R34" s="23"/>
      <c r="S34" s="23"/>
    </row>
    <row r="35" spans="1:19" x14ac:dyDescent="0.25">
      <c r="A35" s="75" t="s">
        <v>175</v>
      </c>
      <c r="B35" s="75" t="s">
        <v>178</v>
      </c>
      <c r="C35" s="75" t="s">
        <v>200</v>
      </c>
      <c r="D35" s="76"/>
      <c r="E35" s="76"/>
      <c r="F35" s="76"/>
      <c r="G35" s="76"/>
      <c r="H35" s="76"/>
      <c r="I35" s="76"/>
      <c r="J35" s="76"/>
      <c r="K35" s="76"/>
      <c r="L35" s="76"/>
      <c r="M35" s="70">
        <f t="shared" si="1"/>
        <v>0</v>
      </c>
      <c r="N35" s="23"/>
      <c r="O35" s="23"/>
      <c r="P35" s="23"/>
      <c r="Q35" s="23"/>
      <c r="R35" s="23"/>
      <c r="S35" s="23"/>
    </row>
    <row r="36" spans="1:19" x14ac:dyDescent="0.25">
      <c r="A36" s="75" t="s">
        <v>175</v>
      </c>
      <c r="B36" s="75" t="s">
        <v>178</v>
      </c>
      <c r="C36" s="75" t="s">
        <v>201</v>
      </c>
      <c r="D36" s="76"/>
      <c r="E36" s="76"/>
      <c r="F36" s="76"/>
      <c r="G36" s="76"/>
      <c r="H36" s="76"/>
      <c r="I36" s="76"/>
      <c r="J36" s="76"/>
      <c r="K36" s="76"/>
      <c r="L36" s="76"/>
      <c r="M36" s="70">
        <f t="shared" si="1"/>
        <v>0</v>
      </c>
      <c r="N36" s="23"/>
      <c r="O36" s="23"/>
      <c r="P36" s="23"/>
      <c r="Q36" s="23"/>
      <c r="R36" s="23"/>
      <c r="S36" s="23"/>
    </row>
    <row r="37" spans="1:19" x14ac:dyDescent="0.25">
      <c r="A37" s="75" t="s">
        <v>175</v>
      </c>
      <c r="B37" s="75" t="s">
        <v>179</v>
      </c>
      <c r="C37" s="75" t="s">
        <v>200</v>
      </c>
      <c r="D37" s="76"/>
      <c r="E37" s="76"/>
      <c r="F37" s="76"/>
      <c r="G37" s="76"/>
      <c r="H37" s="76"/>
      <c r="I37" s="76"/>
      <c r="J37" s="76"/>
      <c r="K37" s="76"/>
      <c r="L37" s="76"/>
      <c r="M37" s="70">
        <f t="shared" si="1"/>
        <v>0</v>
      </c>
      <c r="N37" s="23"/>
      <c r="O37" s="23"/>
      <c r="P37" s="23"/>
      <c r="Q37" s="23"/>
      <c r="R37" s="23"/>
      <c r="S37" s="23"/>
    </row>
    <row r="38" spans="1:19" x14ac:dyDescent="0.25">
      <c r="A38" s="75" t="s">
        <v>175</v>
      </c>
      <c r="B38" s="75" t="s">
        <v>179</v>
      </c>
      <c r="C38" s="75" t="s">
        <v>201</v>
      </c>
      <c r="D38" s="76"/>
      <c r="E38" s="76"/>
      <c r="F38" s="76"/>
      <c r="G38" s="76"/>
      <c r="H38" s="76"/>
      <c r="I38" s="76"/>
      <c r="J38" s="76"/>
      <c r="K38" s="76"/>
      <c r="L38" s="76"/>
      <c r="M38" s="70">
        <f t="shared" si="1"/>
        <v>0</v>
      </c>
      <c r="N38" s="23"/>
      <c r="O38" s="23"/>
      <c r="P38" s="23"/>
      <c r="Q38" s="23"/>
      <c r="R38" s="23"/>
      <c r="S38" s="23"/>
    </row>
    <row r="39" spans="1:19" x14ac:dyDescent="0.25">
      <c r="A39" s="75" t="s">
        <v>180</v>
      </c>
      <c r="B39" s="75" t="s">
        <v>177</v>
      </c>
      <c r="C39" s="75" t="s">
        <v>200</v>
      </c>
      <c r="D39" s="76"/>
      <c r="E39" s="76"/>
      <c r="F39" s="76"/>
      <c r="G39" s="76"/>
      <c r="H39" s="76"/>
      <c r="I39" s="76"/>
      <c r="J39" s="76"/>
      <c r="K39" s="76"/>
      <c r="L39" s="76"/>
      <c r="M39" s="70">
        <f t="shared" si="1"/>
        <v>0</v>
      </c>
      <c r="N39" s="23"/>
      <c r="O39" s="23"/>
      <c r="P39" s="23"/>
      <c r="Q39" s="23"/>
      <c r="R39" s="23"/>
      <c r="S39" s="23"/>
    </row>
    <row r="40" spans="1:19" x14ac:dyDescent="0.25">
      <c r="A40" s="75" t="s">
        <v>180</v>
      </c>
      <c r="B40" s="75" t="s">
        <v>177</v>
      </c>
      <c r="C40" s="75" t="s">
        <v>201</v>
      </c>
      <c r="D40" s="76"/>
      <c r="E40" s="76"/>
      <c r="F40" s="76"/>
      <c r="G40" s="76"/>
      <c r="H40" s="76"/>
      <c r="I40" s="76"/>
      <c r="J40" s="76"/>
      <c r="K40" s="76"/>
      <c r="L40" s="76"/>
      <c r="M40" s="70">
        <f t="shared" si="1"/>
        <v>0</v>
      </c>
      <c r="N40" s="23"/>
      <c r="O40" s="23"/>
      <c r="P40" s="23"/>
      <c r="Q40" s="23"/>
      <c r="R40" s="23"/>
      <c r="S40" s="23"/>
    </row>
    <row r="41" spans="1:19" x14ac:dyDescent="0.25">
      <c r="A41" s="75" t="s">
        <v>180</v>
      </c>
      <c r="B41" s="75" t="s">
        <v>178</v>
      </c>
      <c r="C41" s="75" t="s">
        <v>200</v>
      </c>
      <c r="D41" s="76"/>
      <c r="E41" s="76"/>
      <c r="F41" s="76"/>
      <c r="G41" s="76"/>
      <c r="H41" s="76"/>
      <c r="I41" s="76"/>
      <c r="J41" s="76"/>
      <c r="K41" s="76"/>
      <c r="L41" s="76"/>
      <c r="M41" s="70">
        <f t="shared" si="1"/>
        <v>0</v>
      </c>
      <c r="N41" s="23"/>
      <c r="O41" s="23"/>
      <c r="P41" s="23"/>
      <c r="Q41" s="23"/>
      <c r="R41" s="23"/>
      <c r="S41" s="23"/>
    </row>
    <row r="42" spans="1:19" x14ac:dyDescent="0.25">
      <c r="A42" s="75" t="s">
        <v>180</v>
      </c>
      <c r="B42" s="75" t="s">
        <v>178</v>
      </c>
      <c r="C42" s="75" t="s">
        <v>201</v>
      </c>
      <c r="D42" s="76"/>
      <c r="E42" s="76"/>
      <c r="F42" s="76"/>
      <c r="G42" s="76"/>
      <c r="H42" s="76"/>
      <c r="I42" s="76"/>
      <c r="J42" s="76"/>
      <c r="K42" s="76"/>
      <c r="L42" s="76"/>
      <c r="M42" s="70">
        <f t="shared" si="1"/>
        <v>0</v>
      </c>
      <c r="N42" s="23"/>
      <c r="O42" s="23"/>
      <c r="P42" s="23"/>
      <c r="Q42" s="23"/>
      <c r="R42" s="23"/>
      <c r="S42" s="23"/>
    </row>
    <row r="43" spans="1:19" x14ac:dyDescent="0.25">
      <c r="A43" s="75" t="s">
        <v>180</v>
      </c>
      <c r="B43" s="75" t="s">
        <v>179</v>
      </c>
      <c r="C43" s="75" t="s">
        <v>200</v>
      </c>
      <c r="D43" s="76"/>
      <c r="E43" s="76"/>
      <c r="F43" s="76"/>
      <c r="G43" s="76"/>
      <c r="H43" s="76"/>
      <c r="I43" s="76"/>
      <c r="J43" s="76"/>
      <c r="K43" s="76"/>
      <c r="L43" s="76"/>
      <c r="M43" s="70">
        <f t="shared" si="1"/>
        <v>0</v>
      </c>
      <c r="N43" s="23"/>
      <c r="O43" s="23"/>
      <c r="P43" s="23"/>
      <c r="Q43" s="23"/>
      <c r="R43" s="23"/>
      <c r="S43" s="23"/>
    </row>
    <row r="44" spans="1:19" x14ac:dyDescent="0.25">
      <c r="A44" s="75" t="s">
        <v>180</v>
      </c>
      <c r="B44" s="75" t="s">
        <v>179</v>
      </c>
      <c r="C44" s="75" t="s">
        <v>201</v>
      </c>
      <c r="D44" s="76"/>
      <c r="E44" s="76"/>
      <c r="F44" s="76"/>
      <c r="G44" s="76"/>
      <c r="H44" s="76"/>
      <c r="I44" s="76"/>
      <c r="J44" s="76"/>
      <c r="K44" s="76"/>
      <c r="L44" s="76"/>
      <c r="M44" s="70">
        <f t="shared" si="1"/>
        <v>0</v>
      </c>
      <c r="N44" s="23"/>
      <c r="O44" s="23"/>
      <c r="P44" s="23"/>
      <c r="Q44" s="23"/>
      <c r="R44" s="23"/>
      <c r="S44" s="23"/>
    </row>
    <row r="45" spans="1:19" x14ac:dyDescent="0.25">
      <c r="A45" s="75" t="s">
        <v>181</v>
      </c>
      <c r="B45" s="75" t="s">
        <v>177</v>
      </c>
      <c r="C45" s="75" t="s">
        <v>200</v>
      </c>
      <c r="D45" s="76"/>
      <c r="E45" s="76"/>
      <c r="F45" s="76"/>
      <c r="G45" s="76"/>
      <c r="H45" s="76"/>
      <c r="I45" s="76"/>
      <c r="J45" s="76"/>
      <c r="K45" s="76"/>
      <c r="L45" s="76"/>
      <c r="M45" s="70">
        <f t="shared" si="1"/>
        <v>0</v>
      </c>
      <c r="N45" s="23"/>
      <c r="O45" s="23"/>
      <c r="P45" s="23"/>
      <c r="Q45" s="23"/>
      <c r="R45" s="23"/>
      <c r="S45" s="23"/>
    </row>
    <row r="46" spans="1:19" x14ac:dyDescent="0.25">
      <c r="A46" s="75" t="s">
        <v>181</v>
      </c>
      <c r="B46" s="75" t="s">
        <v>177</v>
      </c>
      <c r="C46" s="75" t="s">
        <v>201</v>
      </c>
      <c r="D46" s="76"/>
      <c r="E46" s="76"/>
      <c r="F46" s="76"/>
      <c r="G46" s="76"/>
      <c r="H46" s="76"/>
      <c r="I46" s="76"/>
      <c r="J46" s="76"/>
      <c r="K46" s="76"/>
      <c r="L46" s="76"/>
      <c r="M46" s="70">
        <f t="shared" si="1"/>
        <v>0</v>
      </c>
      <c r="N46" s="23"/>
      <c r="O46" s="23"/>
      <c r="P46" s="23"/>
      <c r="Q46" s="23"/>
      <c r="R46" s="23"/>
      <c r="S46" s="23"/>
    </row>
    <row r="47" spans="1:19" x14ac:dyDescent="0.25">
      <c r="A47" s="75" t="s">
        <v>181</v>
      </c>
      <c r="B47" s="75" t="s">
        <v>178</v>
      </c>
      <c r="C47" s="75" t="s">
        <v>200</v>
      </c>
      <c r="D47" s="76"/>
      <c r="E47" s="76"/>
      <c r="F47" s="76"/>
      <c r="G47" s="76"/>
      <c r="H47" s="76"/>
      <c r="I47" s="76"/>
      <c r="J47" s="76"/>
      <c r="K47" s="76"/>
      <c r="L47" s="76"/>
      <c r="M47" s="70">
        <f t="shared" si="1"/>
        <v>0</v>
      </c>
      <c r="N47" s="23"/>
      <c r="O47" s="23"/>
      <c r="P47" s="23"/>
      <c r="Q47" s="23"/>
      <c r="R47" s="23"/>
      <c r="S47" s="23"/>
    </row>
    <row r="48" spans="1:19" x14ac:dyDescent="0.25">
      <c r="A48" s="75" t="s">
        <v>181</v>
      </c>
      <c r="B48" s="75" t="s">
        <v>178</v>
      </c>
      <c r="C48" s="75" t="s">
        <v>201</v>
      </c>
      <c r="D48" s="76"/>
      <c r="E48" s="76"/>
      <c r="F48" s="76"/>
      <c r="G48" s="76"/>
      <c r="H48" s="76"/>
      <c r="I48" s="76"/>
      <c r="J48" s="76"/>
      <c r="K48" s="76"/>
      <c r="L48" s="76"/>
      <c r="M48" s="70">
        <f t="shared" si="1"/>
        <v>0</v>
      </c>
      <c r="N48" s="23"/>
      <c r="O48" s="23"/>
      <c r="P48" s="23"/>
      <c r="Q48" s="23"/>
      <c r="R48" s="23"/>
      <c r="S48" s="23"/>
    </row>
    <row r="49" spans="1:19" x14ac:dyDescent="0.25">
      <c r="A49" s="75" t="s">
        <v>181</v>
      </c>
      <c r="B49" s="75" t="s">
        <v>179</v>
      </c>
      <c r="C49" s="75" t="s">
        <v>200</v>
      </c>
      <c r="D49" s="76"/>
      <c r="E49" s="76"/>
      <c r="F49" s="76"/>
      <c r="G49" s="76"/>
      <c r="H49" s="76"/>
      <c r="I49" s="76"/>
      <c r="J49" s="76"/>
      <c r="K49" s="76"/>
      <c r="L49" s="76"/>
      <c r="M49" s="70">
        <f t="shared" si="1"/>
        <v>0</v>
      </c>
      <c r="N49" s="23"/>
      <c r="O49" s="23"/>
      <c r="P49" s="23"/>
      <c r="Q49" s="23"/>
      <c r="R49" s="23"/>
      <c r="S49" s="23"/>
    </row>
    <row r="50" spans="1:19" x14ac:dyDescent="0.25">
      <c r="A50" s="75" t="s">
        <v>181</v>
      </c>
      <c r="B50" s="75" t="s">
        <v>179</v>
      </c>
      <c r="C50" s="75" t="s">
        <v>201</v>
      </c>
      <c r="D50" s="76"/>
      <c r="E50" s="76"/>
      <c r="F50" s="76"/>
      <c r="G50" s="76"/>
      <c r="H50" s="76"/>
      <c r="I50" s="76"/>
      <c r="J50" s="76"/>
      <c r="K50" s="76"/>
      <c r="L50" s="76"/>
      <c r="M50" s="70">
        <f t="shared" si="1"/>
        <v>0</v>
      </c>
      <c r="N50" s="23"/>
      <c r="O50" s="23"/>
      <c r="P50" s="23"/>
      <c r="Q50" s="23"/>
      <c r="R50" s="23"/>
      <c r="S50" s="23"/>
    </row>
  </sheetData>
  <mergeCells count="6">
    <mergeCell ref="A31:S31"/>
    <mergeCell ref="A1:S1"/>
    <mergeCell ref="A2:S2"/>
    <mergeCell ref="A4:S4"/>
    <mergeCell ref="A19:H19"/>
    <mergeCell ref="A25:S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N30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7109375" defaultRowHeight="15" x14ac:dyDescent="0.25"/>
  <cols>
    <col min="1" max="1" width="14" customWidth="1"/>
    <col min="2" max="3" width="8" customWidth="1"/>
    <col min="4" max="14" width="7" customWidth="1"/>
  </cols>
  <sheetData>
    <row r="1" spans="1:14" ht="15.75" x14ac:dyDescent="0.25">
      <c r="A1" s="92" t="s">
        <v>202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x14ac:dyDescent="0.25">
      <c r="A2" s="93" t="s">
        <v>203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14" x14ac:dyDescent="0.25">
      <c r="A3" s="94" t="s">
        <v>204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5" spans="1:14" ht="27.75" customHeight="1" x14ac:dyDescent="0.25">
      <c r="A5" s="77" t="s">
        <v>167</v>
      </c>
      <c r="B5" s="77" t="s">
        <v>205</v>
      </c>
      <c r="C5" s="77" t="s">
        <v>42</v>
      </c>
      <c r="D5" s="77" t="s">
        <v>206</v>
      </c>
      <c r="E5" s="77" t="s">
        <v>207</v>
      </c>
      <c r="F5" s="77" t="s">
        <v>208</v>
      </c>
      <c r="G5" s="77" t="s">
        <v>209</v>
      </c>
      <c r="H5" s="77" t="s">
        <v>210</v>
      </c>
      <c r="I5" s="77" t="s">
        <v>211</v>
      </c>
      <c r="J5" s="77" t="s">
        <v>212</v>
      </c>
      <c r="K5" s="77" t="s">
        <v>213</v>
      </c>
      <c r="L5" s="77" t="s">
        <v>214</v>
      </c>
      <c r="M5" s="77" t="s">
        <v>215</v>
      </c>
    </row>
    <row r="6" spans="1:14" ht="13.5" customHeight="1" x14ac:dyDescent="0.25">
      <c r="A6" s="78" t="s">
        <v>175</v>
      </c>
      <c r="B6" s="79" t="s">
        <v>177</v>
      </c>
      <c r="C6" s="79" t="s">
        <v>200</v>
      </c>
      <c r="D6" s="29"/>
      <c r="E6" s="29"/>
      <c r="F6" s="29"/>
      <c r="G6" s="29"/>
      <c r="H6" s="29"/>
      <c r="I6" s="29"/>
      <c r="J6" s="29"/>
      <c r="K6" s="29"/>
      <c r="L6" s="29"/>
      <c r="M6" s="49">
        <f t="shared" ref="M6:M23" si="0">SUM(D6:L6)</f>
        <v>0</v>
      </c>
    </row>
    <row r="7" spans="1:14" ht="13.5" customHeight="1" x14ac:dyDescent="0.25">
      <c r="A7" s="78" t="s">
        <v>175</v>
      </c>
      <c r="B7" s="79" t="s">
        <v>177</v>
      </c>
      <c r="C7" s="79" t="s">
        <v>201</v>
      </c>
      <c r="D7" s="29"/>
      <c r="E7" s="29"/>
      <c r="F7" s="29"/>
      <c r="G7" s="29"/>
      <c r="H7" s="29"/>
      <c r="I7" s="29"/>
      <c r="J7" s="29"/>
      <c r="K7" s="29"/>
      <c r="L7" s="29"/>
      <c r="M7" s="49">
        <f t="shared" si="0"/>
        <v>0</v>
      </c>
    </row>
    <row r="8" spans="1:14" ht="13.5" customHeight="1" x14ac:dyDescent="0.25">
      <c r="A8" s="78" t="s">
        <v>175</v>
      </c>
      <c r="B8" s="79" t="s">
        <v>178</v>
      </c>
      <c r="C8" s="79" t="s">
        <v>200</v>
      </c>
      <c r="D8" s="29"/>
      <c r="E8" s="29"/>
      <c r="F8" s="29"/>
      <c r="G8" s="29"/>
      <c r="H8" s="29"/>
      <c r="I8" s="29"/>
      <c r="J8" s="29"/>
      <c r="K8" s="29"/>
      <c r="L8" s="29"/>
      <c r="M8" s="49">
        <f t="shared" si="0"/>
        <v>0</v>
      </c>
    </row>
    <row r="9" spans="1:14" ht="13.5" customHeight="1" x14ac:dyDescent="0.25">
      <c r="A9" s="78" t="s">
        <v>175</v>
      </c>
      <c r="B9" s="79" t="s">
        <v>178</v>
      </c>
      <c r="C9" s="79" t="s">
        <v>201</v>
      </c>
      <c r="D9" s="29"/>
      <c r="E9" s="29"/>
      <c r="F9" s="29"/>
      <c r="G9" s="29"/>
      <c r="H9" s="29"/>
      <c r="I9" s="29"/>
      <c r="J9" s="29"/>
      <c r="K9" s="29"/>
      <c r="L9" s="29"/>
      <c r="M9" s="49">
        <f t="shared" si="0"/>
        <v>0</v>
      </c>
    </row>
    <row r="10" spans="1:14" ht="13.5" customHeight="1" x14ac:dyDescent="0.25">
      <c r="A10" s="78" t="s">
        <v>175</v>
      </c>
      <c r="B10" s="79" t="s">
        <v>179</v>
      </c>
      <c r="C10" s="79" t="s">
        <v>200</v>
      </c>
      <c r="D10" s="29"/>
      <c r="E10" s="29"/>
      <c r="F10" s="29"/>
      <c r="G10" s="29"/>
      <c r="H10" s="29"/>
      <c r="I10" s="29"/>
      <c r="J10" s="29"/>
      <c r="K10" s="29"/>
      <c r="L10" s="29"/>
      <c r="M10" s="49">
        <f t="shared" si="0"/>
        <v>0</v>
      </c>
    </row>
    <row r="11" spans="1:14" ht="13.5" customHeight="1" x14ac:dyDescent="0.25">
      <c r="A11" s="78" t="s">
        <v>175</v>
      </c>
      <c r="B11" s="79" t="s">
        <v>179</v>
      </c>
      <c r="C11" s="79" t="s">
        <v>201</v>
      </c>
      <c r="D11" s="29"/>
      <c r="E11" s="29"/>
      <c r="F11" s="29"/>
      <c r="G11" s="29"/>
      <c r="H11" s="29"/>
      <c r="I11" s="29"/>
      <c r="J11" s="29"/>
      <c r="K11" s="29"/>
      <c r="L11" s="29"/>
      <c r="M11" s="49">
        <f t="shared" si="0"/>
        <v>0</v>
      </c>
    </row>
    <row r="12" spans="1:14" ht="13.5" customHeight="1" x14ac:dyDescent="0.25">
      <c r="A12" s="80" t="s">
        <v>180</v>
      </c>
      <c r="B12" s="81" t="s">
        <v>177</v>
      </c>
      <c r="C12" s="81" t="s">
        <v>200</v>
      </c>
      <c r="D12" s="29"/>
      <c r="E12" s="29"/>
      <c r="F12" s="29"/>
      <c r="G12" s="29"/>
      <c r="H12" s="29"/>
      <c r="I12" s="29"/>
      <c r="J12" s="29"/>
      <c r="K12" s="29"/>
      <c r="L12" s="29"/>
      <c r="M12" s="49">
        <f t="shared" si="0"/>
        <v>0</v>
      </c>
    </row>
    <row r="13" spans="1:14" ht="13.5" customHeight="1" x14ac:dyDescent="0.25">
      <c r="A13" s="80" t="s">
        <v>180</v>
      </c>
      <c r="B13" s="81" t="s">
        <v>177</v>
      </c>
      <c r="C13" s="81" t="s">
        <v>201</v>
      </c>
      <c r="D13" s="29"/>
      <c r="E13" s="29"/>
      <c r="F13" s="29"/>
      <c r="G13" s="29"/>
      <c r="H13" s="29"/>
      <c r="I13" s="29"/>
      <c r="J13" s="29"/>
      <c r="K13" s="29"/>
      <c r="L13" s="29"/>
      <c r="M13" s="49">
        <f t="shared" si="0"/>
        <v>0</v>
      </c>
    </row>
    <row r="14" spans="1:14" ht="13.5" customHeight="1" x14ac:dyDescent="0.25">
      <c r="A14" s="80" t="s">
        <v>180</v>
      </c>
      <c r="B14" s="81" t="s">
        <v>178</v>
      </c>
      <c r="C14" s="81" t="s">
        <v>200</v>
      </c>
      <c r="D14" s="29"/>
      <c r="E14" s="29"/>
      <c r="F14" s="29"/>
      <c r="G14" s="29"/>
      <c r="H14" s="29"/>
      <c r="I14" s="29"/>
      <c r="J14" s="29"/>
      <c r="K14" s="29"/>
      <c r="L14" s="29"/>
      <c r="M14" s="49">
        <f t="shared" si="0"/>
        <v>0</v>
      </c>
    </row>
    <row r="15" spans="1:14" ht="13.5" customHeight="1" x14ac:dyDescent="0.25">
      <c r="A15" s="80" t="s">
        <v>180</v>
      </c>
      <c r="B15" s="81" t="s">
        <v>178</v>
      </c>
      <c r="C15" s="81" t="s">
        <v>201</v>
      </c>
      <c r="D15" s="29"/>
      <c r="E15" s="29"/>
      <c r="F15" s="29"/>
      <c r="G15" s="29"/>
      <c r="H15" s="29"/>
      <c r="I15" s="29"/>
      <c r="J15" s="29"/>
      <c r="K15" s="29"/>
      <c r="L15" s="29"/>
      <c r="M15" s="49">
        <f t="shared" si="0"/>
        <v>0</v>
      </c>
    </row>
    <row r="16" spans="1:14" ht="13.5" customHeight="1" x14ac:dyDescent="0.25">
      <c r="A16" s="80" t="s">
        <v>180</v>
      </c>
      <c r="B16" s="81" t="s">
        <v>179</v>
      </c>
      <c r="C16" s="81" t="s">
        <v>200</v>
      </c>
      <c r="D16" s="29"/>
      <c r="E16" s="29"/>
      <c r="F16" s="29"/>
      <c r="G16" s="29"/>
      <c r="H16" s="29"/>
      <c r="I16" s="29"/>
      <c r="J16" s="29"/>
      <c r="K16" s="29"/>
      <c r="L16" s="29"/>
      <c r="M16" s="49">
        <f t="shared" si="0"/>
        <v>0</v>
      </c>
    </row>
    <row r="17" spans="1:14" ht="13.5" customHeight="1" x14ac:dyDescent="0.25">
      <c r="A17" s="80" t="s">
        <v>180</v>
      </c>
      <c r="B17" s="81" t="s">
        <v>179</v>
      </c>
      <c r="C17" s="81" t="s">
        <v>201</v>
      </c>
      <c r="D17" s="29"/>
      <c r="E17" s="29"/>
      <c r="F17" s="29"/>
      <c r="G17" s="29"/>
      <c r="H17" s="29"/>
      <c r="I17" s="29"/>
      <c r="J17" s="29"/>
      <c r="K17" s="29"/>
      <c r="L17" s="29"/>
      <c r="M17" s="49">
        <f t="shared" si="0"/>
        <v>0</v>
      </c>
    </row>
    <row r="18" spans="1:14" ht="13.5" customHeight="1" x14ac:dyDescent="0.25">
      <c r="A18" s="78" t="s">
        <v>181</v>
      </c>
      <c r="B18" s="79" t="s">
        <v>177</v>
      </c>
      <c r="C18" s="79" t="s">
        <v>200</v>
      </c>
      <c r="D18" s="29"/>
      <c r="E18" s="29"/>
      <c r="F18" s="29"/>
      <c r="G18" s="29"/>
      <c r="H18" s="29"/>
      <c r="I18" s="29"/>
      <c r="J18" s="29"/>
      <c r="K18" s="29"/>
      <c r="L18" s="29"/>
      <c r="M18" s="49">
        <f t="shared" si="0"/>
        <v>0</v>
      </c>
    </row>
    <row r="19" spans="1:14" ht="13.5" customHeight="1" x14ac:dyDescent="0.25">
      <c r="A19" s="78" t="s">
        <v>181</v>
      </c>
      <c r="B19" s="79" t="s">
        <v>177</v>
      </c>
      <c r="C19" s="79" t="s">
        <v>201</v>
      </c>
      <c r="D19" s="29"/>
      <c r="E19" s="29"/>
      <c r="F19" s="29"/>
      <c r="G19" s="29"/>
      <c r="H19" s="29"/>
      <c r="I19" s="29"/>
      <c r="J19" s="29"/>
      <c r="K19" s="29"/>
      <c r="L19" s="29"/>
      <c r="M19" s="49">
        <f t="shared" si="0"/>
        <v>0</v>
      </c>
    </row>
    <row r="20" spans="1:14" ht="13.5" customHeight="1" x14ac:dyDescent="0.25">
      <c r="A20" s="78" t="s">
        <v>181</v>
      </c>
      <c r="B20" s="79" t="s">
        <v>178</v>
      </c>
      <c r="C20" s="79" t="s">
        <v>200</v>
      </c>
      <c r="D20" s="29"/>
      <c r="E20" s="29"/>
      <c r="F20" s="29"/>
      <c r="G20" s="29"/>
      <c r="H20" s="29"/>
      <c r="I20" s="29"/>
      <c r="J20" s="29"/>
      <c r="K20" s="29"/>
      <c r="L20" s="29"/>
      <c r="M20" s="49">
        <f t="shared" si="0"/>
        <v>0</v>
      </c>
    </row>
    <row r="21" spans="1:14" ht="13.5" customHeight="1" x14ac:dyDescent="0.25">
      <c r="A21" s="78" t="s">
        <v>181</v>
      </c>
      <c r="B21" s="79" t="s">
        <v>178</v>
      </c>
      <c r="C21" s="79" t="s">
        <v>201</v>
      </c>
      <c r="D21" s="29"/>
      <c r="E21" s="29"/>
      <c r="F21" s="29"/>
      <c r="G21" s="29"/>
      <c r="H21" s="29"/>
      <c r="I21" s="29"/>
      <c r="J21" s="29"/>
      <c r="K21" s="29"/>
      <c r="L21" s="29"/>
      <c r="M21" s="49">
        <f t="shared" si="0"/>
        <v>0</v>
      </c>
    </row>
    <row r="22" spans="1:14" ht="13.5" customHeight="1" x14ac:dyDescent="0.25">
      <c r="A22" s="78" t="s">
        <v>181</v>
      </c>
      <c r="B22" s="79" t="s">
        <v>179</v>
      </c>
      <c r="C22" s="79" t="s">
        <v>200</v>
      </c>
      <c r="D22" s="29"/>
      <c r="E22" s="29"/>
      <c r="F22" s="29"/>
      <c r="G22" s="29"/>
      <c r="H22" s="29"/>
      <c r="I22" s="29"/>
      <c r="J22" s="29"/>
      <c r="K22" s="29"/>
      <c r="L22" s="29"/>
      <c r="M22" s="49">
        <f t="shared" si="0"/>
        <v>0</v>
      </c>
    </row>
    <row r="23" spans="1:14" ht="13.5" customHeight="1" x14ac:dyDescent="0.25">
      <c r="A23" s="78" t="s">
        <v>181</v>
      </c>
      <c r="B23" s="79" t="s">
        <v>179</v>
      </c>
      <c r="C23" s="79" t="s">
        <v>201</v>
      </c>
      <c r="D23" s="29"/>
      <c r="E23" s="29"/>
      <c r="F23" s="29"/>
      <c r="G23" s="29"/>
      <c r="H23" s="29"/>
      <c r="I23" s="29"/>
      <c r="J23" s="29"/>
      <c r="K23" s="29"/>
      <c r="L23" s="29"/>
      <c r="M23" s="49">
        <f t="shared" si="0"/>
        <v>0</v>
      </c>
    </row>
    <row r="25" spans="1:14" x14ac:dyDescent="0.25">
      <c r="A25" s="12" t="s">
        <v>216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ht="13.5" customHeight="1" x14ac:dyDescent="0.25">
      <c r="A26" s="82" t="s">
        <v>217</v>
      </c>
      <c r="B26" s="82" t="s">
        <v>218</v>
      </c>
      <c r="C26" s="82" t="s">
        <v>219</v>
      </c>
      <c r="D26" s="82" t="s">
        <v>220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</row>
    <row r="27" spans="1:14" ht="13.5" customHeight="1" x14ac:dyDescent="0.25">
      <c r="A27" s="83" t="s">
        <v>221</v>
      </c>
      <c r="B27" s="83" t="s">
        <v>222</v>
      </c>
      <c r="C27" s="83" t="s">
        <v>223</v>
      </c>
      <c r="D27" s="83" t="s">
        <v>224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3.5" customHeight="1" x14ac:dyDescent="0.25">
      <c r="A28" s="83" t="s">
        <v>221</v>
      </c>
      <c r="B28" s="83" t="s">
        <v>225</v>
      </c>
      <c r="C28" s="83" t="s">
        <v>226</v>
      </c>
      <c r="D28" s="83" t="s">
        <v>227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3.5" customHeight="1" x14ac:dyDescent="0.25">
      <c r="A29" s="83" t="s">
        <v>228</v>
      </c>
      <c r="B29" s="83" t="s">
        <v>222</v>
      </c>
      <c r="C29" s="83" t="s">
        <v>223</v>
      </c>
      <c r="D29" s="83" t="s">
        <v>229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3.5" customHeight="1" x14ac:dyDescent="0.25">
      <c r="A30" s="83" t="s">
        <v>228</v>
      </c>
      <c r="B30" s="83" t="s">
        <v>225</v>
      </c>
      <c r="C30" s="83" t="s">
        <v>226</v>
      </c>
      <c r="D30" s="83" t="s">
        <v>230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</row>
  </sheetData>
  <mergeCells count="4">
    <mergeCell ref="A1:N1"/>
    <mergeCell ref="A2:N2"/>
    <mergeCell ref="A3:N3"/>
    <mergeCell ref="A25:N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Instructions</vt:lpstr>
      <vt:lpstr>Calc. Besoins S1</vt:lpstr>
      <vt:lpstr>S1-A</vt:lpstr>
      <vt:lpstr>S1-B</vt:lpstr>
      <vt:lpstr>S1-C</vt:lpstr>
      <vt:lpstr>S2-A</vt:lpstr>
      <vt:lpstr>S2-B</vt:lpstr>
      <vt:lpstr>S2-C</vt:lpstr>
      <vt:lpstr>S3-A</vt:lpstr>
      <vt:lpstr>S3-B</vt:lpstr>
      <vt:lpstr>S3-C</vt:lpstr>
      <vt:lpstr>S4-A</vt:lpstr>
      <vt:lpstr>S4-B</vt:lpstr>
      <vt:lpstr>S4-C</vt:lpstr>
      <vt:lpstr>Résultats</vt:lpstr>
      <vt:lpstr>Progrès (Animateur)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Stéphane JAUBERT</cp:lastModifiedBy>
  <cp:revision>0</cp:revision>
  <dcterms:created xsi:type="dcterms:W3CDTF">2026-05-09T04:39:14Z</dcterms:created>
  <dcterms:modified xsi:type="dcterms:W3CDTF">2026-05-09T04:41:51Z</dcterms:modified>
  <dc:language>en-US</dc:language>
</cp:coreProperties>
</file>