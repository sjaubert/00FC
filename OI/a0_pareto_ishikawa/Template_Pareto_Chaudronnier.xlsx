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cfaicentre-my.sharepoint.com/personal/s_jaubert_poleformation-uimmcvdl_fr/Documents/00FC/OI/A0 Pareto - Ishikawa/"/>
    </mc:Choice>
  </mc:AlternateContent>
  <xr:revisionPtr revIDLastSave="50" documentId="11_E62DBA95E96421727B015E18D07CDFF7B80D98E7" xr6:coauthVersionLast="47" xr6:coauthVersionMax="47" xr10:uidLastSave="{605B835E-AB6D-4020-A746-167E53F7C4B8}"/>
  <bookViews>
    <workbookView xWindow="-98" yWindow="-98" windowWidth="21795" windowHeight="13875" activeTab="1" xr2:uid="{00000000-000D-0000-FFFF-FFFF00000000}"/>
  </bookViews>
  <sheets>
    <sheet name="Modele Vierge" sheetId="1" r:id="rId1"/>
    <sheet name="Feuil1" sheetId="4" r:id="rId2"/>
    <sheet name="Activite 2 - Tuyauterie" sheetId="2" r:id="rId3"/>
    <sheet name="Activite 3 - Deux atelier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4" l="1"/>
  <c r="D5" i="4"/>
  <c r="D6" i="4"/>
  <c r="D7" i="4"/>
  <c r="D3" i="4"/>
  <c r="D2" i="4"/>
  <c r="C3" i="4"/>
  <c r="C4" i="4"/>
  <c r="C5" i="4"/>
  <c r="C6" i="4"/>
  <c r="C7" i="4"/>
  <c r="C2" i="4"/>
  <c r="B8" i="4"/>
  <c r="B21" i="1"/>
</calcChain>
</file>

<file path=xl/sharedStrings.xml><?xml version="1.0" encoding="utf-8"?>
<sst xmlns="http://schemas.openxmlformats.org/spreadsheetml/2006/main" count="67" uniqueCount="59">
  <si>
    <t>DIAGRAMME DE PARETO - MODELE VIERGE</t>
  </si>
  <si>
    <t>Instructions :</t>
  </si>
  <si>
    <t>1. Remplissez la colonne A avec les types de defauts</t>
  </si>
  <si>
    <t>2. Remplissez la colonne B avec les quantites</t>
  </si>
  <si>
    <t>3. Les colonnes C et D se calculent automatiquement</t>
  </si>
  <si>
    <t>4. Triez par quantite decroissante</t>
  </si>
  <si>
    <t>5. Creez un graphique : histogramme (B) + courbe (D)</t>
  </si>
  <si>
    <t>Type de defaut</t>
  </si>
  <si>
    <t>Quantite</t>
  </si>
  <si>
    <t>%</t>
  </si>
  <si>
    <t>% Cumule</t>
  </si>
  <si>
    <t>TOTAL</t>
  </si>
  <si>
    <t>DONNEES BRUTES - ACTIVITE 2 : Tuyauterie Industrielle</t>
  </si>
  <si>
    <t>Chantier : Extension unite petrochimique - 2800 soudures</t>
  </si>
  <si>
    <t>150 non-conformites relevees par CND (radiographie + ressuage)</t>
  </si>
  <si>
    <t>Description</t>
  </si>
  <si>
    <t>Porosite</t>
  </si>
  <si>
    <t>Bulles de gaz piegees dans le cordon</t>
  </si>
  <si>
    <t>Manque de penetration</t>
  </si>
  <si>
    <t>Fusion incomplete a la racine</t>
  </si>
  <si>
    <t>Caniveau</t>
  </si>
  <si>
    <t>Sillon le long du cordon</t>
  </si>
  <si>
    <t>Fissure longitudinale</t>
  </si>
  <si>
    <t>Fissure parallele au cordon</t>
  </si>
  <si>
    <t>Inclusion de laitier</t>
  </si>
  <si>
    <t>Residu de laitier piege</t>
  </si>
  <si>
    <t>Exces de surepaisseur</t>
  </si>
  <si>
    <t>Cordon trop epais</t>
  </si>
  <si>
    <t>Defaut d'alignement</t>
  </si>
  <si>
    <t>Decalage des bords a souder</t>
  </si>
  <si>
    <t>Morsure</t>
  </si>
  <si>
    <t>Entaille dans le metal de base</t>
  </si>
  <si>
    <t>VOTRE TRAVAIL : Ajoutez les colonnes % et % Cumule, triez et creez le graphique</t>
  </si>
  <si>
    <t>DONNEES BRUTES - ACTIVITE 3 : Deux ateliers</t>
  </si>
  <si>
    <t>ATELIER A - Decoupe Plasma (120 NC)</t>
  </si>
  <si>
    <t>Bavures excessives</t>
  </si>
  <si>
    <t>Cotes hors tolerance</t>
  </si>
  <si>
    <t>Deformation thermique</t>
  </si>
  <si>
    <t>Rugosite de decoupe</t>
  </si>
  <si>
    <t>Erreur de programme</t>
  </si>
  <si>
    <t>Amorcage rate</t>
  </si>
  <si>
    <t>Piece inversee</t>
  </si>
  <si>
    <t>ATELIER B - Assemblage / Soudure (95 NC)</t>
  </si>
  <si>
    <t>Porosite soudure</t>
  </si>
  <si>
    <t>Defaut d'accostage</t>
  </si>
  <si>
    <t>Deformation assemblage</t>
  </si>
  <si>
    <t>Cordon non conforme</t>
  </si>
  <si>
    <t>Projection adherente</t>
  </si>
  <si>
    <t>Erreur de reperage</t>
  </si>
  <si>
    <t>type de defaut</t>
  </si>
  <si>
    <t>quantité</t>
  </si>
  <si>
    <t>Porosité (soudure)</t>
  </si>
  <si>
    <t>Caniveau (soudure)</t>
  </si>
  <si>
    <t>Déformation (pliage/soudure)</t>
  </si>
  <si>
    <t>Cote Hors Tolérance (découpe)</t>
  </si>
  <si>
    <t>Rayure (manutention)</t>
  </si>
  <si>
    <t>Fissure (soudure)</t>
  </si>
  <si>
    <t>Fréquence</t>
  </si>
  <si>
    <t>Fréquence Cumulée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</si>
</sst>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2C3E50"/>
      <name val="Calibri"/>
    </font>
    <font>
      <b/>
      <sz val="11"/>
      <color rgb="FFE67E22"/>
      <name val="Calibri"/>
    </font>
    <font>
      <b/>
      <sz val="11"/>
      <color rgb="FFFFFFFF"/>
      <name val="Calibri"/>
    </font>
    <font>
      <b/>
      <sz val="11"/>
      <name val="Calibri"/>
    </font>
    <font>
      <i/>
      <sz val="11"/>
      <color rgb="FF7F8C8D"/>
      <name val="Calibri"/>
    </font>
    <font>
      <b/>
      <sz val="12"/>
      <color rgb="FFE67E22"/>
      <name val="Calibri"/>
    </font>
    <font>
      <b/>
      <sz val="12"/>
      <color rgb="FF8E44AD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i/>
      <sz val="11"/>
      <color rgb="FF99999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67E22"/>
        <bgColor rgb="FFE67E22"/>
      </patternFill>
    </fill>
    <fill>
      <patternFill patternType="solid">
        <fgColor rgb="FFD35400"/>
        <bgColor rgb="FFD35400"/>
      </patternFill>
    </fill>
    <fill>
      <patternFill patternType="solid">
        <fgColor rgb="FF8E44AD"/>
        <bgColor rgb="FF8E44AD"/>
      </patternFill>
    </fill>
    <fill>
      <patternFill patternType="solid">
        <fgColor rgb="FFFFF3CD"/>
        <bgColor indexed="64"/>
      </patternFill>
    </fill>
    <fill>
      <patternFill patternType="solid">
        <fgColor rgb="FFFEF9F2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3" fillId="3" borderId="1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3" fillId="4" borderId="1" xfId="0" applyFont="1" applyFill="1" applyBorder="1" applyAlignment="1">
      <alignment horizontal="center" vertical="center"/>
    </xf>
    <xf numFmtId="0" fontId="1" fillId="0" borderId="0" xfId="0" applyFont="1"/>
    <xf numFmtId="0" fontId="0" fillId="0" borderId="0" xfId="0"/>
    <xf numFmtId="0" fontId="1" fillId="0" borderId="0" xfId="0" applyFont="1" applyAlignment="1">
      <alignment horizontal="center"/>
    </xf>
    <xf numFmtId="0" fontId="10" fillId="0" borderId="1" xfId="0" applyFont="1" applyBorder="1" applyAlignment="1">
      <alignment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vertical="center" wrapText="1"/>
    </xf>
    <xf numFmtId="9" fontId="0" fillId="0" borderId="1" xfId="1" applyFont="1" applyBorder="1"/>
    <xf numFmtId="0" fontId="9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9" fontId="0" fillId="0" borderId="1" xfId="0" applyNumberFormat="1" applyBorder="1"/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Feuil1!$A$2:$A$7</c:f>
              <c:strCache>
                <c:ptCount val="6"/>
                <c:pt idx="0">
                  <c:v>Porosité (soudure)</c:v>
                </c:pt>
                <c:pt idx="1">
                  <c:v>Caniveau (soudure)</c:v>
                </c:pt>
                <c:pt idx="2">
                  <c:v>Déformation (pliage/soudure)</c:v>
                </c:pt>
                <c:pt idx="3">
                  <c:v>Cote Hors Tolérance (découpe)</c:v>
                </c:pt>
                <c:pt idx="4">
                  <c:v>Rayure (manutention)</c:v>
                </c:pt>
                <c:pt idx="5">
                  <c:v>Fissure (soudure)</c:v>
                </c:pt>
              </c:strCache>
            </c:strRef>
          </c:cat>
          <c:val>
            <c:numRef>
              <c:f>Feuil1!$B$2:$B$7</c:f>
              <c:numCache>
                <c:formatCode>General</c:formatCode>
                <c:ptCount val="6"/>
                <c:pt idx="0">
                  <c:v>42</c:v>
                </c:pt>
                <c:pt idx="1">
                  <c:v>13</c:v>
                </c:pt>
                <c:pt idx="2">
                  <c:v>8</c:v>
                </c:pt>
                <c:pt idx="3">
                  <c:v>5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85-42D7-AE4C-94F936ECED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286416"/>
        <c:axId val="65287376"/>
      </c:barChart>
      <c:catAx>
        <c:axId val="6528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287376"/>
        <c:crosses val="autoZero"/>
        <c:auto val="1"/>
        <c:lblAlgn val="ctr"/>
        <c:lblOffset val="100"/>
        <c:noMultiLvlLbl val="0"/>
      </c:catAx>
      <c:valAx>
        <c:axId val="6528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286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997164</xdr:colOff>
      <xdr:row>0</xdr:row>
      <xdr:rowOff>129945</xdr:rowOff>
    </xdr:from>
    <xdr:to>
      <xdr:col>5</xdr:col>
      <xdr:colOff>643801</xdr:colOff>
      <xdr:row>13</xdr:row>
      <xdr:rowOff>64997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70C86E4-75FF-CD83-67CC-CDE1F75311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67E22"/>
  </sheetPr>
  <dimension ref="A1:D21"/>
  <sheetViews>
    <sheetView workbookViewId="0">
      <selection activeCell="B21" sqref="B21"/>
    </sheetView>
  </sheetViews>
  <sheetFormatPr baseColWidth="10" defaultColWidth="9.1328125" defaultRowHeight="14.25" x14ac:dyDescent="0.45"/>
  <cols>
    <col min="1" max="1" width="25" customWidth="1"/>
    <col min="2" max="4" width="12" customWidth="1"/>
  </cols>
  <sheetData>
    <row r="1" spans="1:4" ht="18" x14ac:dyDescent="0.55000000000000004">
      <c r="A1" s="12" t="s">
        <v>0</v>
      </c>
      <c r="B1" s="13"/>
      <c r="C1" s="13"/>
      <c r="D1" s="13"/>
    </row>
    <row r="3" spans="1:4" x14ac:dyDescent="0.45">
      <c r="A3" s="1" t="s">
        <v>1</v>
      </c>
    </row>
    <row r="4" spans="1:4" x14ac:dyDescent="0.45">
      <c r="A4" t="s">
        <v>2</v>
      </c>
    </row>
    <row r="5" spans="1:4" x14ac:dyDescent="0.45">
      <c r="A5" t="s">
        <v>3</v>
      </c>
    </row>
    <row r="6" spans="1:4" x14ac:dyDescent="0.45">
      <c r="A6" t="s">
        <v>4</v>
      </c>
    </row>
    <row r="7" spans="1:4" x14ac:dyDescent="0.45">
      <c r="A7" t="s">
        <v>5</v>
      </c>
    </row>
    <row r="8" spans="1:4" x14ac:dyDescent="0.45">
      <c r="A8" t="s">
        <v>6</v>
      </c>
    </row>
    <row r="10" spans="1:4" x14ac:dyDescent="0.45">
      <c r="A10" s="2" t="s">
        <v>7</v>
      </c>
      <c r="B10" s="2" t="s">
        <v>8</v>
      </c>
      <c r="C10" s="2" t="s">
        <v>9</v>
      </c>
      <c r="D10" s="2" t="s">
        <v>10</v>
      </c>
    </row>
    <row r="11" spans="1:4" x14ac:dyDescent="0.45">
      <c r="A11" s="3"/>
      <c r="B11" s="4"/>
      <c r="C11" s="4"/>
      <c r="D11" s="4"/>
    </row>
    <row r="12" spans="1:4" x14ac:dyDescent="0.45">
      <c r="A12" s="3"/>
      <c r="B12" s="4"/>
      <c r="C12" s="4"/>
      <c r="D12" s="4"/>
    </row>
    <row r="13" spans="1:4" x14ac:dyDescent="0.45">
      <c r="A13" s="3"/>
      <c r="B13" s="4"/>
      <c r="C13" s="4"/>
      <c r="D13" s="4"/>
    </row>
    <row r="14" spans="1:4" x14ac:dyDescent="0.45">
      <c r="A14" s="3"/>
      <c r="B14" s="4"/>
      <c r="C14" s="4"/>
      <c r="D14" s="4"/>
    </row>
    <row r="15" spans="1:4" x14ac:dyDescent="0.45">
      <c r="A15" s="3"/>
      <c r="B15" s="4"/>
      <c r="C15" s="4"/>
      <c r="D15" s="4"/>
    </row>
    <row r="16" spans="1:4" x14ac:dyDescent="0.45">
      <c r="A16" s="3"/>
      <c r="B16" s="4"/>
      <c r="C16" s="4"/>
      <c r="D16" s="4"/>
    </row>
    <row r="17" spans="1:4" x14ac:dyDescent="0.45">
      <c r="A17" s="3"/>
      <c r="B17" s="4"/>
      <c r="C17" s="4"/>
      <c r="D17" s="4"/>
    </row>
    <row r="18" spans="1:4" x14ac:dyDescent="0.45">
      <c r="A18" s="3"/>
      <c r="B18" s="4"/>
      <c r="C18" s="4"/>
      <c r="D18" s="4"/>
    </row>
    <row r="19" spans="1:4" x14ac:dyDescent="0.45">
      <c r="A19" s="3"/>
      <c r="B19" s="4"/>
      <c r="C19" s="4"/>
      <c r="D19" s="4"/>
    </row>
    <row r="20" spans="1:4" x14ac:dyDescent="0.45">
      <c r="A20" s="3"/>
      <c r="B20" s="4"/>
      <c r="C20" s="4"/>
      <c r="D20" s="4"/>
    </row>
    <row r="21" spans="1:4" x14ac:dyDescent="0.45">
      <c r="A21" s="5" t="s">
        <v>11</v>
      </c>
      <c r="B21" s="6" t="e">
        <f ca="1">SOMME(B11:B20)</f>
        <v>#NAME?</v>
      </c>
      <c r="C21" s="4"/>
      <c r="D21" s="4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EFDFC-80EF-46B3-B4F8-F8369B7E5EB6}">
  <dimension ref="A1:D8"/>
  <sheetViews>
    <sheetView tabSelected="1" zoomScale="193" workbookViewId="0">
      <selection activeCell="D4" sqref="D4"/>
    </sheetView>
  </sheetViews>
  <sheetFormatPr baseColWidth="10" defaultRowHeight="14.25" x14ac:dyDescent="0.45"/>
  <cols>
    <col min="1" max="1" width="26.265625" customWidth="1"/>
  </cols>
  <sheetData>
    <row r="1" spans="1:4" ht="28.5" x14ac:dyDescent="0.45">
      <c r="A1" s="19" t="s">
        <v>49</v>
      </c>
      <c r="B1" s="19" t="s">
        <v>50</v>
      </c>
      <c r="C1" s="19" t="s">
        <v>57</v>
      </c>
      <c r="D1" s="20" t="s">
        <v>58</v>
      </c>
    </row>
    <row r="2" spans="1:4" x14ac:dyDescent="0.45">
      <c r="A2" s="15" t="s">
        <v>51</v>
      </c>
      <c r="B2" s="16">
        <v>42</v>
      </c>
      <c r="C2" s="18">
        <f>B2/$B$8</f>
        <v>0.56756756756756754</v>
      </c>
      <c r="D2" s="21">
        <f>C2</f>
        <v>0.56756756756756754</v>
      </c>
    </row>
    <row r="3" spans="1:4" x14ac:dyDescent="0.45">
      <c r="A3" s="17" t="s">
        <v>52</v>
      </c>
      <c r="B3" s="16">
        <v>13</v>
      </c>
      <c r="C3" s="18">
        <f t="shared" ref="C3:C7" si="0">B3/$B$8</f>
        <v>0.17567567567567569</v>
      </c>
      <c r="D3" s="21">
        <f>D2+C3</f>
        <v>0.7432432432432432</v>
      </c>
    </row>
    <row r="4" spans="1:4" ht="23.65" customHeight="1" x14ac:dyDescent="0.45">
      <c r="A4" s="15" t="s">
        <v>53</v>
      </c>
      <c r="B4" s="16">
        <v>8</v>
      </c>
      <c r="C4" s="18">
        <f t="shared" si="0"/>
        <v>0.10810810810810811</v>
      </c>
      <c r="D4" s="21">
        <f t="shared" ref="D4:D7" si="1">D3+C4</f>
        <v>0.85135135135135132</v>
      </c>
    </row>
    <row r="5" spans="1:4" ht="27" x14ac:dyDescent="0.45">
      <c r="A5" s="17" t="s">
        <v>54</v>
      </c>
      <c r="B5" s="16">
        <v>5</v>
      </c>
      <c r="C5" s="18">
        <f t="shared" si="0"/>
        <v>6.7567567567567571E-2</v>
      </c>
      <c r="D5" s="21">
        <f t="shared" si="1"/>
        <v>0.91891891891891886</v>
      </c>
    </row>
    <row r="6" spans="1:4" x14ac:dyDescent="0.45">
      <c r="A6" s="15" t="s">
        <v>55</v>
      </c>
      <c r="B6" s="16">
        <v>3</v>
      </c>
      <c r="C6" s="18">
        <f t="shared" si="0"/>
        <v>4.0540540540540543E-2</v>
      </c>
      <c r="D6" s="21">
        <f t="shared" si="1"/>
        <v>0.95945945945945943</v>
      </c>
    </row>
    <row r="7" spans="1:4" x14ac:dyDescent="0.45">
      <c r="A7" s="17" t="s">
        <v>56</v>
      </c>
      <c r="B7" s="16">
        <v>3</v>
      </c>
      <c r="C7" s="18">
        <f t="shared" si="0"/>
        <v>4.0540540540540543E-2</v>
      </c>
      <c r="D7" s="21">
        <f t="shared" si="1"/>
        <v>1</v>
      </c>
    </row>
    <row r="8" spans="1:4" x14ac:dyDescent="0.45">
      <c r="B8">
        <f>SUM(B2:B7)</f>
        <v>74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35400"/>
  </sheetPr>
  <dimension ref="A1:C17"/>
  <sheetViews>
    <sheetView workbookViewId="0">
      <selection sqref="A1:C1"/>
    </sheetView>
  </sheetViews>
  <sheetFormatPr baseColWidth="10" defaultColWidth="9.1328125" defaultRowHeight="14.25" x14ac:dyDescent="0.45"/>
  <cols>
    <col min="1" max="1" width="25" customWidth="1"/>
    <col min="2" max="2" width="40" customWidth="1"/>
    <col min="3" max="3" width="12" customWidth="1"/>
  </cols>
  <sheetData>
    <row r="1" spans="1:3" ht="18" x14ac:dyDescent="0.55000000000000004">
      <c r="A1" s="12" t="s">
        <v>12</v>
      </c>
      <c r="B1" s="13"/>
      <c r="C1" s="13"/>
    </row>
    <row r="3" spans="1:3" x14ac:dyDescent="0.45">
      <c r="A3" s="7" t="s">
        <v>13</v>
      </c>
    </row>
    <row r="4" spans="1:3" x14ac:dyDescent="0.45">
      <c r="A4" s="7" t="s">
        <v>14</v>
      </c>
    </row>
    <row r="6" spans="1:3" x14ac:dyDescent="0.45">
      <c r="A6" s="8" t="s">
        <v>7</v>
      </c>
      <c r="B6" s="8" t="s">
        <v>15</v>
      </c>
      <c r="C6" s="8" t="s">
        <v>8</v>
      </c>
    </row>
    <row r="7" spans="1:3" x14ac:dyDescent="0.45">
      <c r="A7" s="3" t="s">
        <v>16</v>
      </c>
      <c r="B7" s="4" t="s">
        <v>17</v>
      </c>
      <c r="C7" s="4">
        <v>48</v>
      </c>
    </row>
    <row r="8" spans="1:3" x14ac:dyDescent="0.45">
      <c r="A8" s="3" t="s">
        <v>18</v>
      </c>
      <c r="B8" s="4" t="s">
        <v>19</v>
      </c>
      <c r="C8" s="4">
        <v>31</v>
      </c>
    </row>
    <row r="9" spans="1:3" x14ac:dyDescent="0.45">
      <c r="A9" s="3" t="s">
        <v>20</v>
      </c>
      <c r="B9" s="4" t="s">
        <v>21</v>
      </c>
      <c r="C9" s="4">
        <v>24</v>
      </c>
    </row>
    <row r="10" spans="1:3" x14ac:dyDescent="0.45">
      <c r="A10" s="3" t="s">
        <v>22</v>
      </c>
      <c r="B10" s="4" t="s">
        <v>23</v>
      </c>
      <c r="C10" s="4">
        <v>18</v>
      </c>
    </row>
    <row r="11" spans="1:3" x14ac:dyDescent="0.45">
      <c r="A11" s="3" t="s">
        <v>24</v>
      </c>
      <c r="B11" s="4" t="s">
        <v>25</v>
      </c>
      <c r="C11" s="4">
        <v>12</v>
      </c>
    </row>
    <row r="12" spans="1:3" x14ac:dyDescent="0.45">
      <c r="A12" s="3" t="s">
        <v>26</v>
      </c>
      <c r="B12" s="4" t="s">
        <v>27</v>
      </c>
      <c r="C12" s="4">
        <v>9</v>
      </c>
    </row>
    <row r="13" spans="1:3" x14ac:dyDescent="0.45">
      <c r="A13" s="3" t="s">
        <v>28</v>
      </c>
      <c r="B13" s="4" t="s">
        <v>29</v>
      </c>
      <c r="C13" s="4">
        <v>5</v>
      </c>
    </row>
    <row r="14" spans="1:3" x14ac:dyDescent="0.45">
      <c r="A14" s="3" t="s">
        <v>30</v>
      </c>
      <c r="B14" s="4" t="s">
        <v>31</v>
      </c>
      <c r="C14" s="4">
        <v>3</v>
      </c>
    </row>
    <row r="15" spans="1:3" x14ac:dyDescent="0.45">
      <c r="A15" s="5" t="s">
        <v>11</v>
      </c>
      <c r="B15" s="4"/>
      <c r="C15" s="6">
        <v>150</v>
      </c>
    </row>
    <row r="17" spans="1:1" x14ac:dyDescent="0.45">
      <c r="A17" s="1" t="s">
        <v>32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E44AD"/>
  </sheetPr>
  <dimension ref="A1:E22"/>
  <sheetViews>
    <sheetView workbookViewId="0">
      <selection activeCell="E21" sqref="E21"/>
    </sheetView>
  </sheetViews>
  <sheetFormatPr baseColWidth="10" defaultColWidth="9.1328125" defaultRowHeight="14.25" x14ac:dyDescent="0.45"/>
  <cols>
    <col min="1" max="1" width="28" customWidth="1"/>
    <col min="2" max="2" width="12" customWidth="1"/>
    <col min="11" max="11" width="28.73046875" customWidth="1"/>
    <col min="12" max="12" width="20.73046875" customWidth="1"/>
  </cols>
  <sheetData>
    <row r="1" spans="1:5" ht="18" x14ac:dyDescent="0.55000000000000004">
      <c r="A1" s="14" t="s">
        <v>33</v>
      </c>
      <c r="B1" s="14"/>
      <c r="C1" s="14"/>
      <c r="D1" s="14"/>
      <c r="E1" s="14"/>
    </row>
    <row r="3" spans="1:5" ht="15.75" x14ac:dyDescent="0.5">
      <c r="A3" s="9" t="s">
        <v>34</v>
      </c>
    </row>
    <row r="4" spans="1:5" x14ac:dyDescent="0.45">
      <c r="A4" s="2" t="s">
        <v>7</v>
      </c>
      <c r="B4" s="2" t="s">
        <v>8</v>
      </c>
    </row>
    <row r="5" spans="1:5" x14ac:dyDescent="0.45">
      <c r="A5" s="3" t="s">
        <v>35</v>
      </c>
      <c r="B5" s="4">
        <v>38</v>
      </c>
    </row>
    <row r="6" spans="1:5" x14ac:dyDescent="0.45">
      <c r="A6" s="3" t="s">
        <v>36</v>
      </c>
      <c r="B6" s="4">
        <v>29</v>
      </c>
    </row>
    <row r="7" spans="1:5" x14ac:dyDescent="0.45">
      <c r="A7" s="3" t="s">
        <v>37</v>
      </c>
      <c r="B7" s="4">
        <v>21</v>
      </c>
    </row>
    <row r="8" spans="1:5" x14ac:dyDescent="0.45">
      <c r="A8" s="3" t="s">
        <v>38</v>
      </c>
      <c r="B8" s="4">
        <v>14</v>
      </c>
    </row>
    <row r="9" spans="1:5" x14ac:dyDescent="0.45">
      <c r="A9" s="3" t="s">
        <v>39</v>
      </c>
      <c r="B9" s="4">
        <v>9</v>
      </c>
    </row>
    <row r="10" spans="1:5" x14ac:dyDescent="0.45">
      <c r="A10" s="3" t="s">
        <v>40</v>
      </c>
      <c r="B10" s="4">
        <v>6</v>
      </c>
    </row>
    <row r="11" spans="1:5" x14ac:dyDescent="0.45">
      <c r="A11" s="3" t="s">
        <v>41</v>
      </c>
      <c r="B11" s="4">
        <v>3</v>
      </c>
    </row>
    <row r="14" spans="1:5" ht="15.75" x14ac:dyDescent="0.5">
      <c r="A14" s="10" t="s">
        <v>42</v>
      </c>
    </row>
    <row r="15" spans="1:5" x14ac:dyDescent="0.45">
      <c r="A15" s="11" t="s">
        <v>7</v>
      </c>
      <c r="B15" s="11" t="s">
        <v>8</v>
      </c>
    </row>
    <row r="16" spans="1:5" x14ac:dyDescent="0.45">
      <c r="A16" s="3" t="s">
        <v>43</v>
      </c>
      <c r="B16" s="4">
        <v>28</v>
      </c>
    </row>
    <row r="17" spans="1:2" x14ac:dyDescent="0.45">
      <c r="A17" s="3" t="s">
        <v>44</v>
      </c>
      <c r="B17" s="4">
        <v>22</v>
      </c>
    </row>
    <row r="18" spans="1:2" x14ac:dyDescent="0.45">
      <c r="A18" s="3" t="s">
        <v>45</v>
      </c>
      <c r="B18" s="4">
        <v>17</v>
      </c>
    </row>
    <row r="19" spans="1:2" x14ac:dyDescent="0.45">
      <c r="A19" s="3" t="s">
        <v>46</v>
      </c>
      <c r="B19" s="4">
        <v>12</v>
      </c>
    </row>
    <row r="20" spans="1:2" x14ac:dyDescent="0.45">
      <c r="A20" s="3" t="s">
        <v>18</v>
      </c>
      <c r="B20" s="4">
        <v>8</v>
      </c>
    </row>
    <row r="21" spans="1:2" x14ac:dyDescent="0.45">
      <c r="A21" s="3" t="s">
        <v>47</v>
      </c>
      <c r="B21" s="4">
        <v>5</v>
      </c>
    </row>
    <row r="22" spans="1:2" x14ac:dyDescent="0.45">
      <c r="A22" s="3" t="s">
        <v>48</v>
      </c>
      <c r="B22" s="4">
        <v>3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Modele Vierge</vt:lpstr>
      <vt:lpstr>Feuil1</vt:lpstr>
      <vt:lpstr>Activite 2 - Tuyauterie</vt:lpstr>
      <vt:lpstr>Activite 3 - Deux ateliers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Stéphane JAUBERT</cp:lastModifiedBy>
  <dcterms:created xsi:type="dcterms:W3CDTF">2026-02-25T07:59:29Z</dcterms:created>
  <dcterms:modified xsi:type="dcterms:W3CDTF">2026-02-26T15:03:20Z</dcterms:modified>
</cp:coreProperties>
</file>