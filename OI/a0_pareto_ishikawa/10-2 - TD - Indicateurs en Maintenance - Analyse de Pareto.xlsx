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A0 Pareto - Ishikawa/"/>
    </mc:Choice>
  </mc:AlternateContent>
  <xr:revisionPtr revIDLastSave="101" documentId="8_{BE7FAD65-EE56-4FDE-8A93-A34F0F61FBD1}" xr6:coauthVersionLast="47" xr6:coauthVersionMax="47" xr10:uidLastSave="{ACABE259-6282-486F-B24D-C0922997B89E}"/>
  <bookViews>
    <workbookView xWindow="-120" yWindow="-120" windowWidth="29040" windowHeight="15720" activeTab="3" xr2:uid="{00000000-000D-0000-FFFF-FFFF00000000}"/>
  </bookViews>
  <sheets>
    <sheet name="EXO1" sheetId="2" r:id="rId1"/>
    <sheet name="EXO2" sheetId="3" r:id="rId2"/>
    <sheet name="EXO3" sheetId="4" r:id="rId3"/>
    <sheet name="EXO4" sheetId="5" r:id="rId4"/>
    <sheet name="EXO5" sheetId="6" r:id="rId5"/>
    <sheet name="EXO6" sheetId="7" r:id="rId6"/>
    <sheet name="EXO7" sheetId="1" r:id="rId7"/>
    <sheet name="EXO8" sheetId="8" r:id="rId8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4" l="1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C27" i="2" l="1"/>
</calcChain>
</file>

<file path=xl/sharedStrings.xml><?xml version="1.0" encoding="utf-8"?>
<sst xmlns="http://schemas.openxmlformats.org/spreadsheetml/2006/main" count="1051" uniqueCount="263">
  <si>
    <t>Dates des pannes</t>
  </si>
  <si>
    <t>Désignation</t>
  </si>
  <si>
    <t>Classe des pannes ou nature des pannes</t>
  </si>
  <si>
    <t>Elec</t>
  </si>
  <si>
    <t>Meca</t>
  </si>
  <si>
    <t>Méca</t>
  </si>
  <si>
    <t>Usure normale</t>
  </si>
  <si>
    <t>Manque de maintenance</t>
  </si>
  <si>
    <t>Utilisation incorrecte</t>
  </si>
  <si>
    <t>Autres raisons</t>
  </si>
  <si>
    <t>Chgt des molettes</t>
  </si>
  <si>
    <t>C</t>
  </si>
  <si>
    <t>X</t>
  </si>
  <si>
    <t>Retournement des lames</t>
  </si>
  <si>
    <r>
      <t>Heures d'arrêt en 1/100</t>
    </r>
    <r>
      <rPr>
        <b/>
        <vertAlign val="superscript"/>
        <sz val="10"/>
        <rFont val="Arial"/>
        <family val="2"/>
      </rPr>
      <t>ème</t>
    </r>
    <r>
      <rPr>
        <b/>
        <sz val="10"/>
        <rFont val="Arial"/>
        <family val="2"/>
      </rPr>
      <t xml:space="preserve"> d'heure</t>
    </r>
  </si>
  <si>
    <t>Réglage des molettes</t>
  </si>
  <si>
    <t>Réglage sécurité cisaille</t>
  </si>
  <si>
    <t>D</t>
  </si>
  <si>
    <t>Chgt mamelon sur circuit hydraulique</t>
  </si>
  <si>
    <t>F</t>
  </si>
  <si>
    <t>Remise en place goupille sécurité</t>
  </si>
  <si>
    <t>Déblocage poinçon</t>
  </si>
  <si>
    <t>Réglage cylindre sur cisaille</t>
  </si>
  <si>
    <t>Réparation fuite hydraulique</t>
  </si>
  <si>
    <t>Nettoyage filtre à air soudeuse</t>
  </si>
  <si>
    <t>E</t>
  </si>
  <si>
    <t>Réglage des lames</t>
  </si>
  <si>
    <t>Démontage galet inf (axe grippé)</t>
  </si>
  <si>
    <t>Chgt électro vanne</t>
  </si>
  <si>
    <t>Chgt galet Pinceur</t>
  </si>
  <si>
    <t>Rotor à cage (moteur)</t>
  </si>
  <si>
    <t>B</t>
  </si>
  <si>
    <t>Chgt rouleau d'entrée</t>
  </si>
  <si>
    <t>Roulement moteur</t>
  </si>
  <si>
    <t>A</t>
  </si>
  <si>
    <t>Stator moteur</t>
  </si>
  <si>
    <t>Réglage serrage tôle</t>
  </si>
  <si>
    <t>Boit à bornes moteur</t>
  </si>
  <si>
    <t>Remplacement fusibles</t>
  </si>
  <si>
    <t>Réglage recouvrement</t>
  </si>
  <si>
    <t>Chgt accumulateur</t>
  </si>
  <si>
    <t>Chgt distributeur pneumatique</t>
  </si>
  <si>
    <t>Chgt plaque d'usure</t>
  </si>
  <si>
    <t>Réglage des vitesses</t>
  </si>
  <si>
    <t>Réglage pression galets</t>
  </si>
  <si>
    <t>Chgt roulements moteur</t>
  </si>
  <si>
    <t>Chgt cellule photo électrique</t>
  </si>
  <si>
    <t>Goupille sécurité cassée</t>
  </si>
  <si>
    <t>Contact de cde cassé</t>
  </si>
  <si>
    <t>G</t>
  </si>
  <si>
    <t>Chgt cable de frein</t>
  </si>
  <si>
    <t>H</t>
  </si>
  <si>
    <t>Chgt courroie</t>
  </si>
  <si>
    <t>Chgt stator</t>
  </si>
  <si>
    <t>Chgt butée descente</t>
  </si>
  <si>
    <t>Réglage cable frein</t>
  </si>
  <si>
    <t>Chgt fusible</t>
  </si>
  <si>
    <t>Chgt ARU</t>
  </si>
  <si>
    <t>Chgt mano à bain d'huile</t>
  </si>
  <si>
    <t>Chgt flexible</t>
  </si>
  <si>
    <t>Réglage serre tôle</t>
  </si>
  <si>
    <t>Chgt régulateur de pression</t>
  </si>
  <si>
    <t>Chgt roulements</t>
  </si>
  <si>
    <t>Chgt molettes de réglage</t>
  </si>
  <si>
    <t>Chgt filtre à air</t>
  </si>
  <si>
    <t>Réglage molettes</t>
  </si>
  <si>
    <t>Chgt contacteur</t>
  </si>
  <si>
    <t>Chgt plaque à bornes (moteur)</t>
  </si>
  <si>
    <t>Chgt cable de frein et réglage</t>
  </si>
  <si>
    <t>Chgt guide cable</t>
  </si>
  <si>
    <t>Réglage frein</t>
  </si>
  <si>
    <t>Guide descente lame à changer</t>
  </si>
  <si>
    <t xml:space="preserve">Dépoussièrage moteur </t>
  </si>
  <si>
    <t>Dégrippage vérin de calage</t>
  </si>
  <si>
    <t>Ressort de rappel cassé</t>
  </si>
  <si>
    <t>Palier inférieur</t>
  </si>
  <si>
    <t>Raccord à changer</t>
  </si>
  <si>
    <t>Voyant graissage</t>
  </si>
  <si>
    <t>Flasque palier (coté ventilateur moteur)</t>
  </si>
  <si>
    <t>Chgt roulement</t>
  </si>
  <si>
    <t>HISTORIQUE DES PANNES</t>
  </si>
  <si>
    <t>Centre de charge</t>
  </si>
  <si>
    <t>Heures de maintenance</t>
  </si>
  <si>
    <t>Transfert linéaire 2</t>
  </si>
  <si>
    <t>Robot peinture</t>
  </si>
  <si>
    <t>Presses</t>
  </si>
  <si>
    <t>Ligne montage 2</t>
  </si>
  <si>
    <t>Ligne montage 1</t>
  </si>
  <si>
    <t>Transports internes</t>
  </si>
  <si>
    <t>Robot soudure</t>
  </si>
  <si>
    <t>Fraiseuse CN 17</t>
  </si>
  <si>
    <t>Tour CN 11</t>
  </si>
  <si>
    <t>Transfert linéaire 1</t>
  </si>
  <si>
    <t>Transfert circulaire 1</t>
  </si>
  <si>
    <t>Transfert circulaire 2</t>
  </si>
  <si>
    <t>Alimentation air comprimé</t>
  </si>
  <si>
    <t>Extrudeuse 5</t>
  </si>
  <si>
    <t>Entretien des bâtiments</t>
  </si>
  <si>
    <t>Fours à TTh</t>
  </si>
  <si>
    <t>Alimentation vapeur</t>
  </si>
  <si>
    <t>Perceuses</t>
  </si>
  <si>
    <t>Fraiseuse 13</t>
  </si>
  <si>
    <t>Tour 12</t>
  </si>
  <si>
    <t>Contrôle fabrication</t>
  </si>
  <si>
    <t>Matériels de contrôle</t>
  </si>
  <si>
    <t>Equipement incendie</t>
  </si>
  <si>
    <t>Électricité (hors EDF)</t>
  </si>
  <si>
    <t>Alimentation eau</t>
  </si>
  <si>
    <t>N°</t>
  </si>
  <si>
    <t>Véhicule</t>
  </si>
  <si>
    <t>Date</t>
  </si>
  <si>
    <t>Hy</t>
  </si>
  <si>
    <t>Pn</t>
  </si>
  <si>
    <t>Me</t>
  </si>
  <si>
    <t>El</t>
  </si>
  <si>
    <t>Intervention</t>
  </si>
  <si>
    <t>Durée (heures)</t>
  </si>
  <si>
    <t>Coût (€)</t>
  </si>
  <si>
    <t>Rechanges</t>
  </si>
  <si>
    <t>Coût total</t>
  </si>
  <si>
    <t>Pas de serrage pince</t>
  </si>
  <si>
    <t>Rupture des vis des mors de serrage</t>
  </si>
  <si>
    <t>Rupture des vis dans la tête de dégagement</t>
  </si>
  <si>
    <t>Changer le pignon de dégagement</t>
  </si>
  <si>
    <t>Changer le capteur retour cintrage</t>
  </si>
  <si>
    <t>Changer le câble de contrôle des mors</t>
  </si>
  <si>
    <t>Fuite d’huile sur le vérin de fermeture des mors</t>
  </si>
  <si>
    <t>Changer le circlips de l’axe du mors de serrage</t>
  </si>
  <si>
    <t xml:space="preserve">Jeu important dans la tête de cintrage. Maintenance corrective et améliorative </t>
  </si>
  <si>
    <t>Installation de graisseurs. Changement d’une crémaillère</t>
  </si>
  <si>
    <t>Changer le distributeur de cintrage</t>
  </si>
  <si>
    <t>Jeu sur l’arbre de dégagement et mauvaise lubrification. Maintenance corrective</t>
  </si>
  <si>
    <t>Changer le commutateur manuel</t>
  </si>
  <si>
    <t>Changer le relais de commande du cintrage</t>
  </si>
  <si>
    <t>Changer le capteur de fermeture des mors</t>
  </si>
  <si>
    <t>Changer le pilote du distributeur d’ouverture de pince</t>
  </si>
  <si>
    <t>Réglage et mise au point</t>
  </si>
  <si>
    <t xml:space="preserve">Rupture de la vis du flasque inférieur </t>
  </si>
  <si>
    <t>machine</t>
  </si>
  <si>
    <t>taux
maintenance
en €</t>
  </si>
  <si>
    <t>heures de
maintrenance</t>
  </si>
  <si>
    <t>coûts pièces
de rechange (€)</t>
  </si>
  <si>
    <t>taux de perte
de production
(€/heure)</t>
  </si>
  <si>
    <t>heures de
non-production
(heure)</t>
  </si>
  <si>
    <t>M1</t>
  </si>
  <si>
    <t>M2</t>
  </si>
  <si>
    <t>M3</t>
  </si>
  <si>
    <t>M4</t>
  </si>
  <si>
    <t>R1</t>
  </si>
  <si>
    <t>R2</t>
  </si>
  <si>
    <t>R3</t>
  </si>
  <si>
    <t>R4</t>
  </si>
  <si>
    <t>TR1</t>
  </si>
  <si>
    <t>TR2</t>
  </si>
  <si>
    <t>TR3</t>
  </si>
  <si>
    <t>TR4</t>
  </si>
  <si>
    <t>T1</t>
  </si>
  <si>
    <t>T2</t>
  </si>
  <si>
    <t>T3</t>
  </si>
  <si>
    <t>T4</t>
  </si>
  <si>
    <t>A1</t>
  </si>
  <si>
    <t>A2</t>
  </si>
  <si>
    <t>A3</t>
  </si>
  <si>
    <t>A4</t>
  </si>
  <si>
    <t>Repère</t>
  </si>
  <si>
    <t>Sous Système</t>
  </si>
  <si>
    <t>Temps d’arrêt</t>
  </si>
  <si>
    <t>Farineur</t>
  </si>
  <si>
    <t>Laminoir R3A</t>
  </si>
  <si>
    <t>Laminoir R2B</t>
  </si>
  <si>
    <t>Alimentation enfourneur</t>
  </si>
  <si>
    <t>Presse à former</t>
  </si>
  <si>
    <t>Pulvérisateurs</t>
  </si>
  <si>
    <t>Surgélateurs</t>
  </si>
  <si>
    <t>Découpe et récupérateur</t>
  </si>
  <si>
    <t>Reprise vers surgélateur</t>
  </si>
  <si>
    <t>Tapis inférieur</t>
  </si>
  <si>
    <t>Repère du jour de production</t>
  </si>
  <si>
    <t>Mode de défaillance</t>
  </si>
  <si>
    <t>Coincement du râteau</t>
  </si>
  <si>
    <t>Indication erronée de la cellule</t>
  </si>
  <si>
    <t>Non démarrage du moteur</t>
  </si>
  <si>
    <t>Vibrations dans le transfert</t>
  </si>
  <si>
    <t>Court-circuit dans le moteur</t>
  </si>
  <si>
    <t>Rupture du support de galet</t>
  </si>
  <si>
    <t>Fonctionnement irrégulier du poussoir</t>
  </si>
  <si>
    <t>Coincement de l’élévateur</t>
  </si>
  <si>
    <t>Famille de mode de défaillance</t>
  </si>
  <si>
    <t>F1</t>
  </si>
  <si>
    <t>F2</t>
  </si>
  <si>
    <t>F3</t>
  </si>
  <si>
    <t>F4</t>
  </si>
  <si>
    <t>F5</t>
  </si>
  <si>
    <t>F6</t>
  </si>
  <si>
    <t>N° d’engin</t>
  </si>
  <si>
    <t>Coûts de maintenance annuels (€)</t>
  </si>
  <si>
    <t>DATES</t>
  </si>
  <si>
    <t>EQUIPEMENTS</t>
  </si>
  <si>
    <t>SECTEURS</t>
  </si>
  <si>
    <t>ELEMENTS</t>
  </si>
  <si>
    <t>AS1</t>
  </si>
  <si>
    <t>MECA</t>
  </si>
  <si>
    <t>FR</t>
  </si>
  <si>
    <t>ELEC</t>
  </si>
  <si>
    <t>FU</t>
  </si>
  <si>
    <t>PORTE1</t>
  </si>
  <si>
    <t>DP</t>
  </si>
  <si>
    <t>SR</t>
  </si>
  <si>
    <t>CAB</t>
  </si>
  <si>
    <t>VT</t>
  </si>
  <si>
    <t>GAI</t>
  </si>
  <si>
    <t>CL</t>
  </si>
  <si>
    <t>IM</t>
  </si>
  <si>
    <t>PA</t>
  </si>
  <si>
    <t>RTH</t>
  </si>
  <si>
    <t>OP</t>
  </si>
  <si>
    <t>RG</t>
  </si>
  <si>
    <t>AS2</t>
  </si>
  <si>
    <t>OR</t>
  </si>
  <si>
    <t>PI</t>
  </si>
  <si>
    <t>PORTE2</t>
  </si>
  <si>
    <t>CTR</t>
  </si>
  <si>
    <t>AS3</t>
  </si>
  <si>
    <t>PORTE 1</t>
  </si>
  <si>
    <t>PORTE 2</t>
  </si>
  <si>
    <t>VA</t>
  </si>
  <si>
    <t>LM</t>
  </si>
  <si>
    <t>PO</t>
  </si>
  <si>
    <t>DR</t>
  </si>
  <si>
    <t>AS4</t>
  </si>
  <si>
    <t>RL</t>
  </si>
  <si>
    <t>OC</t>
  </si>
  <si>
    <t>AS5</t>
  </si>
  <si>
    <t>AS6</t>
  </si>
  <si>
    <t>CT</t>
  </si>
  <si>
    <t>P.I</t>
  </si>
  <si>
    <t>AS7</t>
  </si>
  <si>
    <t>DE</t>
  </si>
  <si>
    <t>AS8</t>
  </si>
  <si>
    <t>AS9</t>
  </si>
  <si>
    <t>AS10</t>
  </si>
  <si>
    <t>CABINE</t>
  </si>
  <si>
    <t>AS11</t>
  </si>
  <si>
    <t>AS12</t>
  </si>
  <si>
    <t xml:space="preserve">PORTE 1 </t>
  </si>
  <si>
    <t>Amortisseur</t>
  </si>
  <si>
    <t>Freins</t>
  </si>
  <si>
    <t>Embrayage</t>
  </si>
  <si>
    <t>Circuit élec.</t>
  </si>
  <si>
    <t>Pompe à ess.</t>
  </si>
  <si>
    <t>Cardan</t>
  </si>
  <si>
    <t>Batterie</t>
  </si>
  <si>
    <t>Amortisseurs</t>
  </si>
  <si>
    <t>Démarreur</t>
  </si>
  <si>
    <t>Boite</t>
  </si>
  <si>
    <t>Essuie glace</t>
  </si>
  <si>
    <t>Portière</t>
  </si>
  <si>
    <t>Portières</t>
  </si>
  <si>
    <t>Radiateur</t>
  </si>
  <si>
    <t>Allumage</t>
  </si>
  <si>
    <t>km_compteur</t>
  </si>
  <si>
    <t>Type_ défaut</t>
  </si>
  <si>
    <t>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</si>
</sst>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i/>
      <sz val="2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5" xfId="0" applyFont="1" applyBorder="1" applyAlignment="1">
      <alignment horizontal="left" wrapText="1" indent="3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left" wrapText="1" indent="3"/>
    </xf>
    <xf numFmtId="0" fontId="6" fillId="0" borderId="6" xfId="0" applyFont="1" applyBorder="1" applyAlignment="1">
      <alignment horizontal="center" wrapText="1"/>
    </xf>
    <xf numFmtId="0" fontId="7" fillId="2" borderId="7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16" fontId="8" fillId="0" borderId="6" xfId="0" applyNumberFormat="1" applyFont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2" borderId="6" xfId="0" applyFont="1" applyFill="1" applyBorder="1" applyAlignment="1">
      <alignment horizontal="justify"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76200</xdr:rowOff>
    </xdr:from>
    <xdr:to>
      <xdr:col>10</xdr:col>
      <xdr:colOff>638175</xdr:colOff>
      <xdr:row>4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B554A87-A78F-757D-1893-B9A89FD0AE52}"/>
            </a:ext>
          </a:extLst>
        </xdr:cNvPr>
        <xdr:cNvSpPr txBox="1"/>
      </xdr:nvSpPr>
      <xdr:spPr>
        <a:xfrm>
          <a:off x="4619625" y="247650"/>
          <a:ext cx="44386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fr-F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Travail demandé : déterminer, , les véhicules les plus pénalisants en fonction du temps d'immobilisation.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0</xdr:row>
      <xdr:rowOff>247650</xdr:rowOff>
    </xdr:from>
    <xdr:to>
      <xdr:col>16</xdr:col>
      <xdr:colOff>581025</xdr:colOff>
      <xdr:row>6</xdr:row>
      <xdr:rowOff>161925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5506F54-5D2F-C0F6-934E-BBA47CEB10B1}"/>
            </a:ext>
          </a:extLst>
        </xdr:cNvPr>
        <xdr:cNvSpPr txBox="1"/>
      </xdr:nvSpPr>
      <xdr:spPr>
        <a:xfrm>
          <a:off x="7772400" y="247650"/>
          <a:ext cx="3543300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Effectuer des analyses ABC en prenant comme critère :</a:t>
          </a:r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durée de l’intervention puis le coût de l’intervention et enfin la nature de l’intervention</a:t>
          </a:r>
        </a:p>
        <a:p>
          <a:pPr lvl="1"/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Définir ensuite la stratégie à mettre en œuvre au niveau de la partie mécanique</a:t>
          </a:r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0</xdr:row>
      <xdr:rowOff>295275</xdr:rowOff>
    </xdr:from>
    <xdr:to>
      <xdr:col>11</xdr:col>
      <xdr:colOff>628650</xdr:colOff>
      <xdr:row>0</xdr:row>
      <xdr:rowOff>742950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8B2E27A-96D1-234D-EAA5-20EE2FFDF95B}"/>
            </a:ext>
          </a:extLst>
        </xdr:cNvPr>
        <xdr:cNvSpPr txBox="1"/>
      </xdr:nvSpPr>
      <xdr:spPr>
        <a:xfrm>
          <a:off x="6219825" y="295275"/>
          <a:ext cx="393382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Faites une proposition de répartition en vous appuyant sur l’exploitation des données ci-contre.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7"/>
  <sheetViews>
    <sheetView workbookViewId="0">
      <selection activeCell="J15" sqref="J15"/>
    </sheetView>
  </sheetViews>
  <sheetFormatPr baseColWidth="10" defaultRowHeight="15" x14ac:dyDescent="0.25"/>
  <cols>
    <col min="1" max="1" width="18.85546875" style="5" bestFit="1" customWidth="1"/>
    <col min="2" max="2" width="25.42578125" style="5" bestFit="1" customWidth="1"/>
    <col min="3" max="3" width="25.28515625" style="5" bestFit="1" customWidth="1"/>
  </cols>
  <sheetData>
    <row r="1" spans="1:3" x14ac:dyDescent="0.25">
      <c r="A1" s="4" t="s">
        <v>81</v>
      </c>
      <c r="B1" s="4" t="s">
        <v>1</v>
      </c>
      <c r="C1" s="4" t="s">
        <v>82</v>
      </c>
    </row>
    <row r="2" spans="1:3" x14ac:dyDescent="0.25">
      <c r="A2" s="5">
        <v>10</v>
      </c>
      <c r="B2" s="5" t="s">
        <v>87</v>
      </c>
      <c r="C2" s="5">
        <v>2338</v>
      </c>
    </row>
    <row r="3" spans="1:3" x14ac:dyDescent="0.25">
      <c r="A3" s="5">
        <v>20</v>
      </c>
      <c r="B3" s="5" t="s">
        <v>84</v>
      </c>
      <c r="C3" s="5">
        <v>4283</v>
      </c>
    </row>
    <row r="4" spans="1:3" x14ac:dyDescent="0.25">
      <c r="A4" s="5">
        <v>30</v>
      </c>
      <c r="B4" s="5" t="s">
        <v>100</v>
      </c>
      <c r="C4" s="5">
        <v>415</v>
      </c>
    </row>
    <row r="5" spans="1:3" x14ac:dyDescent="0.25">
      <c r="A5" s="5">
        <v>40</v>
      </c>
      <c r="B5" s="5" t="s">
        <v>106</v>
      </c>
      <c r="C5" s="5">
        <v>82</v>
      </c>
    </row>
    <row r="6" spans="1:3" x14ac:dyDescent="0.25">
      <c r="A6" s="5">
        <v>50</v>
      </c>
      <c r="B6" s="5" t="s">
        <v>83</v>
      </c>
      <c r="C6" s="5">
        <v>5683</v>
      </c>
    </row>
    <row r="7" spans="1:3" x14ac:dyDescent="0.25">
      <c r="A7" s="5">
        <v>60</v>
      </c>
      <c r="B7" s="5" t="s">
        <v>103</v>
      </c>
      <c r="C7" s="5">
        <v>183</v>
      </c>
    </row>
    <row r="8" spans="1:3" x14ac:dyDescent="0.25">
      <c r="A8" s="5">
        <v>70</v>
      </c>
      <c r="B8" s="5" t="s">
        <v>98</v>
      </c>
      <c r="C8" s="5">
        <v>555</v>
      </c>
    </row>
    <row r="9" spans="1:3" x14ac:dyDescent="0.25">
      <c r="A9" s="5">
        <v>80</v>
      </c>
      <c r="B9" s="5" t="s">
        <v>101</v>
      </c>
      <c r="C9" s="5">
        <v>362</v>
      </c>
    </row>
    <row r="10" spans="1:3" x14ac:dyDescent="0.25">
      <c r="A10" s="5">
        <v>90</v>
      </c>
      <c r="B10" s="5" t="s">
        <v>102</v>
      </c>
      <c r="C10" s="5">
        <v>294</v>
      </c>
    </row>
    <row r="11" spans="1:3" x14ac:dyDescent="0.25">
      <c r="A11" s="5">
        <v>100</v>
      </c>
      <c r="B11" s="5" t="s">
        <v>85</v>
      </c>
      <c r="C11" s="5">
        <v>2609</v>
      </c>
    </row>
    <row r="12" spans="1:3" x14ac:dyDescent="0.25">
      <c r="A12" s="5">
        <v>110</v>
      </c>
      <c r="B12" s="5" t="s">
        <v>89</v>
      </c>
      <c r="C12" s="5">
        <v>1832</v>
      </c>
    </row>
    <row r="13" spans="1:3" x14ac:dyDescent="0.25">
      <c r="A13" s="5">
        <v>120</v>
      </c>
      <c r="B13" s="5" t="s">
        <v>86</v>
      </c>
      <c r="C13" s="5">
        <v>2416</v>
      </c>
    </row>
    <row r="14" spans="1:3" x14ac:dyDescent="0.25">
      <c r="A14" s="5">
        <v>130</v>
      </c>
      <c r="B14" s="5" t="s">
        <v>88</v>
      </c>
      <c r="C14" s="5">
        <v>2113</v>
      </c>
    </row>
    <row r="15" spans="1:3" x14ac:dyDescent="0.25">
      <c r="A15" s="5">
        <v>140</v>
      </c>
      <c r="B15" s="5" t="s">
        <v>94</v>
      </c>
      <c r="C15" s="5">
        <v>1114</v>
      </c>
    </row>
    <row r="16" spans="1:3" x14ac:dyDescent="0.25">
      <c r="A16" s="5">
        <v>150</v>
      </c>
      <c r="B16" s="5" t="s">
        <v>96</v>
      </c>
      <c r="C16" s="5">
        <v>808</v>
      </c>
    </row>
    <row r="17" spans="1:3" x14ac:dyDescent="0.25">
      <c r="A17" s="5">
        <v>160</v>
      </c>
      <c r="B17" s="5" t="s">
        <v>92</v>
      </c>
      <c r="C17" s="5">
        <v>1545</v>
      </c>
    </row>
    <row r="18" spans="1:3" x14ac:dyDescent="0.25">
      <c r="A18" s="5">
        <v>170</v>
      </c>
      <c r="B18" s="5" t="s">
        <v>104</v>
      </c>
      <c r="C18" s="5">
        <v>154</v>
      </c>
    </row>
    <row r="19" spans="1:3" x14ac:dyDescent="0.25">
      <c r="A19" s="5">
        <v>180</v>
      </c>
      <c r="B19" s="5" t="s">
        <v>105</v>
      </c>
      <c r="C19" s="5">
        <v>107</v>
      </c>
    </row>
    <row r="20" spans="1:3" x14ac:dyDescent="0.25">
      <c r="A20" s="5">
        <v>190</v>
      </c>
      <c r="B20" s="5" t="s">
        <v>95</v>
      </c>
      <c r="C20" s="5">
        <v>889</v>
      </c>
    </row>
    <row r="21" spans="1:3" x14ac:dyDescent="0.25">
      <c r="A21" s="5">
        <v>200</v>
      </c>
      <c r="B21" s="5" t="s">
        <v>93</v>
      </c>
      <c r="C21" s="5">
        <v>1215</v>
      </c>
    </row>
    <row r="22" spans="1:3" x14ac:dyDescent="0.25">
      <c r="A22" s="5">
        <v>210</v>
      </c>
      <c r="B22" s="5" t="s">
        <v>90</v>
      </c>
      <c r="C22" s="5">
        <v>1623</v>
      </c>
    </row>
    <row r="23" spans="1:3" x14ac:dyDescent="0.25">
      <c r="A23" s="5">
        <v>220</v>
      </c>
      <c r="B23" s="5" t="s">
        <v>107</v>
      </c>
      <c r="C23" s="5">
        <v>13</v>
      </c>
    </row>
    <row r="24" spans="1:3" x14ac:dyDescent="0.25">
      <c r="A24" s="5">
        <v>230</v>
      </c>
      <c r="B24" s="5" t="s">
        <v>99</v>
      </c>
      <c r="C24" s="5">
        <v>438</v>
      </c>
    </row>
    <row r="25" spans="1:3" x14ac:dyDescent="0.25">
      <c r="A25" s="5">
        <v>240</v>
      </c>
      <c r="B25" s="5" t="s">
        <v>91</v>
      </c>
      <c r="C25" s="5">
        <v>1585</v>
      </c>
    </row>
    <row r="26" spans="1:3" x14ac:dyDescent="0.25">
      <c r="A26" s="5">
        <v>250</v>
      </c>
      <c r="B26" s="5" t="s">
        <v>97</v>
      </c>
      <c r="C26" s="5">
        <v>722</v>
      </c>
    </row>
    <row r="27" spans="1:3" x14ac:dyDescent="0.25">
      <c r="C27" s="5">
        <f>SUM(C2:C26)</f>
        <v>33378</v>
      </c>
    </row>
  </sheetData>
  <sortState xmlns:xlrd2="http://schemas.microsoft.com/office/spreadsheetml/2017/richdata2" ref="A2:C27">
    <sortCondition ref="A2:A27"/>
  </sortState>
  <pageMargins left="0.78740157499999996" right="0.78740157499999996" top="0.984251969" bottom="0.984251969" header="0.4921259845" footer="0.4921259845"/>
  <pageSetup paperSize="9" scale="8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"/>
  <sheetViews>
    <sheetView workbookViewId="0">
      <selection activeCell="J12" sqref="J12"/>
    </sheetView>
  </sheetViews>
  <sheetFormatPr baseColWidth="10" defaultRowHeight="12.75" x14ac:dyDescent="0.2"/>
  <cols>
    <col min="2" max="2" width="15.5703125" customWidth="1"/>
    <col min="3" max="3" width="14.7109375" customWidth="1"/>
    <col min="4" max="4" width="16" customWidth="1"/>
  </cols>
  <sheetData>
    <row r="1" spans="1:5" ht="13.5" thickBot="1" x14ac:dyDescent="0.25">
      <c r="A1" s="6" t="s">
        <v>109</v>
      </c>
      <c r="B1" s="7" t="s">
        <v>262</v>
      </c>
      <c r="C1" s="41" t="s">
        <v>261</v>
      </c>
      <c r="D1" s="41" t="s">
        <v>260</v>
      </c>
      <c r="E1" s="42"/>
    </row>
    <row r="2" spans="1:5" ht="13.5" thickBot="1" x14ac:dyDescent="0.25">
      <c r="A2" s="8">
        <v>1</v>
      </c>
      <c r="B2" s="9">
        <v>5</v>
      </c>
      <c r="C2" s="43" t="s">
        <v>245</v>
      </c>
      <c r="D2" s="43">
        <v>7890</v>
      </c>
      <c r="E2" s="42"/>
    </row>
    <row r="3" spans="1:5" ht="13.5" thickBot="1" x14ac:dyDescent="0.25">
      <c r="A3" s="8">
        <v>1</v>
      </c>
      <c r="B3" s="9">
        <v>7</v>
      </c>
      <c r="C3" s="43" t="s">
        <v>246</v>
      </c>
      <c r="D3" s="43">
        <v>8676</v>
      </c>
      <c r="E3" s="42"/>
    </row>
    <row r="4" spans="1:5" ht="13.5" thickBot="1" x14ac:dyDescent="0.25">
      <c r="A4" s="8">
        <v>1</v>
      </c>
      <c r="B4" s="9">
        <v>10</v>
      </c>
      <c r="C4" s="43" t="s">
        <v>247</v>
      </c>
      <c r="D4" s="43">
        <v>27391</v>
      </c>
      <c r="E4" s="42"/>
    </row>
    <row r="5" spans="1:5" ht="13.5" thickBot="1" x14ac:dyDescent="0.25">
      <c r="A5" s="8">
        <v>1</v>
      </c>
      <c r="B5" s="9">
        <v>2</v>
      </c>
      <c r="C5" s="43" t="s">
        <v>248</v>
      </c>
      <c r="D5" s="43">
        <v>27391</v>
      </c>
      <c r="E5" s="42"/>
    </row>
    <row r="6" spans="1:5" ht="13.5" thickBot="1" x14ac:dyDescent="0.25">
      <c r="A6" s="8">
        <v>1</v>
      </c>
      <c r="B6" s="9">
        <v>1</v>
      </c>
      <c r="C6" s="43" t="s">
        <v>249</v>
      </c>
      <c r="D6" s="43">
        <v>48720</v>
      </c>
      <c r="E6" s="42"/>
    </row>
    <row r="7" spans="1:5" ht="13.5" thickBot="1" x14ac:dyDescent="0.25">
      <c r="A7" s="8">
        <v>1</v>
      </c>
      <c r="B7" s="9">
        <v>7</v>
      </c>
      <c r="C7" s="43" t="s">
        <v>246</v>
      </c>
      <c r="D7" s="43">
        <v>75622</v>
      </c>
      <c r="E7" s="42"/>
    </row>
    <row r="8" spans="1:5" ht="13.5" thickBot="1" x14ac:dyDescent="0.25">
      <c r="A8" s="8">
        <v>1</v>
      </c>
      <c r="B8" s="9">
        <v>10</v>
      </c>
      <c r="C8" s="43" t="s">
        <v>250</v>
      </c>
      <c r="D8" s="43">
        <v>110960</v>
      </c>
      <c r="E8" s="42"/>
    </row>
    <row r="9" spans="1:5" ht="13.5" thickBot="1" x14ac:dyDescent="0.25">
      <c r="A9" s="10">
        <v>1</v>
      </c>
      <c r="B9" s="11">
        <v>0.5</v>
      </c>
      <c r="C9" s="43" t="s">
        <v>251</v>
      </c>
      <c r="D9" s="43">
        <v>117920</v>
      </c>
      <c r="E9" s="42"/>
    </row>
    <row r="10" spans="1:5" ht="13.5" thickBot="1" x14ac:dyDescent="0.25">
      <c r="A10" s="8">
        <v>2</v>
      </c>
      <c r="B10" s="9">
        <v>6</v>
      </c>
      <c r="C10" s="43" t="s">
        <v>252</v>
      </c>
      <c r="D10" s="43">
        <v>8790</v>
      </c>
      <c r="E10" s="42"/>
    </row>
    <row r="11" spans="1:5" ht="13.5" thickBot="1" x14ac:dyDescent="0.25">
      <c r="A11" s="8">
        <v>2</v>
      </c>
      <c r="B11" s="9">
        <v>8</v>
      </c>
      <c r="C11" s="43" t="s">
        <v>246</v>
      </c>
      <c r="D11" s="43">
        <v>8790</v>
      </c>
      <c r="E11" s="42"/>
    </row>
    <row r="12" spans="1:5" ht="13.5" thickBot="1" x14ac:dyDescent="0.25">
      <c r="A12" s="8">
        <v>2</v>
      </c>
      <c r="B12" s="9">
        <v>8</v>
      </c>
      <c r="C12" s="43" t="s">
        <v>250</v>
      </c>
      <c r="D12" s="43">
        <v>27922</v>
      </c>
      <c r="E12" s="42"/>
    </row>
    <row r="13" spans="1:5" ht="13.5" thickBot="1" x14ac:dyDescent="0.25">
      <c r="A13" s="8">
        <v>2</v>
      </c>
      <c r="B13" s="9">
        <v>4</v>
      </c>
      <c r="C13" s="43" t="s">
        <v>253</v>
      </c>
      <c r="D13" s="43">
        <v>27922</v>
      </c>
      <c r="E13" s="42"/>
    </row>
    <row r="14" spans="1:5" ht="13.5" thickBot="1" x14ac:dyDescent="0.25">
      <c r="A14" s="8">
        <v>2</v>
      </c>
      <c r="B14" s="9">
        <v>12</v>
      </c>
      <c r="C14" s="43" t="s">
        <v>247</v>
      </c>
      <c r="D14" s="43">
        <v>37812</v>
      </c>
      <c r="E14" s="42"/>
    </row>
    <row r="15" spans="1:5" ht="13.5" thickBot="1" x14ac:dyDescent="0.25">
      <c r="A15" s="8">
        <v>2</v>
      </c>
      <c r="B15" s="9">
        <v>12</v>
      </c>
      <c r="C15" s="43" t="s">
        <v>254</v>
      </c>
      <c r="D15" s="43">
        <v>100920</v>
      </c>
      <c r="E15" s="42"/>
    </row>
    <row r="16" spans="1:5" ht="13.5" thickBot="1" x14ac:dyDescent="0.25">
      <c r="A16" s="10">
        <v>2</v>
      </c>
      <c r="B16" s="11">
        <v>0.5</v>
      </c>
      <c r="C16" s="43" t="s">
        <v>251</v>
      </c>
      <c r="D16" s="43">
        <v>103920</v>
      </c>
      <c r="E16" s="42"/>
    </row>
    <row r="17" spans="1:5" ht="13.5" thickBot="1" x14ac:dyDescent="0.25">
      <c r="A17" s="8">
        <v>3</v>
      </c>
      <c r="B17" s="9">
        <v>5</v>
      </c>
      <c r="C17" s="43" t="s">
        <v>252</v>
      </c>
      <c r="D17" s="43">
        <v>8787</v>
      </c>
      <c r="E17" s="42"/>
    </row>
    <row r="18" spans="1:5" ht="13.5" thickBot="1" x14ac:dyDescent="0.25">
      <c r="A18" s="10">
        <v>3</v>
      </c>
      <c r="B18" s="11">
        <v>7</v>
      </c>
      <c r="C18" s="43" t="s">
        <v>246</v>
      </c>
      <c r="D18" s="43">
        <v>18732</v>
      </c>
      <c r="E18" s="42"/>
    </row>
    <row r="19" spans="1:5" ht="13.5" thickBot="1" x14ac:dyDescent="0.25">
      <c r="A19" s="8">
        <v>4</v>
      </c>
      <c r="B19" s="9">
        <v>4</v>
      </c>
      <c r="C19" s="43" t="s">
        <v>252</v>
      </c>
      <c r="D19" s="43">
        <v>4890</v>
      </c>
      <c r="E19" s="42"/>
    </row>
    <row r="20" spans="1:5" ht="13.5" thickBot="1" x14ac:dyDescent="0.25">
      <c r="A20" s="8">
        <v>4</v>
      </c>
      <c r="B20" s="9">
        <v>12</v>
      </c>
      <c r="C20" s="43" t="s">
        <v>247</v>
      </c>
      <c r="D20" s="43">
        <v>17947</v>
      </c>
      <c r="E20" s="42"/>
    </row>
    <row r="21" spans="1:5" ht="13.5" thickBot="1" x14ac:dyDescent="0.25">
      <c r="A21" s="8">
        <v>4</v>
      </c>
      <c r="B21" s="9">
        <v>2</v>
      </c>
      <c r="C21" s="43" t="s">
        <v>255</v>
      </c>
      <c r="D21" s="43">
        <v>17947</v>
      </c>
      <c r="E21" s="42"/>
    </row>
    <row r="22" spans="1:5" ht="13.5" thickBot="1" x14ac:dyDescent="0.25">
      <c r="A22" s="8">
        <v>4</v>
      </c>
      <c r="B22" s="9">
        <v>5</v>
      </c>
      <c r="C22" s="43" t="s">
        <v>252</v>
      </c>
      <c r="D22" s="43">
        <v>57900</v>
      </c>
      <c r="E22" s="42"/>
    </row>
    <row r="23" spans="1:5" ht="13.5" thickBot="1" x14ac:dyDescent="0.25">
      <c r="A23" s="8">
        <v>4</v>
      </c>
      <c r="B23" s="9">
        <v>4</v>
      </c>
      <c r="C23" s="43" t="s">
        <v>248</v>
      </c>
      <c r="D23" s="43">
        <v>77212</v>
      </c>
      <c r="E23" s="42"/>
    </row>
    <row r="24" spans="1:5" ht="13.5" thickBot="1" x14ac:dyDescent="0.25">
      <c r="A24" s="10">
        <v>4</v>
      </c>
      <c r="B24" s="11">
        <v>0.5</v>
      </c>
      <c r="C24" s="43" t="s">
        <v>251</v>
      </c>
      <c r="D24" s="43">
        <v>103821</v>
      </c>
      <c r="E24" s="42"/>
    </row>
    <row r="25" spans="1:5" ht="13.5" thickBot="1" x14ac:dyDescent="0.25">
      <c r="A25" s="8">
        <v>5</v>
      </c>
      <c r="B25" s="9">
        <v>11</v>
      </c>
      <c r="C25" s="43" t="s">
        <v>247</v>
      </c>
      <c r="D25" s="43">
        <v>6990</v>
      </c>
      <c r="E25" s="42"/>
    </row>
    <row r="26" spans="1:5" ht="13.5" thickBot="1" x14ac:dyDescent="0.25">
      <c r="A26" s="8">
        <v>5</v>
      </c>
      <c r="B26" s="9">
        <v>10</v>
      </c>
      <c r="C26" s="43" t="s">
        <v>250</v>
      </c>
      <c r="D26" s="43">
        <v>14029</v>
      </c>
      <c r="E26" s="42"/>
    </row>
    <row r="27" spans="1:5" ht="13.5" thickBot="1" x14ac:dyDescent="0.25">
      <c r="A27" s="8">
        <v>5</v>
      </c>
      <c r="B27" s="9">
        <v>8</v>
      </c>
      <c r="C27" s="43" t="s">
        <v>246</v>
      </c>
      <c r="D27" s="43">
        <v>87512</v>
      </c>
      <c r="E27" s="42"/>
    </row>
    <row r="28" spans="1:5" ht="13.5" thickBot="1" x14ac:dyDescent="0.25">
      <c r="A28" s="10">
        <v>5</v>
      </c>
      <c r="B28" s="11">
        <v>0.5</v>
      </c>
      <c r="C28" s="43" t="s">
        <v>251</v>
      </c>
      <c r="D28" s="43">
        <v>102921</v>
      </c>
      <c r="E28" s="42"/>
    </row>
    <row r="29" spans="1:5" ht="13.5" thickBot="1" x14ac:dyDescent="0.25">
      <c r="A29" s="8">
        <v>6</v>
      </c>
      <c r="B29" s="9">
        <v>5</v>
      </c>
      <c r="C29" s="43" t="s">
        <v>248</v>
      </c>
      <c r="D29" s="43">
        <v>6970</v>
      </c>
      <c r="E29" s="42"/>
    </row>
    <row r="30" spans="1:5" ht="13.5" thickBot="1" x14ac:dyDescent="0.25">
      <c r="A30" s="8">
        <v>6</v>
      </c>
      <c r="B30" s="9">
        <v>6</v>
      </c>
      <c r="C30" s="43" t="s">
        <v>252</v>
      </c>
      <c r="D30" s="43">
        <v>12341</v>
      </c>
      <c r="E30" s="42"/>
    </row>
    <row r="31" spans="1:5" ht="13.5" thickBot="1" x14ac:dyDescent="0.25">
      <c r="A31" s="10">
        <v>6</v>
      </c>
      <c r="B31" s="11">
        <v>8</v>
      </c>
      <c r="C31" s="43" t="s">
        <v>246</v>
      </c>
      <c r="D31" s="43">
        <v>43711</v>
      </c>
      <c r="E31" s="42"/>
    </row>
    <row r="32" spans="1:5" ht="13.5" thickBot="1" x14ac:dyDescent="0.25">
      <c r="A32" s="8">
        <v>7</v>
      </c>
      <c r="B32" s="9">
        <v>5</v>
      </c>
      <c r="C32" s="43" t="s">
        <v>248</v>
      </c>
      <c r="D32" s="43">
        <v>6811</v>
      </c>
      <c r="E32" s="42"/>
    </row>
    <row r="33" spans="1:5" ht="13.5" thickBot="1" x14ac:dyDescent="0.25">
      <c r="A33" s="8">
        <v>7</v>
      </c>
      <c r="B33" s="9">
        <v>3</v>
      </c>
      <c r="C33" s="43" t="s">
        <v>252</v>
      </c>
      <c r="D33" s="43">
        <v>17912</v>
      </c>
      <c r="E33" s="42"/>
    </row>
    <row r="34" spans="1:5" ht="13.5" thickBot="1" x14ac:dyDescent="0.25">
      <c r="A34" s="8">
        <v>7</v>
      </c>
      <c r="B34" s="9">
        <v>6</v>
      </c>
      <c r="C34" s="43" t="s">
        <v>246</v>
      </c>
      <c r="D34" s="43">
        <v>101772</v>
      </c>
      <c r="E34" s="42"/>
    </row>
    <row r="35" spans="1:5" ht="13.5" thickBot="1" x14ac:dyDescent="0.25">
      <c r="A35" s="8">
        <v>7</v>
      </c>
      <c r="B35" s="9">
        <v>10</v>
      </c>
      <c r="C35" s="43" t="s">
        <v>254</v>
      </c>
      <c r="D35" s="43">
        <v>107911</v>
      </c>
      <c r="E35" s="42"/>
    </row>
    <row r="36" spans="1:5" ht="13.5" thickBot="1" x14ac:dyDescent="0.25">
      <c r="A36" s="8">
        <v>7</v>
      </c>
      <c r="B36" s="9">
        <v>4</v>
      </c>
      <c r="C36" s="43" t="s">
        <v>246</v>
      </c>
      <c r="D36" s="43">
        <v>110712</v>
      </c>
      <c r="E36" s="42"/>
    </row>
    <row r="37" spans="1:5" ht="13.5" thickBot="1" x14ac:dyDescent="0.25">
      <c r="A37" s="10">
        <v>7</v>
      </c>
      <c r="B37" s="11">
        <v>0.5</v>
      </c>
      <c r="C37" s="43" t="s">
        <v>251</v>
      </c>
      <c r="D37" s="43">
        <v>111910</v>
      </c>
      <c r="E37" s="42"/>
    </row>
    <row r="38" spans="1:5" ht="13.5" thickBot="1" x14ac:dyDescent="0.25">
      <c r="A38" s="8">
        <v>8</v>
      </c>
      <c r="B38" s="9">
        <v>7</v>
      </c>
      <c r="C38" s="43" t="s">
        <v>252</v>
      </c>
      <c r="D38" s="43">
        <v>8910</v>
      </c>
      <c r="E38" s="42"/>
    </row>
    <row r="39" spans="1:5" ht="13.5" thickBot="1" x14ac:dyDescent="0.25">
      <c r="A39" s="8">
        <v>8</v>
      </c>
      <c r="B39" s="9">
        <v>2</v>
      </c>
      <c r="C39" s="43" t="s">
        <v>256</v>
      </c>
      <c r="D39" s="43">
        <v>8910</v>
      </c>
      <c r="E39" s="42"/>
    </row>
    <row r="40" spans="1:5" ht="13.5" thickBot="1" x14ac:dyDescent="0.25">
      <c r="A40" s="8">
        <v>8</v>
      </c>
      <c r="B40" s="9">
        <v>1</v>
      </c>
      <c r="C40" s="43" t="s">
        <v>256</v>
      </c>
      <c r="D40" s="43">
        <v>11610</v>
      </c>
      <c r="E40" s="42"/>
    </row>
    <row r="41" spans="1:5" ht="13.5" thickBot="1" x14ac:dyDescent="0.25">
      <c r="A41" s="8">
        <v>8</v>
      </c>
      <c r="B41" s="9">
        <v>9</v>
      </c>
      <c r="C41" s="43" t="s">
        <v>252</v>
      </c>
      <c r="D41" s="43">
        <v>14821</v>
      </c>
      <c r="E41" s="42"/>
    </row>
    <row r="42" spans="1:5" ht="13.5" thickBot="1" x14ac:dyDescent="0.25">
      <c r="A42" s="8">
        <v>8</v>
      </c>
      <c r="B42" s="9">
        <v>2</v>
      </c>
      <c r="C42" s="43" t="s">
        <v>257</v>
      </c>
      <c r="D42" s="43">
        <v>18712</v>
      </c>
      <c r="E42" s="42"/>
    </row>
    <row r="43" spans="1:5" ht="13.5" thickBot="1" x14ac:dyDescent="0.25">
      <c r="A43" s="8">
        <v>8</v>
      </c>
      <c r="B43" s="9">
        <v>8</v>
      </c>
      <c r="C43" s="43" t="s">
        <v>250</v>
      </c>
      <c r="D43" s="43">
        <v>22222</v>
      </c>
      <c r="E43" s="42"/>
    </row>
    <row r="44" spans="1:5" ht="13.5" thickBot="1" x14ac:dyDescent="0.25">
      <c r="A44" s="8">
        <v>8</v>
      </c>
      <c r="B44" s="9">
        <v>6</v>
      </c>
      <c r="C44" s="43" t="s">
        <v>247</v>
      </c>
      <c r="D44" s="43">
        <v>26714</v>
      </c>
      <c r="E44" s="42"/>
    </row>
    <row r="45" spans="1:5" ht="13.5" thickBot="1" x14ac:dyDescent="0.25">
      <c r="A45" s="8">
        <v>8</v>
      </c>
      <c r="B45" s="9">
        <v>3</v>
      </c>
      <c r="C45" s="43" t="s">
        <v>258</v>
      </c>
      <c r="D45" s="43">
        <v>28927</v>
      </c>
      <c r="E45" s="42"/>
    </row>
    <row r="46" spans="1:5" ht="13.5" thickBot="1" x14ac:dyDescent="0.25">
      <c r="A46" s="8">
        <v>8</v>
      </c>
      <c r="B46" s="9">
        <v>10</v>
      </c>
      <c r="C46" s="43" t="s">
        <v>252</v>
      </c>
      <c r="D46" s="43">
        <v>36911</v>
      </c>
      <c r="E46" s="42"/>
    </row>
    <row r="47" spans="1:5" ht="13.5" thickBot="1" x14ac:dyDescent="0.25">
      <c r="A47" s="8">
        <v>8</v>
      </c>
      <c r="B47" s="9">
        <v>10</v>
      </c>
      <c r="C47" s="43" t="s">
        <v>254</v>
      </c>
      <c r="D47" s="43">
        <v>36911</v>
      </c>
      <c r="E47" s="42"/>
    </row>
    <row r="48" spans="1:5" ht="13.5" thickBot="1" x14ac:dyDescent="0.25">
      <c r="A48" s="8">
        <v>8</v>
      </c>
      <c r="B48" s="9">
        <v>8</v>
      </c>
      <c r="C48" s="43" t="s">
        <v>252</v>
      </c>
      <c r="D48" s="43">
        <v>41927</v>
      </c>
      <c r="E48" s="42"/>
    </row>
    <row r="49" spans="1:5" ht="13.5" thickBot="1" x14ac:dyDescent="0.25">
      <c r="A49" s="8">
        <v>8</v>
      </c>
      <c r="B49" s="9">
        <v>10</v>
      </c>
      <c r="C49" s="43" t="s">
        <v>254</v>
      </c>
      <c r="D49" s="43">
        <v>58711</v>
      </c>
      <c r="E49" s="42"/>
    </row>
    <row r="50" spans="1:5" ht="13.5" thickBot="1" x14ac:dyDescent="0.25">
      <c r="A50" s="8">
        <v>8</v>
      </c>
      <c r="B50" s="9">
        <v>12</v>
      </c>
      <c r="C50" s="43" t="s">
        <v>247</v>
      </c>
      <c r="D50" s="43">
        <v>58711</v>
      </c>
      <c r="E50" s="42"/>
    </row>
    <row r="51" spans="1:5" ht="13.5" thickBot="1" x14ac:dyDescent="0.25">
      <c r="A51" s="8">
        <v>8</v>
      </c>
      <c r="B51" s="9">
        <v>7</v>
      </c>
      <c r="C51" s="43" t="s">
        <v>252</v>
      </c>
      <c r="D51" s="43">
        <v>66990</v>
      </c>
      <c r="E51" s="42"/>
    </row>
    <row r="52" spans="1:5" ht="13.5" thickBot="1" x14ac:dyDescent="0.25">
      <c r="A52" s="10">
        <v>8</v>
      </c>
      <c r="B52" s="11">
        <v>6</v>
      </c>
      <c r="C52" s="43" t="s">
        <v>253</v>
      </c>
      <c r="D52" s="43">
        <v>77820</v>
      </c>
      <c r="E52" s="42"/>
    </row>
    <row r="53" spans="1:5" ht="13.5" thickBot="1" x14ac:dyDescent="0.25">
      <c r="A53" s="12">
        <v>9</v>
      </c>
      <c r="B53" s="13">
        <v>4</v>
      </c>
      <c r="C53" s="44" t="s">
        <v>259</v>
      </c>
      <c r="D53" s="44">
        <v>7790</v>
      </c>
    </row>
    <row r="54" spans="1:5" ht="13.5" thickBot="1" x14ac:dyDescent="0.25">
      <c r="A54" s="12">
        <v>9</v>
      </c>
      <c r="B54" s="13">
        <v>1</v>
      </c>
      <c r="C54" s="43" t="s">
        <v>253</v>
      </c>
      <c r="D54" s="43">
        <v>19911</v>
      </c>
    </row>
    <row r="55" spans="1:5" ht="13.5" thickBot="1" x14ac:dyDescent="0.25">
      <c r="A55" s="12">
        <v>9</v>
      </c>
      <c r="B55" s="13">
        <v>6</v>
      </c>
      <c r="C55" s="43" t="s">
        <v>252</v>
      </c>
      <c r="D55" s="43">
        <v>37525</v>
      </c>
    </row>
    <row r="56" spans="1:5" ht="13.5" thickBot="1" x14ac:dyDescent="0.25">
      <c r="A56" s="12">
        <v>9</v>
      </c>
      <c r="B56" s="13">
        <v>5</v>
      </c>
      <c r="C56" s="43" t="s">
        <v>252</v>
      </c>
      <c r="D56" s="43">
        <v>87812</v>
      </c>
    </row>
    <row r="57" spans="1:5" ht="13.5" thickBot="1" x14ac:dyDescent="0.25">
      <c r="A57" s="12">
        <v>9</v>
      </c>
      <c r="B57" s="13">
        <v>3</v>
      </c>
      <c r="C57" s="43" t="s">
        <v>248</v>
      </c>
      <c r="D57" s="43">
        <v>97912</v>
      </c>
    </row>
    <row r="58" spans="1:5" ht="13.5" thickBot="1" x14ac:dyDescent="0.25">
      <c r="A58" s="12">
        <v>9</v>
      </c>
      <c r="B58" s="13">
        <v>6</v>
      </c>
      <c r="C58" s="43" t="s">
        <v>246</v>
      </c>
      <c r="D58" s="43">
        <v>102800</v>
      </c>
    </row>
    <row r="59" spans="1:5" ht="13.5" thickBot="1" x14ac:dyDescent="0.25">
      <c r="A59" s="12">
        <v>9</v>
      </c>
      <c r="B59" s="13">
        <v>8</v>
      </c>
      <c r="C59" s="43" t="s">
        <v>250</v>
      </c>
      <c r="D59" s="43">
        <v>102800</v>
      </c>
    </row>
    <row r="60" spans="1:5" ht="13.5" thickBot="1" x14ac:dyDescent="0.25">
      <c r="A60" s="12">
        <v>10</v>
      </c>
      <c r="B60" s="13">
        <v>5</v>
      </c>
      <c r="C60" s="43" t="s">
        <v>252</v>
      </c>
      <c r="D60" s="43">
        <v>26821</v>
      </c>
    </row>
    <row r="61" spans="1:5" ht="13.5" thickBot="1" x14ac:dyDescent="0.25">
      <c r="A61" s="12">
        <v>10</v>
      </c>
      <c r="B61" s="13">
        <v>12</v>
      </c>
      <c r="C61" s="43" t="s">
        <v>247</v>
      </c>
      <c r="D61" s="43">
        <v>65912</v>
      </c>
    </row>
    <row r="62" spans="1:5" ht="13.5" thickBot="1" x14ac:dyDescent="0.25">
      <c r="A62" s="12">
        <v>10</v>
      </c>
      <c r="B62" s="13">
        <v>5</v>
      </c>
      <c r="C62" s="43" t="s">
        <v>252</v>
      </c>
      <c r="D62" s="43">
        <v>77915</v>
      </c>
    </row>
    <row r="63" spans="1:5" ht="13.5" thickBot="1" x14ac:dyDescent="0.25">
      <c r="A63" s="12">
        <v>10</v>
      </c>
      <c r="B63" s="13">
        <v>3</v>
      </c>
      <c r="C63" s="43" t="s">
        <v>252</v>
      </c>
      <c r="D63" s="43">
        <v>91218</v>
      </c>
    </row>
    <row r="64" spans="1:5" ht="13.5" thickBot="1" x14ac:dyDescent="0.25">
      <c r="A64" s="12">
        <v>10</v>
      </c>
      <c r="B64" s="13">
        <v>6</v>
      </c>
      <c r="C64" s="43" t="s">
        <v>246</v>
      </c>
      <c r="D64" s="43">
        <v>97990</v>
      </c>
    </row>
    <row r="65" spans="1:4" ht="13.5" thickBot="1" x14ac:dyDescent="0.25">
      <c r="A65" s="12">
        <v>11</v>
      </c>
      <c r="B65" s="13">
        <v>12</v>
      </c>
      <c r="C65" s="43" t="s">
        <v>254</v>
      </c>
      <c r="D65" s="43">
        <v>5582</v>
      </c>
    </row>
    <row r="66" spans="1:4" ht="13.5" thickBot="1" x14ac:dyDescent="0.25">
      <c r="A66" s="14">
        <v>11</v>
      </c>
      <c r="B66" s="15">
        <v>15</v>
      </c>
      <c r="C66" s="43" t="s">
        <v>247</v>
      </c>
      <c r="D66" s="43">
        <v>64712</v>
      </c>
    </row>
    <row r="67" spans="1:4" ht="13.5" thickBot="1" x14ac:dyDescent="0.25">
      <c r="C67" s="43"/>
      <c r="D67" s="4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selection activeCell="N3" sqref="N3"/>
    </sheetView>
  </sheetViews>
  <sheetFormatPr baseColWidth="10" defaultRowHeight="12.75" x14ac:dyDescent="0.2"/>
  <cols>
    <col min="1" max="1" width="3" bestFit="1" customWidth="1"/>
    <col min="2" max="2" width="7.7109375" bestFit="1" customWidth="1"/>
    <col min="3" max="3" width="3" bestFit="1" customWidth="1"/>
    <col min="4" max="4" width="3.140625" bestFit="1" customWidth="1"/>
    <col min="5" max="5" width="3.42578125" bestFit="1" customWidth="1"/>
    <col min="6" max="6" width="2.42578125" bestFit="1" customWidth="1"/>
    <col min="7" max="7" width="47.140625" customWidth="1"/>
    <col min="8" max="8" width="7.85546875" bestFit="1" customWidth="1"/>
    <col min="9" max="9" width="7.28515625" bestFit="1" customWidth="1"/>
    <col min="10" max="10" width="10.140625" bestFit="1" customWidth="1"/>
    <col min="11" max="11" width="8.7109375" bestFit="1" customWidth="1"/>
  </cols>
  <sheetData>
    <row r="1" spans="1:11" ht="24.75" thickBot="1" x14ac:dyDescent="0.25">
      <c r="A1" s="16" t="s">
        <v>108</v>
      </c>
      <c r="B1" s="17" t="s">
        <v>110</v>
      </c>
      <c r="C1" s="18" t="s">
        <v>111</v>
      </c>
      <c r="D1" s="17" t="s">
        <v>112</v>
      </c>
      <c r="E1" s="18" t="s">
        <v>113</v>
      </c>
      <c r="F1" s="17" t="s">
        <v>114</v>
      </c>
      <c r="G1" s="18" t="s">
        <v>115</v>
      </c>
      <c r="H1" s="17" t="s">
        <v>116</v>
      </c>
      <c r="I1" s="18" t="s">
        <v>117</v>
      </c>
      <c r="J1" s="17" t="s">
        <v>118</v>
      </c>
      <c r="K1" s="18" t="s">
        <v>119</v>
      </c>
    </row>
    <row r="2" spans="1:11" ht="13.5" thickBot="1" x14ac:dyDescent="0.25">
      <c r="A2" s="19">
        <v>1</v>
      </c>
      <c r="B2" s="20">
        <v>37870</v>
      </c>
      <c r="C2" s="21"/>
      <c r="D2" s="22" t="s">
        <v>12</v>
      </c>
      <c r="E2" s="21"/>
      <c r="F2" s="22"/>
      <c r="G2" s="23" t="s">
        <v>120</v>
      </c>
      <c r="H2" s="22">
        <v>0.75</v>
      </c>
      <c r="I2" s="21">
        <v>120</v>
      </c>
      <c r="J2" s="22"/>
      <c r="K2" s="21">
        <f>I2+J2</f>
        <v>120</v>
      </c>
    </row>
    <row r="3" spans="1:11" ht="13.5" thickBot="1" x14ac:dyDescent="0.25">
      <c r="A3" s="19">
        <v>2</v>
      </c>
      <c r="B3" s="20">
        <v>37877</v>
      </c>
      <c r="C3" s="21"/>
      <c r="D3" s="22"/>
      <c r="E3" s="21" t="s">
        <v>12</v>
      </c>
      <c r="F3" s="22"/>
      <c r="G3" s="23" t="s">
        <v>121</v>
      </c>
      <c r="H3" s="22">
        <v>1.75</v>
      </c>
      <c r="I3" s="21">
        <v>282</v>
      </c>
      <c r="J3" s="22"/>
      <c r="K3" s="21">
        <f t="shared" ref="K3:K26" si="0">I3+J3</f>
        <v>282</v>
      </c>
    </row>
    <row r="4" spans="1:11" ht="13.5" thickBot="1" x14ac:dyDescent="0.25">
      <c r="A4" s="19">
        <v>3</v>
      </c>
      <c r="B4" s="20">
        <v>37878</v>
      </c>
      <c r="C4" s="21"/>
      <c r="D4" s="22"/>
      <c r="E4" s="21" t="s">
        <v>12</v>
      </c>
      <c r="F4" s="22"/>
      <c r="G4" s="23" t="s">
        <v>122</v>
      </c>
      <c r="H4" s="22">
        <v>2</v>
      </c>
      <c r="I4" s="21">
        <v>322</v>
      </c>
      <c r="J4" s="22"/>
      <c r="K4" s="21">
        <f t="shared" si="0"/>
        <v>322</v>
      </c>
    </row>
    <row r="5" spans="1:11" ht="13.5" thickBot="1" x14ac:dyDescent="0.25">
      <c r="A5" s="19">
        <v>4</v>
      </c>
      <c r="B5" s="20">
        <v>37889</v>
      </c>
      <c r="C5" s="21"/>
      <c r="D5" s="22"/>
      <c r="E5" s="21" t="s">
        <v>12</v>
      </c>
      <c r="F5" s="22"/>
      <c r="G5" s="23" t="s">
        <v>121</v>
      </c>
      <c r="H5" s="22">
        <v>3</v>
      </c>
      <c r="I5" s="21">
        <v>483</v>
      </c>
      <c r="J5" s="22"/>
      <c r="K5" s="21">
        <f t="shared" si="0"/>
        <v>483</v>
      </c>
    </row>
    <row r="6" spans="1:11" ht="13.5" thickBot="1" x14ac:dyDescent="0.25">
      <c r="A6" s="19">
        <v>5</v>
      </c>
      <c r="B6" s="20">
        <v>37892</v>
      </c>
      <c r="C6" s="21"/>
      <c r="D6" s="22"/>
      <c r="E6" s="21" t="s">
        <v>12</v>
      </c>
      <c r="F6" s="22"/>
      <c r="G6" s="23" t="s">
        <v>123</v>
      </c>
      <c r="H6" s="22">
        <v>1.75</v>
      </c>
      <c r="I6" s="21">
        <v>282</v>
      </c>
      <c r="J6" s="22">
        <v>79</v>
      </c>
      <c r="K6" s="21">
        <f t="shared" si="0"/>
        <v>361</v>
      </c>
    </row>
    <row r="7" spans="1:11" ht="13.5" thickBot="1" x14ac:dyDescent="0.25">
      <c r="A7" s="19">
        <v>6</v>
      </c>
      <c r="B7" s="20">
        <v>37909</v>
      </c>
      <c r="C7" s="21"/>
      <c r="D7" s="22"/>
      <c r="E7" s="21"/>
      <c r="F7" s="22" t="s">
        <v>12</v>
      </c>
      <c r="G7" s="23" t="s">
        <v>124</v>
      </c>
      <c r="H7" s="22">
        <v>0.5</v>
      </c>
      <c r="I7" s="21">
        <v>95</v>
      </c>
      <c r="J7" s="22">
        <v>375</v>
      </c>
      <c r="K7" s="21">
        <f t="shared" si="0"/>
        <v>470</v>
      </c>
    </row>
    <row r="8" spans="1:11" ht="13.5" thickBot="1" x14ac:dyDescent="0.25">
      <c r="A8" s="19">
        <v>7</v>
      </c>
      <c r="B8" s="20">
        <v>37912</v>
      </c>
      <c r="C8" s="21"/>
      <c r="D8" s="22"/>
      <c r="E8" s="21"/>
      <c r="F8" s="22" t="s">
        <v>12</v>
      </c>
      <c r="G8" s="23" t="s">
        <v>125</v>
      </c>
      <c r="H8" s="22">
        <v>1.5</v>
      </c>
      <c r="I8" s="21">
        <v>287</v>
      </c>
      <c r="J8" s="22"/>
      <c r="K8" s="21">
        <f t="shared" si="0"/>
        <v>287</v>
      </c>
    </row>
    <row r="9" spans="1:11" ht="13.5" thickBot="1" x14ac:dyDescent="0.25">
      <c r="A9" s="19">
        <v>8</v>
      </c>
      <c r="B9" s="20">
        <v>37916</v>
      </c>
      <c r="C9" s="21" t="s">
        <v>12</v>
      </c>
      <c r="D9" s="22"/>
      <c r="E9" s="21"/>
      <c r="F9" s="22"/>
      <c r="G9" s="23" t="s">
        <v>126</v>
      </c>
      <c r="H9" s="22">
        <v>1</v>
      </c>
      <c r="I9" s="21">
        <v>191</v>
      </c>
      <c r="J9" s="22"/>
      <c r="K9" s="21">
        <f t="shared" si="0"/>
        <v>191</v>
      </c>
    </row>
    <row r="10" spans="1:11" ht="13.5" thickBot="1" x14ac:dyDescent="0.25">
      <c r="A10" s="19">
        <v>9</v>
      </c>
      <c r="B10" s="20">
        <v>37923</v>
      </c>
      <c r="C10" s="21"/>
      <c r="D10" s="22"/>
      <c r="E10" s="21" t="s">
        <v>12</v>
      </c>
      <c r="F10" s="22"/>
      <c r="G10" s="23" t="s">
        <v>127</v>
      </c>
      <c r="H10" s="22">
        <v>0.5</v>
      </c>
      <c r="I10" s="21">
        <v>80</v>
      </c>
      <c r="J10" s="22"/>
      <c r="K10" s="21">
        <f t="shared" si="0"/>
        <v>80</v>
      </c>
    </row>
    <row r="11" spans="1:11" ht="24.75" thickBot="1" x14ac:dyDescent="0.25">
      <c r="A11" s="19">
        <v>10</v>
      </c>
      <c r="B11" s="20">
        <v>37929</v>
      </c>
      <c r="C11" s="21"/>
      <c r="D11" s="22"/>
      <c r="E11" s="21" t="s">
        <v>12</v>
      </c>
      <c r="F11" s="22"/>
      <c r="G11" s="23" t="s">
        <v>128</v>
      </c>
      <c r="H11" s="22">
        <v>28</v>
      </c>
      <c r="I11" s="21">
        <v>4508</v>
      </c>
      <c r="J11" s="22">
        <v>5037</v>
      </c>
      <c r="K11" s="21">
        <f t="shared" si="0"/>
        <v>9545</v>
      </c>
    </row>
    <row r="12" spans="1:11" ht="24.75" thickBot="1" x14ac:dyDescent="0.25">
      <c r="A12" s="19">
        <v>11</v>
      </c>
      <c r="B12" s="20">
        <v>37970</v>
      </c>
      <c r="C12" s="21"/>
      <c r="D12" s="22"/>
      <c r="E12" s="21" t="s">
        <v>12</v>
      </c>
      <c r="F12" s="22"/>
      <c r="G12" s="23" t="s">
        <v>129</v>
      </c>
      <c r="H12" s="22">
        <v>9.6999999999999993</v>
      </c>
      <c r="I12" s="21">
        <v>1561</v>
      </c>
      <c r="J12" s="22">
        <v>1341</v>
      </c>
      <c r="K12" s="21">
        <f t="shared" si="0"/>
        <v>2902</v>
      </c>
    </row>
    <row r="13" spans="1:11" ht="13.5" thickBot="1" x14ac:dyDescent="0.25">
      <c r="A13" s="19">
        <v>12</v>
      </c>
      <c r="B13" s="20">
        <v>37624</v>
      </c>
      <c r="C13" s="21"/>
      <c r="D13" s="22"/>
      <c r="E13" s="21" t="s">
        <v>12</v>
      </c>
      <c r="F13" s="22"/>
      <c r="G13" s="23" t="s">
        <v>123</v>
      </c>
      <c r="H13" s="22">
        <v>2</v>
      </c>
      <c r="I13" s="21">
        <v>322</v>
      </c>
      <c r="J13" s="22">
        <v>79</v>
      </c>
      <c r="K13" s="21">
        <f t="shared" si="0"/>
        <v>401</v>
      </c>
    </row>
    <row r="14" spans="1:11" ht="13.5" thickBot="1" x14ac:dyDescent="0.25">
      <c r="A14" s="19">
        <v>13</v>
      </c>
      <c r="B14" s="20">
        <v>37652</v>
      </c>
      <c r="C14" s="21"/>
      <c r="D14" s="22"/>
      <c r="E14" s="21" t="s">
        <v>12</v>
      </c>
      <c r="F14" s="22"/>
      <c r="G14" s="23" t="s">
        <v>123</v>
      </c>
      <c r="H14" s="22">
        <v>1.7</v>
      </c>
      <c r="I14" s="21">
        <v>274</v>
      </c>
      <c r="J14" s="22">
        <v>79</v>
      </c>
      <c r="K14" s="21">
        <f t="shared" si="0"/>
        <v>353</v>
      </c>
    </row>
    <row r="15" spans="1:11" ht="13.5" thickBot="1" x14ac:dyDescent="0.25">
      <c r="A15" s="19">
        <v>14</v>
      </c>
      <c r="B15" s="20">
        <v>37672</v>
      </c>
      <c r="C15" s="21" t="s">
        <v>12</v>
      </c>
      <c r="D15" s="22"/>
      <c r="E15" s="21"/>
      <c r="F15" s="22"/>
      <c r="G15" s="23" t="s">
        <v>130</v>
      </c>
      <c r="H15" s="22">
        <v>1</v>
      </c>
      <c r="I15" s="21">
        <v>161</v>
      </c>
      <c r="J15" s="22">
        <v>1090</v>
      </c>
      <c r="K15" s="21">
        <f t="shared" si="0"/>
        <v>1251</v>
      </c>
    </row>
    <row r="16" spans="1:11" ht="24.75" thickBot="1" x14ac:dyDescent="0.25">
      <c r="A16" s="19">
        <v>15</v>
      </c>
      <c r="B16" s="20">
        <v>37677</v>
      </c>
      <c r="C16" s="21"/>
      <c r="D16" s="22"/>
      <c r="E16" s="21" t="s">
        <v>12</v>
      </c>
      <c r="F16" s="22"/>
      <c r="G16" s="23" t="s">
        <v>131</v>
      </c>
      <c r="H16" s="22">
        <v>5.7</v>
      </c>
      <c r="I16" s="21">
        <v>918</v>
      </c>
      <c r="J16" s="22">
        <v>84</v>
      </c>
      <c r="K16" s="21">
        <f t="shared" si="0"/>
        <v>1002</v>
      </c>
    </row>
    <row r="17" spans="1:11" ht="13.5" thickBot="1" x14ac:dyDescent="0.25">
      <c r="A17" s="19">
        <v>16</v>
      </c>
      <c r="B17" s="20">
        <v>37686</v>
      </c>
      <c r="C17" s="21"/>
      <c r="D17" s="22"/>
      <c r="E17" s="21" t="s">
        <v>12</v>
      </c>
      <c r="F17" s="22"/>
      <c r="G17" s="23" t="s">
        <v>121</v>
      </c>
      <c r="H17" s="22">
        <v>2</v>
      </c>
      <c r="I17" s="21">
        <v>322</v>
      </c>
      <c r="J17" s="22"/>
      <c r="K17" s="21">
        <f t="shared" si="0"/>
        <v>322</v>
      </c>
    </row>
    <row r="18" spans="1:11" ht="13.5" thickBot="1" x14ac:dyDescent="0.25">
      <c r="A18" s="19">
        <v>17</v>
      </c>
      <c r="B18" s="20">
        <v>37694</v>
      </c>
      <c r="C18" s="21"/>
      <c r="D18" s="22"/>
      <c r="E18" s="21"/>
      <c r="F18" s="22" t="s">
        <v>12</v>
      </c>
      <c r="G18" s="23" t="s">
        <v>132</v>
      </c>
      <c r="H18" s="22">
        <v>1.95</v>
      </c>
      <c r="I18" s="21">
        <v>372</v>
      </c>
      <c r="J18" s="22"/>
      <c r="K18" s="21">
        <f t="shared" si="0"/>
        <v>372</v>
      </c>
    </row>
    <row r="19" spans="1:11" ht="24.75" thickBot="1" x14ac:dyDescent="0.25">
      <c r="A19" s="19">
        <v>18</v>
      </c>
      <c r="B19" s="20">
        <v>37725</v>
      </c>
      <c r="C19" s="21"/>
      <c r="D19" s="22"/>
      <c r="E19" s="21" t="s">
        <v>12</v>
      </c>
      <c r="F19" s="22"/>
      <c r="G19" s="23" t="s">
        <v>128</v>
      </c>
      <c r="H19" s="22">
        <v>28.85</v>
      </c>
      <c r="I19" s="21">
        <v>4323</v>
      </c>
      <c r="J19" s="22">
        <v>20809</v>
      </c>
      <c r="K19" s="21">
        <f t="shared" si="0"/>
        <v>25132</v>
      </c>
    </row>
    <row r="20" spans="1:11" ht="13.5" thickBot="1" x14ac:dyDescent="0.25">
      <c r="A20" s="19">
        <v>19</v>
      </c>
      <c r="B20" s="20">
        <v>37730</v>
      </c>
      <c r="C20" s="21"/>
      <c r="D20" s="22"/>
      <c r="E20" s="21"/>
      <c r="F20" s="22" t="s">
        <v>12</v>
      </c>
      <c r="G20" s="23" t="s">
        <v>133</v>
      </c>
      <c r="H20" s="22">
        <v>2</v>
      </c>
      <c r="I20" s="21">
        <v>362</v>
      </c>
      <c r="J20" s="22">
        <v>62</v>
      </c>
      <c r="K20" s="21">
        <f t="shared" si="0"/>
        <v>424</v>
      </c>
    </row>
    <row r="21" spans="1:11" ht="13.5" thickBot="1" x14ac:dyDescent="0.25">
      <c r="A21" s="19">
        <v>20</v>
      </c>
      <c r="B21" s="20">
        <v>37747</v>
      </c>
      <c r="C21" s="21"/>
      <c r="D21" s="22"/>
      <c r="E21" s="21"/>
      <c r="F21" s="22" t="s">
        <v>12</v>
      </c>
      <c r="G21" s="23" t="s">
        <v>134</v>
      </c>
      <c r="H21" s="22">
        <v>1.95</v>
      </c>
      <c r="I21" s="21">
        <v>372</v>
      </c>
      <c r="J21" s="22">
        <v>422</v>
      </c>
      <c r="K21" s="21">
        <f t="shared" si="0"/>
        <v>794</v>
      </c>
    </row>
    <row r="22" spans="1:11" ht="13.5" thickBot="1" x14ac:dyDescent="0.25">
      <c r="A22" s="19">
        <v>21</v>
      </c>
      <c r="B22" s="20">
        <v>37748</v>
      </c>
      <c r="C22" s="21"/>
      <c r="D22" s="22" t="s">
        <v>12</v>
      </c>
      <c r="E22" s="21"/>
      <c r="F22" s="22"/>
      <c r="G22" s="23" t="s">
        <v>135</v>
      </c>
      <c r="H22" s="22">
        <v>0.95</v>
      </c>
      <c r="I22" s="21">
        <v>153</v>
      </c>
      <c r="J22" s="22">
        <v>125</v>
      </c>
      <c r="K22" s="21">
        <f t="shared" si="0"/>
        <v>278</v>
      </c>
    </row>
    <row r="23" spans="1:11" ht="13.5" thickBot="1" x14ac:dyDescent="0.25">
      <c r="A23" s="19">
        <v>22</v>
      </c>
      <c r="B23" s="20">
        <v>37750</v>
      </c>
      <c r="C23" s="21"/>
      <c r="D23" s="22"/>
      <c r="E23" s="21"/>
      <c r="F23" s="22" t="s">
        <v>12</v>
      </c>
      <c r="G23" s="23" t="s">
        <v>136</v>
      </c>
      <c r="H23" s="22">
        <v>1</v>
      </c>
      <c r="I23" s="21">
        <v>191</v>
      </c>
      <c r="J23" s="22"/>
      <c r="K23" s="21">
        <f t="shared" si="0"/>
        <v>191</v>
      </c>
    </row>
    <row r="24" spans="1:11" ht="13.5" thickBot="1" x14ac:dyDescent="0.25">
      <c r="A24" s="19">
        <v>23</v>
      </c>
      <c r="B24" s="20">
        <v>37779</v>
      </c>
      <c r="C24" s="21"/>
      <c r="D24" s="22"/>
      <c r="E24" s="21"/>
      <c r="F24" s="22" t="s">
        <v>12</v>
      </c>
      <c r="G24" s="23" t="s">
        <v>136</v>
      </c>
      <c r="H24" s="22">
        <v>1</v>
      </c>
      <c r="I24" s="21">
        <v>191</v>
      </c>
      <c r="J24" s="22"/>
      <c r="K24" s="21">
        <f t="shared" si="0"/>
        <v>191</v>
      </c>
    </row>
    <row r="25" spans="1:11" ht="13.5" thickBot="1" x14ac:dyDescent="0.25">
      <c r="A25" s="19">
        <v>24</v>
      </c>
      <c r="B25" s="20">
        <v>37797</v>
      </c>
      <c r="C25" s="21"/>
      <c r="D25" s="22"/>
      <c r="E25" s="21"/>
      <c r="F25" s="22" t="s">
        <v>12</v>
      </c>
      <c r="G25" s="23" t="s">
        <v>136</v>
      </c>
      <c r="H25" s="22">
        <v>2</v>
      </c>
      <c r="I25" s="21">
        <v>382</v>
      </c>
      <c r="J25" s="22"/>
      <c r="K25" s="21">
        <f t="shared" si="0"/>
        <v>382</v>
      </c>
    </row>
    <row r="26" spans="1:11" ht="13.5" thickBot="1" x14ac:dyDescent="0.25">
      <c r="A26" s="19">
        <v>25</v>
      </c>
      <c r="B26" s="20">
        <v>37811</v>
      </c>
      <c r="C26" s="21"/>
      <c r="D26" s="22"/>
      <c r="E26" s="21" t="s">
        <v>12</v>
      </c>
      <c r="F26" s="22"/>
      <c r="G26" s="23" t="s">
        <v>137</v>
      </c>
      <c r="H26" s="22">
        <v>4.95</v>
      </c>
      <c r="I26" s="21">
        <v>797</v>
      </c>
      <c r="J26" s="22"/>
      <c r="K26" s="21">
        <f t="shared" si="0"/>
        <v>797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tabSelected="1" workbookViewId="0">
      <selection activeCell="L12" sqref="L12"/>
    </sheetView>
  </sheetViews>
  <sheetFormatPr baseColWidth="10" defaultRowHeight="12.75" x14ac:dyDescent="0.2"/>
  <cols>
    <col min="1" max="6" width="13.7109375" customWidth="1"/>
    <col min="7" max="7" width="13.42578125" customWidth="1"/>
    <col min="9" max="9" width="12.85546875" customWidth="1"/>
  </cols>
  <sheetData>
    <row r="1" spans="1:9" ht="59.25" customHeight="1" x14ac:dyDescent="0.2">
      <c r="A1" s="24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/>
      <c r="H1" s="2"/>
      <c r="I1" s="2"/>
    </row>
    <row r="2" spans="1:9" ht="15" customHeight="1" x14ac:dyDescent="0.2">
      <c r="A2" s="25" t="s">
        <v>144</v>
      </c>
      <c r="B2" s="25">
        <v>15</v>
      </c>
      <c r="C2" s="25">
        <v>50</v>
      </c>
      <c r="D2" s="25">
        <v>760</v>
      </c>
      <c r="E2" s="25">
        <v>22</v>
      </c>
      <c r="F2" s="25">
        <v>30</v>
      </c>
    </row>
    <row r="3" spans="1:9" ht="15" customHeight="1" x14ac:dyDescent="0.2">
      <c r="A3" s="25" t="s">
        <v>145</v>
      </c>
      <c r="B3" s="25">
        <v>15</v>
      </c>
      <c r="C3" s="25">
        <v>56</v>
      </c>
      <c r="D3" s="25">
        <v>1220</v>
      </c>
      <c r="E3" s="25">
        <v>22</v>
      </c>
      <c r="F3" s="25">
        <v>25</v>
      </c>
    </row>
    <row r="4" spans="1:9" ht="15" customHeight="1" x14ac:dyDescent="0.2">
      <c r="A4" s="25" t="s">
        <v>146</v>
      </c>
      <c r="B4" s="25">
        <v>15</v>
      </c>
      <c r="C4" s="25">
        <v>52</v>
      </c>
      <c r="D4" s="25">
        <v>1070</v>
      </c>
      <c r="E4" s="25">
        <v>22</v>
      </c>
      <c r="F4" s="25">
        <v>22</v>
      </c>
    </row>
    <row r="5" spans="1:9" ht="15" customHeight="1" x14ac:dyDescent="0.2">
      <c r="A5" s="25" t="s">
        <v>147</v>
      </c>
      <c r="B5" s="25">
        <v>15</v>
      </c>
      <c r="C5" s="25">
        <v>41</v>
      </c>
      <c r="D5" s="25">
        <v>610</v>
      </c>
      <c r="E5" s="25">
        <v>22</v>
      </c>
      <c r="F5" s="25">
        <v>21</v>
      </c>
    </row>
    <row r="6" spans="1:9" ht="15" customHeight="1" x14ac:dyDescent="0.2">
      <c r="A6" s="25" t="s">
        <v>148</v>
      </c>
      <c r="B6" s="25">
        <v>23</v>
      </c>
      <c r="C6" s="25">
        <v>40</v>
      </c>
      <c r="D6" s="25">
        <v>300</v>
      </c>
      <c r="E6" s="25">
        <v>28</v>
      </c>
      <c r="F6" s="25">
        <v>30</v>
      </c>
    </row>
    <row r="7" spans="1:9" ht="15" customHeight="1" x14ac:dyDescent="0.2">
      <c r="A7" s="25" t="s">
        <v>149</v>
      </c>
      <c r="B7" s="25">
        <v>23</v>
      </c>
      <c r="C7" s="25">
        <v>30</v>
      </c>
      <c r="D7" s="25">
        <v>381</v>
      </c>
      <c r="E7" s="25">
        <v>28</v>
      </c>
      <c r="F7" s="25">
        <v>29</v>
      </c>
    </row>
    <row r="8" spans="1:9" ht="15" customHeight="1" x14ac:dyDescent="0.2">
      <c r="A8" s="25" t="s">
        <v>150</v>
      </c>
      <c r="B8" s="25">
        <v>23</v>
      </c>
      <c r="C8" s="25">
        <v>12</v>
      </c>
      <c r="D8" s="25">
        <v>335</v>
      </c>
      <c r="E8" s="25">
        <v>28</v>
      </c>
      <c r="F8" s="25">
        <v>12</v>
      </c>
    </row>
    <row r="9" spans="1:9" ht="15" customHeight="1" x14ac:dyDescent="0.2">
      <c r="A9" s="25" t="s">
        <v>151</v>
      </c>
      <c r="B9" s="25">
        <v>23</v>
      </c>
      <c r="C9" s="25">
        <v>15</v>
      </c>
      <c r="D9" s="25">
        <v>450</v>
      </c>
      <c r="E9" s="25">
        <v>28</v>
      </c>
      <c r="F9" s="25">
        <v>15</v>
      </c>
    </row>
    <row r="10" spans="1:9" ht="15" customHeight="1" x14ac:dyDescent="0.2">
      <c r="A10" s="25" t="s">
        <v>152</v>
      </c>
      <c r="B10" s="25">
        <v>39</v>
      </c>
      <c r="C10" s="25">
        <v>50</v>
      </c>
      <c r="D10" s="25">
        <v>2286</v>
      </c>
      <c r="E10" s="25">
        <v>76</v>
      </c>
      <c r="F10" s="25">
        <v>41</v>
      </c>
    </row>
    <row r="11" spans="1:9" ht="15" customHeight="1" x14ac:dyDescent="0.2">
      <c r="A11" s="25" t="s">
        <v>153</v>
      </c>
      <c r="B11" s="25">
        <v>39</v>
      </c>
      <c r="C11" s="25">
        <v>47</v>
      </c>
      <c r="D11" s="25">
        <v>2744</v>
      </c>
      <c r="E11" s="25">
        <v>76</v>
      </c>
      <c r="F11" s="25">
        <v>40</v>
      </c>
    </row>
    <row r="12" spans="1:9" ht="15" customHeight="1" x14ac:dyDescent="0.2">
      <c r="A12" s="25" t="s">
        <v>154</v>
      </c>
      <c r="B12" s="25">
        <v>39</v>
      </c>
      <c r="C12" s="25">
        <v>41</v>
      </c>
      <c r="D12" s="25">
        <v>2439</v>
      </c>
      <c r="E12" s="25">
        <v>76</v>
      </c>
      <c r="F12" s="25">
        <v>39</v>
      </c>
    </row>
    <row r="13" spans="1:9" ht="15" customHeight="1" x14ac:dyDescent="0.2">
      <c r="A13" s="25" t="s">
        <v>155</v>
      </c>
      <c r="B13" s="25">
        <v>39</v>
      </c>
      <c r="C13" s="25">
        <v>40</v>
      </c>
      <c r="D13" s="25">
        <v>3811</v>
      </c>
      <c r="E13" s="25">
        <v>76</v>
      </c>
      <c r="F13" s="25">
        <v>41</v>
      </c>
    </row>
    <row r="14" spans="1:9" ht="15" customHeight="1" x14ac:dyDescent="0.2">
      <c r="A14" s="25" t="s">
        <v>156</v>
      </c>
      <c r="B14" s="25">
        <v>15</v>
      </c>
      <c r="C14" s="25">
        <v>30</v>
      </c>
      <c r="D14" s="25">
        <v>300</v>
      </c>
      <c r="E14" s="25">
        <v>23</v>
      </c>
      <c r="F14" s="25">
        <v>25</v>
      </c>
    </row>
    <row r="15" spans="1:9" ht="15" customHeight="1" x14ac:dyDescent="0.2">
      <c r="A15" s="25" t="s">
        <v>157</v>
      </c>
      <c r="B15" s="25">
        <v>15</v>
      </c>
      <c r="C15" s="25">
        <v>32</v>
      </c>
      <c r="D15" s="25">
        <v>335</v>
      </c>
      <c r="E15" s="25">
        <v>23</v>
      </c>
      <c r="F15" s="25">
        <v>26</v>
      </c>
    </row>
    <row r="16" spans="1:9" ht="15" customHeight="1" x14ac:dyDescent="0.2">
      <c r="A16" s="25" t="s">
        <v>158</v>
      </c>
      <c r="B16" s="25">
        <v>15</v>
      </c>
      <c r="C16" s="25">
        <v>38</v>
      </c>
      <c r="D16" s="25">
        <v>351</v>
      </c>
      <c r="E16" s="25">
        <v>23</v>
      </c>
      <c r="F16" s="25">
        <v>21</v>
      </c>
    </row>
    <row r="17" spans="1:6" ht="15" customHeight="1" x14ac:dyDescent="0.2">
      <c r="A17" s="25" t="s">
        <v>159</v>
      </c>
      <c r="B17" s="25">
        <v>15</v>
      </c>
      <c r="C17" s="25">
        <v>33</v>
      </c>
      <c r="D17" s="25">
        <v>320</v>
      </c>
      <c r="E17" s="25">
        <v>23</v>
      </c>
      <c r="F17" s="25">
        <v>22</v>
      </c>
    </row>
    <row r="18" spans="1:6" ht="15" customHeight="1" x14ac:dyDescent="0.2">
      <c r="A18" s="25" t="s">
        <v>160</v>
      </c>
      <c r="B18" s="25">
        <v>27</v>
      </c>
      <c r="C18" s="25">
        <v>12</v>
      </c>
      <c r="D18" s="25">
        <v>228</v>
      </c>
      <c r="E18" s="25">
        <v>34</v>
      </c>
      <c r="F18" s="25">
        <v>10</v>
      </c>
    </row>
    <row r="19" spans="1:6" ht="15" customHeight="1" x14ac:dyDescent="0.2">
      <c r="A19" s="25" t="s">
        <v>161</v>
      </c>
      <c r="B19" s="25">
        <v>27</v>
      </c>
      <c r="C19" s="25">
        <v>15</v>
      </c>
      <c r="D19" s="25">
        <v>182</v>
      </c>
      <c r="E19" s="25">
        <v>34</v>
      </c>
      <c r="F19" s="25">
        <v>9</v>
      </c>
    </row>
    <row r="20" spans="1:6" ht="15" customHeight="1" x14ac:dyDescent="0.2">
      <c r="A20" s="25" t="s">
        <v>162</v>
      </c>
      <c r="B20" s="25">
        <v>27</v>
      </c>
      <c r="C20" s="25">
        <v>14</v>
      </c>
      <c r="D20" s="25">
        <v>167</v>
      </c>
      <c r="E20" s="25">
        <v>34</v>
      </c>
      <c r="F20" s="25">
        <v>13</v>
      </c>
    </row>
    <row r="21" spans="1:6" ht="15" customHeight="1" x14ac:dyDescent="0.2">
      <c r="A21" s="25" t="s">
        <v>163</v>
      </c>
      <c r="B21" s="25">
        <v>27</v>
      </c>
      <c r="C21" s="25">
        <v>16</v>
      </c>
      <c r="D21" s="25">
        <v>213</v>
      </c>
      <c r="E21" s="25">
        <v>34</v>
      </c>
      <c r="F21" s="25">
        <v>11</v>
      </c>
    </row>
    <row r="22" spans="1:6" ht="15" customHeight="1" x14ac:dyDescent="0.2"/>
    <row r="23" spans="1:6" ht="15" customHeight="1" x14ac:dyDescent="0.2"/>
  </sheetData>
  <printOptions gridLines="1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>
    <oddHeader>&amp;LNOZIERE Cyril
&amp;RBTS1</oddHeader>
    <oddFooter>&amp;L&amp;D&amp;C&amp;T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topLeftCell="A23" workbookViewId="0">
      <selection activeCell="B43" sqref="B43"/>
    </sheetView>
  </sheetViews>
  <sheetFormatPr baseColWidth="10" defaultRowHeight="12.75" x14ac:dyDescent="0.2"/>
  <cols>
    <col min="1" max="1" width="12.42578125" customWidth="1"/>
    <col min="2" max="3" width="19.42578125" customWidth="1"/>
  </cols>
  <sheetData>
    <row r="1" spans="1:3" ht="15.75" thickBot="1" x14ac:dyDescent="0.25">
      <c r="A1" s="26" t="s">
        <v>164</v>
      </c>
      <c r="B1" s="27" t="s">
        <v>165</v>
      </c>
      <c r="C1" s="27" t="s">
        <v>166</v>
      </c>
    </row>
    <row r="2" spans="1:3" ht="15" thickBot="1" x14ac:dyDescent="0.25">
      <c r="A2" s="28">
        <v>1</v>
      </c>
      <c r="B2" s="29" t="s">
        <v>167</v>
      </c>
      <c r="C2" s="29">
        <v>5</v>
      </c>
    </row>
    <row r="3" spans="1:3" ht="15" thickBot="1" x14ac:dyDescent="0.25">
      <c r="A3" s="28">
        <v>2</v>
      </c>
      <c r="B3" s="29" t="s">
        <v>168</v>
      </c>
      <c r="C3" s="29">
        <v>4</v>
      </c>
    </row>
    <row r="4" spans="1:3" ht="15" thickBot="1" x14ac:dyDescent="0.25">
      <c r="A4" s="28">
        <v>3</v>
      </c>
      <c r="B4" s="29" t="s">
        <v>169</v>
      </c>
      <c r="C4" s="29">
        <v>35</v>
      </c>
    </row>
    <row r="5" spans="1:3" ht="29.25" thickBot="1" x14ac:dyDescent="0.25">
      <c r="A5" s="28">
        <v>4</v>
      </c>
      <c r="B5" s="29" t="s">
        <v>170</v>
      </c>
      <c r="C5" s="29">
        <v>25</v>
      </c>
    </row>
    <row r="6" spans="1:3" ht="15" thickBot="1" x14ac:dyDescent="0.25">
      <c r="A6" s="28">
        <v>5</v>
      </c>
      <c r="B6" s="29" t="s">
        <v>171</v>
      </c>
      <c r="C6" s="29">
        <v>15</v>
      </c>
    </row>
    <row r="7" spans="1:3" ht="15" thickBot="1" x14ac:dyDescent="0.25">
      <c r="A7" s="28">
        <v>6</v>
      </c>
      <c r="B7" s="29" t="s">
        <v>172</v>
      </c>
      <c r="C7" s="29">
        <v>7</v>
      </c>
    </row>
    <row r="8" spans="1:3" ht="15" thickBot="1" x14ac:dyDescent="0.25">
      <c r="A8" s="28">
        <v>7</v>
      </c>
      <c r="B8" s="29" t="s">
        <v>173</v>
      </c>
      <c r="C8" s="29">
        <v>10</v>
      </c>
    </row>
    <row r="9" spans="1:3" ht="29.25" thickBot="1" x14ac:dyDescent="0.25">
      <c r="A9" s="28">
        <v>8</v>
      </c>
      <c r="B9" s="29" t="s">
        <v>174</v>
      </c>
      <c r="C9" s="29">
        <v>3</v>
      </c>
    </row>
    <row r="10" spans="1:3" ht="29.25" thickBot="1" x14ac:dyDescent="0.25">
      <c r="A10" s="28">
        <v>9</v>
      </c>
      <c r="B10" s="29" t="s">
        <v>175</v>
      </c>
      <c r="C10" s="29">
        <v>50</v>
      </c>
    </row>
    <row r="11" spans="1:3" ht="15" thickBot="1" x14ac:dyDescent="0.25">
      <c r="A11" s="28">
        <v>10</v>
      </c>
      <c r="B11" s="29" t="s">
        <v>176</v>
      </c>
      <c r="C11" s="29">
        <v>2</v>
      </c>
    </row>
    <row r="13" spans="1:3" ht="13.5" thickBot="1" x14ac:dyDescent="0.25"/>
    <row r="14" spans="1:3" ht="45.75" thickBot="1" x14ac:dyDescent="0.25">
      <c r="A14" s="26" t="s">
        <v>177</v>
      </c>
      <c r="B14" s="27" t="s">
        <v>178</v>
      </c>
      <c r="C14" s="27" t="s">
        <v>166</v>
      </c>
    </row>
    <row r="15" spans="1:3" ht="29.25" thickBot="1" x14ac:dyDescent="0.25">
      <c r="A15" s="28">
        <v>27</v>
      </c>
      <c r="B15" s="29" t="s">
        <v>179</v>
      </c>
      <c r="C15" s="29">
        <v>6</v>
      </c>
    </row>
    <row r="16" spans="1:3" ht="29.25" thickBot="1" x14ac:dyDescent="0.25">
      <c r="A16" s="28">
        <v>6</v>
      </c>
      <c r="B16" s="29" t="s">
        <v>180</v>
      </c>
      <c r="C16" s="29">
        <v>6</v>
      </c>
    </row>
    <row r="17" spans="1:3" ht="29.25" thickBot="1" x14ac:dyDescent="0.25">
      <c r="A17" s="28">
        <v>460</v>
      </c>
      <c r="B17" s="29" t="s">
        <v>179</v>
      </c>
      <c r="C17" s="29">
        <v>5</v>
      </c>
    </row>
    <row r="18" spans="1:3" ht="29.25" thickBot="1" x14ac:dyDescent="0.25">
      <c r="A18" s="28">
        <v>63</v>
      </c>
      <c r="B18" s="29" t="s">
        <v>181</v>
      </c>
      <c r="C18" s="29">
        <v>1</v>
      </c>
    </row>
    <row r="19" spans="1:3" ht="29.25" thickBot="1" x14ac:dyDescent="0.25">
      <c r="A19" s="28">
        <v>67</v>
      </c>
      <c r="B19" s="29" t="s">
        <v>182</v>
      </c>
      <c r="C19" s="29">
        <v>2</v>
      </c>
    </row>
    <row r="20" spans="1:3" ht="29.25" thickBot="1" x14ac:dyDescent="0.25">
      <c r="A20" s="28">
        <v>72</v>
      </c>
      <c r="B20" s="29" t="s">
        <v>180</v>
      </c>
      <c r="C20" s="29">
        <v>4</v>
      </c>
    </row>
    <row r="21" spans="1:3" ht="29.25" thickBot="1" x14ac:dyDescent="0.25">
      <c r="A21" s="28">
        <v>75</v>
      </c>
      <c r="B21" s="29" t="s">
        <v>179</v>
      </c>
      <c r="C21" s="29">
        <v>5</v>
      </c>
    </row>
    <row r="22" spans="1:3" ht="29.25" thickBot="1" x14ac:dyDescent="0.25">
      <c r="A22" s="28">
        <v>87</v>
      </c>
      <c r="B22" s="29" t="s">
        <v>183</v>
      </c>
      <c r="C22" s="29">
        <v>3</v>
      </c>
    </row>
    <row r="23" spans="1:3" ht="29.25" thickBot="1" x14ac:dyDescent="0.25">
      <c r="A23" s="28">
        <v>110</v>
      </c>
      <c r="B23" s="29" t="s">
        <v>182</v>
      </c>
      <c r="C23" s="29">
        <v>2</v>
      </c>
    </row>
    <row r="24" spans="1:3" ht="29.25" thickBot="1" x14ac:dyDescent="0.25">
      <c r="A24" s="28">
        <v>115</v>
      </c>
      <c r="B24" s="29" t="s">
        <v>184</v>
      </c>
      <c r="C24" s="29">
        <v>3</v>
      </c>
    </row>
    <row r="25" spans="1:3" ht="29.25" thickBot="1" x14ac:dyDescent="0.25">
      <c r="A25" s="28">
        <v>135</v>
      </c>
      <c r="B25" s="29" t="s">
        <v>179</v>
      </c>
      <c r="C25" s="29">
        <v>5</v>
      </c>
    </row>
    <row r="26" spans="1:3" ht="43.5" thickBot="1" x14ac:dyDescent="0.25">
      <c r="A26" s="28">
        <v>157</v>
      </c>
      <c r="B26" s="29" t="s">
        <v>185</v>
      </c>
      <c r="C26" s="29">
        <v>1.5</v>
      </c>
    </row>
    <row r="27" spans="1:3" ht="29.25" thickBot="1" x14ac:dyDescent="0.25">
      <c r="A27" s="28">
        <v>185</v>
      </c>
      <c r="B27" s="29" t="s">
        <v>182</v>
      </c>
      <c r="C27" s="29">
        <v>1</v>
      </c>
    </row>
    <row r="28" spans="1:3" ht="29.25" thickBot="1" x14ac:dyDescent="0.25">
      <c r="A28" s="28">
        <v>190</v>
      </c>
      <c r="B28" s="29" t="s">
        <v>179</v>
      </c>
      <c r="C28" s="29">
        <v>5</v>
      </c>
    </row>
    <row r="29" spans="1:3" ht="29.25" thickBot="1" x14ac:dyDescent="0.25">
      <c r="A29" s="28">
        <v>192</v>
      </c>
      <c r="B29" s="29" t="s">
        <v>186</v>
      </c>
      <c r="C29" s="29">
        <v>0.5</v>
      </c>
    </row>
    <row r="31" spans="1:3" ht="13.5" thickBot="1" x14ac:dyDescent="0.25"/>
    <row r="32" spans="1:3" ht="45.75" thickBot="1" x14ac:dyDescent="0.25">
      <c r="A32" s="26" t="s">
        <v>187</v>
      </c>
      <c r="B32" s="27" t="s">
        <v>166</v>
      </c>
    </row>
    <row r="33" spans="1:2" ht="15" thickBot="1" x14ac:dyDescent="0.25">
      <c r="A33" s="28" t="s">
        <v>188</v>
      </c>
      <c r="B33" s="29">
        <v>9</v>
      </c>
    </row>
    <row r="34" spans="1:2" ht="15" thickBot="1" x14ac:dyDescent="0.25">
      <c r="A34" s="28" t="s">
        <v>189</v>
      </c>
      <c r="B34" s="29">
        <v>6</v>
      </c>
    </row>
    <row r="35" spans="1:2" ht="15" thickBot="1" x14ac:dyDescent="0.25">
      <c r="A35" s="28" t="s">
        <v>190</v>
      </c>
      <c r="B35" s="29">
        <v>2</v>
      </c>
    </row>
    <row r="36" spans="1:2" ht="15" thickBot="1" x14ac:dyDescent="0.25">
      <c r="A36" s="28" t="s">
        <v>191</v>
      </c>
      <c r="B36" s="29">
        <v>4</v>
      </c>
    </row>
    <row r="37" spans="1:2" ht="15" thickBot="1" x14ac:dyDescent="0.25">
      <c r="A37" s="28" t="s">
        <v>192</v>
      </c>
      <c r="B37" s="29">
        <v>7.5</v>
      </c>
    </row>
    <row r="38" spans="1:2" ht="15" thickBot="1" x14ac:dyDescent="0.25">
      <c r="A38" s="28" t="s">
        <v>193</v>
      </c>
      <c r="B38" s="29">
        <v>6.5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>
      <selection activeCell="B34" sqref="B34"/>
    </sheetView>
  </sheetViews>
  <sheetFormatPr baseColWidth="10" defaultRowHeight="12.75" x14ac:dyDescent="0.2"/>
  <cols>
    <col min="2" max="2" width="22.85546875" customWidth="1"/>
  </cols>
  <sheetData>
    <row r="1" spans="1:2" ht="26.25" thickBot="1" x14ac:dyDescent="0.25">
      <c r="A1" s="30" t="s">
        <v>194</v>
      </c>
      <c r="B1" s="31" t="s">
        <v>195</v>
      </c>
    </row>
    <row r="2" spans="1:2" ht="13.5" thickBot="1" x14ac:dyDescent="0.25">
      <c r="A2" s="32">
        <v>1</v>
      </c>
      <c r="B2" s="33">
        <v>503</v>
      </c>
    </row>
    <row r="3" spans="1:2" ht="13.5" thickBot="1" x14ac:dyDescent="0.25">
      <c r="A3" s="32">
        <v>2</v>
      </c>
      <c r="B3" s="33">
        <v>229</v>
      </c>
    </row>
    <row r="4" spans="1:2" ht="13.5" thickBot="1" x14ac:dyDescent="0.25">
      <c r="A4" s="32">
        <v>3</v>
      </c>
      <c r="B4" s="33">
        <v>91</v>
      </c>
    </row>
    <row r="5" spans="1:2" ht="13.5" thickBot="1" x14ac:dyDescent="0.25">
      <c r="A5" s="32">
        <v>4</v>
      </c>
      <c r="B5" s="33">
        <v>1753</v>
      </c>
    </row>
    <row r="6" spans="1:2" ht="13.5" thickBot="1" x14ac:dyDescent="0.25">
      <c r="A6" s="32">
        <v>5</v>
      </c>
      <c r="B6" s="33">
        <v>130</v>
      </c>
    </row>
    <row r="7" spans="1:2" ht="13.5" thickBot="1" x14ac:dyDescent="0.25">
      <c r="A7" s="32">
        <v>6</v>
      </c>
      <c r="B7" s="33">
        <v>396</v>
      </c>
    </row>
    <row r="8" spans="1:2" ht="13.5" thickBot="1" x14ac:dyDescent="0.25">
      <c r="A8" s="32">
        <v>7</v>
      </c>
      <c r="B8" s="33">
        <v>122</v>
      </c>
    </row>
    <row r="9" spans="1:2" ht="13.5" thickBot="1" x14ac:dyDescent="0.25">
      <c r="A9" s="32">
        <v>8</v>
      </c>
      <c r="B9" s="33">
        <v>84</v>
      </c>
    </row>
    <row r="10" spans="1:2" ht="13.5" thickBot="1" x14ac:dyDescent="0.25">
      <c r="A10" s="32">
        <v>9</v>
      </c>
      <c r="B10" s="33">
        <v>1361</v>
      </c>
    </row>
    <row r="11" spans="1:2" ht="13.5" thickBot="1" x14ac:dyDescent="0.25">
      <c r="A11" s="32">
        <v>10</v>
      </c>
      <c r="B11" s="33">
        <v>107</v>
      </c>
    </row>
    <row r="12" spans="1:2" ht="13.5" thickBot="1" x14ac:dyDescent="0.25">
      <c r="A12" s="32">
        <v>11</v>
      </c>
      <c r="B12" s="33">
        <v>137</v>
      </c>
    </row>
    <row r="13" spans="1:2" ht="13.5" thickBot="1" x14ac:dyDescent="0.25">
      <c r="A13" s="32">
        <v>12</v>
      </c>
      <c r="B13" s="33">
        <v>686</v>
      </c>
    </row>
    <row r="14" spans="1:2" ht="13.5" thickBot="1" x14ac:dyDescent="0.25">
      <c r="A14" s="32">
        <v>13</v>
      </c>
      <c r="B14" s="33">
        <v>61</v>
      </c>
    </row>
    <row r="15" spans="1:2" ht="13.5" thickBot="1" x14ac:dyDescent="0.25">
      <c r="A15" s="32">
        <v>14</v>
      </c>
      <c r="B15" s="33">
        <v>1220</v>
      </c>
    </row>
    <row r="16" spans="1:2" ht="13.5" thickBot="1" x14ac:dyDescent="0.25">
      <c r="A16" s="32">
        <v>15</v>
      </c>
      <c r="B16" s="33">
        <v>297</v>
      </c>
    </row>
    <row r="17" spans="1:2" ht="13.5" thickBot="1" x14ac:dyDescent="0.25">
      <c r="A17" s="32">
        <v>16</v>
      </c>
      <c r="B17" s="33">
        <v>434</v>
      </c>
    </row>
    <row r="18" spans="1:2" ht="13.5" thickBot="1" x14ac:dyDescent="0.25">
      <c r="A18" s="32">
        <v>17</v>
      </c>
      <c r="B18" s="33">
        <v>76</v>
      </c>
    </row>
    <row r="19" spans="1:2" ht="13.5" thickBot="1" x14ac:dyDescent="0.25">
      <c r="A19" s="32">
        <v>18</v>
      </c>
      <c r="B19" s="33">
        <v>114</v>
      </c>
    </row>
    <row r="20" spans="1:2" ht="13.5" thickBot="1" x14ac:dyDescent="0.25">
      <c r="A20" s="32">
        <v>19</v>
      </c>
      <c r="B20" s="33">
        <v>198</v>
      </c>
    </row>
    <row r="21" spans="1:2" ht="13.5" thickBot="1" x14ac:dyDescent="0.25">
      <c r="A21" s="32">
        <v>20</v>
      </c>
      <c r="B21" s="33">
        <v>1098</v>
      </c>
    </row>
    <row r="22" spans="1:2" ht="13.5" thickBot="1" x14ac:dyDescent="0.25">
      <c r="A22" s="32">
        <v>21</v>
      </c>
      <c r="B22" s="33">
        <v>91</v>
      </c>
    </row>
    <row r="23" spans="1:2" ht="13.5" thickBot="1" x14ac:dyDescent="0.25">
      <c r="A23" s="32">
        <v>22</v>
      </c>
      <c r="B23" s="33">
        <v>152</v>
      </c>
    </row>
    <row r="24" spans="1:2" ht="13.5" thickBot="1" x14ac:dyDescent="0.25">
      <c r="A24" s="32">
        <v>23</v>
      </c>
      <c r="B24" s="33">
        <v>107</v>
      </c>
    </row>
    <row r="25" spans="1:2" ht="13.5" thickBot="1" x14ac:dyDescent="0.25">
      <c r="A25" s="32">
        <v>24</v>
      </c>
      <c r="B25" s="33">
        <v>1486</v>
      </c>
    </row>
    <row r="26" spans="1:2" ht="13.5" thickBot="1" x14ac:dyDescent="0.25">
      <c r="A26" s="32">
        <v>25</v>
      </c>
      <c r="B26" s="33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9"/>
  <sheetViews>
    <sheetView workbookViewId="0">
      <selection activeCell="J14" sqref="J14"/>
    </sheetView>
  </sheetViews>
  <sheetFormatPr baseColWidth="10" defaultRowHeight="12.75" x14ac:dyDescent="0.2"/>
  <cols>
    <col min="1" max="1" width="11.42578125" style="1"/>
    <col min="2" max="2" width="13.140625" style="1" customWidth="1"/>
    <col min="3" max="7" width="11.42578125" style="1"/>
    <col min="8" max="8" width="11.42578125" style="1" customWidth="1"/>
    <col min="9" max="16384" width="11.42578125" style="1"/>
  </cols>
  <sheetData>
    <row r="1" spans="1:10" ht="25.5" x14ac:dyDescent="0.2">
      <c r="A1" s="38" t="s">
        <v>80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25.5" customHeight="1" x14ac:dyDescent="0.2">
      <c r="A2" s="39" t="s">
        <v>0</v>
      </c>
      <c r="B2" s="39" t="s">
        <v>1</v>
      </c>
      <c r="C2" s="39" t="s">
        <v>2</v>
      </c>
      <c r="D2" s="39" t="s">
        <v>14</v>
      </c>
      <c r="E2" s="39" t="s">
        <v>6</v>
      </c>
      <c r="F2" s="39"/>
      <c r="G2" s="39" t="s">
        <v>7</v>
      </c>
      <c r="H2" s="39"/>
      <c r="I2" s="39" t="s">
        <v>8</v>
      </c>
      <c r="J2" s="39" t="s">
        <v>9</v>
      </c>
    </row>
    <row r="3" spans="1:10" s="2" customFormat="1" x14ac:dyDescent="0.2">
      <c r="A3" s="40"/>
      <c r="B3" s="40"/>
      <c r="C3" s="40"/>
      <c r="D3" s="40"/>
      <c r="E3" s="2" t="s">
        <v>3</v>
      </c>
      <c r="F3" s="2" t="s">
        <v>4</v>
      </c>
      <c r="G3" s="2" t="s">
        <v>3</v>
      </c>
      <c r="H3" s="2" t="s">
        <v>5</v>
      </c>
      <c r="I3" s="40"/>
      <c r="J3" s="40"/>
    </row>
    <row r="4" spans="1:10" ht="25.5" x14ac:dyDescent="0.2">
      <c r="A4" s="3">
        <v>37259</v>
      </c>
      <c r="B4" s="1" t="s">
        <v>10</v>
      </c>
      <c r="C4" s="1" t="s">
        <v>11</v>
      </c>
      <c r="D4" s="1">
        <v>40</v>
      </c>
      <c r="I4" s="1" t="s">
        <v>12</v>
      </c>
    </row>
    <row r="5" spans="1:10" ht="25.5" x14ac:dyDescent="0.2">
      <c r="A5" s="3">
        <v>37261</v>
      </c>
      <c r="B5" s="1" t="s">
        <v>13</v>
      </c>
      <c r="C5" s="1" t="s">
        <v>11</v>
      </c>
      <c r="D5" s="1">
        <v>90</v>
      </c>
      <c r="I5" s="1" t="s">
        <v>12</v>
      </c>
    </row>
    <row r="6" spans="1:10" ht="25.5" x14ac:dyDescent="0.2">
      <c r="A6" s="3">
        <v>37263</v>
      </c>
      <c r="B6" s="1" t="s">
        <v>15</v>
      </c>
      <c r="C6" s="1" t="s">
        <v>11</v>
      </c>
      <c r="D6" s="1">
        <v>25</v>
      </c>
      <c r="I6" s="1" t="s">
        <v>12</v>
      </c>
    </row>
    <row r="7" spans="1:10" ht="38.25" x14ac:dyDescent="0.2">
      <c r="A7" s="3">
        <v>37268</v>
      </c>
      <c r="B7" s="1" t="s">
        <v>16</v>
      </c>
      <c r="C7" s="1" t="s">
        <v>17</v>
      </c>
      <c r="D7" s="1">
        <v>40</v>
      </c>
      <c r="H7" s="1" t="s">
        <v>12</v>
      </c>
    </row>
    <row r="8" spans="1:10" ht="38.25" x14ac:dyDescent="0.2">
      <c r="A8" s="3">
        <v>37269</v>
      </c>
      <c r="B8" s="1" t="s">
        <v>18</v>
      </c>
      <c r="C8" s="1" t="s">
        <v>19</v>
      </c>
      <c r="D8" s="1">
        <v>220</v>
      </c>
      <c r="F8" s="1" t="s">
        <v>12</v>
      </c>
    </row>
    <row r="9" spans="1:10" ht="38.25" x14ac:dyDescent="0.2">
      <c r="A9" s="3">
        <v>37277</v>
      </c>
      <c r="B9" s="1" t="s">
        <v>20</v>
      </c>
      <c r="C9" s="1" t="s">
        <v>17</v>
      </c>
      <c r="D9" s="1">
        <v>60</v>
      </c>
      <c r="I9" s="1" t="s">
        <v>12</v>
      </c>
    </row>
    <row r="10" spans="1:10" ht="25.5" x14ac:dyDescent="0.2">
      <c r="A10" s="3">
        <v>37285</v>
      </c>
      <c r="B10" s="1" t="s">
        <v>21</v>
      </c>
      <c r="C10" s="1" t="s">
        <v>11</v>
      </c>
      <c r="D10" s="1">
        <v>70</v>
      </c>
      <c r="I10" s="1" t="s">
        <v>12</v>
      </c>
    </row>
    <row r="11" spans="1:10" ht="38.25" x14ac:dyDescent="0.2">
      <c r="A11" s="3">
        <v>37291</v>
      </c>
      <c r="B11" s="1" t="s">
        <v>22</v>
      </c>
      <c r="C11" s="1" t="s">
        <v>11</v>
      </c>
      <c r="D11" s="1">
        <v>80</v>
      </c>
      <c r="H11" s="1" t="s">
        <v>12</v>
      </c>
    </row>
    <row r="12" spans="1:10" ht="38.25" x14ac:dyDescent="0.2">
      <c r="A12" s="3">
        <v>37294</v>
      </c>
      <c r="B12" s="1" t="s">
        <v>23</v>
      </c>
      <c r="C12" s="1" t="s">
        <v>19</v>
      </c>
      <c r="D12" s="1">
        <v>60</v>
      </c>
      <c r="F12" s="1" t="s">
        <v>12</v>
      </c>
    </row>
    <row r="13" spans="1:10" ht="38.25" x14ac:dyDescent="0.2">
      <c r="A13" s="3">
        <v>37296</v>
      </c>
      <c r="B13" s="1" t="s">
        <v>24</v>
      </c>
      <c r="C13" s="1" t="s">
        <v>25</v>
      </c>
      <c r="D13" s="1">
        <v>25</v>
      </c>
      <c r="F13" s="1" t="s">
        <v>12</v>
      </c>
    </row>
    <row r="14" spans="1:10" ht="25.5" x14ac:dyDescent="0.2">
      <c r="A14" s="3">
        <v>37304</v>
      </c>
      <c r="B14" s="1" t="s">
        <v>26</v>
      </c>
      <c r="C14" s="1" t="s">
        <v>11</v>
      </c>
      <c r="D14" s="1">
        <v>40</v>
      </c>
      <c r="F14" s="1" t="s">
        <v>12</v>
      </c>
    </row>
    <row r="15" spans="1:10" ht="38.25" x14ac:dyDescent="0.2">
      <c r="A15" s="3">
        <v>37313</v>
      </c>
      <c r="B15" s="1" t="s">
        <v>27</v>
      </c>
      <c r="C15" s="1" t="s">
        <v>11</v>
      </c>
      <c r="D15" s="1">
        <v>120</v>
      </c>
      <c r="F15" s="1" t="s">
        <v>12</v>
      </c>
    </row>
    <row r="16" spans="1:10" ht="25.5" x14ac:dyDescent="0.2">
      <c r="A16" s="3">
        <v>37316</v>
      </c>
      <c r="B16" s="1" t="s">
        <v>28</v>
      </c>
      <c r="C16" s="1" t="s">
        <v>25</v>
      </c>
      <c r="D16" s="1">
        <v>80</v>
      </c>
      <c r="F16" s="1" t="s">
        <v>12</v>
      </c>
    </row>
    <row r="17" spans="1:10" ht="25.5" x14ac:dyDescent="0.2">
      <c r="A17" s="3">
        <v>37322</v>
      </c>
      <c r="B17" s="1" t="s">
        <v>29</v>
      </c>
      <c r="C17" s="1" t="s">
        <v>11</v>
      </c>
      <c r="D17" s="1">
        <v>40</v>
      </c>
      <c r="H17" s="1" t="s">
        <v>12</v>
      </c>
    </row>
    <row r="18" spans="1:10" ht="25.5" x14ac:dyDescent="0.2">
      <c r="A18" s="3">
        <v>37324</v>
      </c>
      <c r="B18" s="1" t="s">
        <v>30</v>
      </c>
      <c r="C18" s="1" t="s">
        <v>31</v>
      </c>
      <c r="D18" s="1">
        <v>30</v>
      </c>
      <c r="E18" s="1" t="s">
        <v>12</v>
      </c>
    </row>
    <row r="19" spans="1:10" ht="25.5" x14ac:dyDescent="0.2">
      <c r="A19" s="3">
        <v>37331</v>
      </c>
      <c r="B19" s="1" t="s">
        <v>32</v>
      </c>
      <c r="C19" s="1" t="s">
        <v>11</v>
      </c>
      <c r="D19" s="1">
        <v>55</v>
      </c>
      <c r="F19" s="1" t="s">
        <v>12</v>
      </c>
    </row>
    <row r="20" spans="1:10" ht="25.5" x14ac:dyDescent="0.2">
      <c r="A20" s="3">
        <v>37334</v>
      </c>
      <c r="B20" s="1" t="s">
        <v>33</v>
      </c>
      <c r="C20" s="1" t="s">
        <v>34</v>
      </c>
      <c r="D20" s="1">
        <v>40</v>
      </c>
      <c r="F20" s="1" t="s">
        <v>12</v>
      </c>
    </row>
    <row r="21" spans="1:10" x14ac:dyDescent="0.2">
      <c r="A21" s="3">
        <v>37339</v>
      </c>
      <c r="B21" s="1" t="s">
        <v>35</v>
      </c>
      <c r="C21" s="1" t="s">
        <v>31</v>
      </c>
      <c r="D21" s="1">
        <v>70</v>
      </c>
      <c r="E21" s="1" t="s">
        <v>12</v>
      </c>
    </row>
    <row r="22" spans="1:10" ht="25.5" x14ac:dyDescent="0.2">
      <c r="A22" s="3">
        <v>37343</v>
      </c>
      <c r="B22" s="1" t="s">
        <v>36</v>
      </c>
      <c r="C22" s="1" t="s">
        <v>11</v>
      </c>
      <c r="D22" s="1">
        <v>55</v>
      </c>
      <c r="I22" s="1" t="s">
        <v>12</v>
      </c>
    </row>
    <row r="23" spans="1:10" ht="25.5" x14ac:dyDescent="0.2">
      <c r="A23" s="3">
        <v>37344</v>
      </c>
      <c r="B23" s="1" t="s">
        <v>37</v>
      </c>
      <c r="C23" s="1" t="s">
        <v>31</v>
      </c>
      <c r="D23" s="1">
        <v>30</v>
      </c>
      <c r="G23" s="1" t="s">
        <v>12</v>
      </c>
    </row>
    <row r="24" spans="1:10" ht="25.5" x14ac:dyDescent="0.2">
      <c r="A24" s="3">
        <v>37351</v>
      </c>
      <c r="B24" s="1" t="s">
        <v>38</v>
      </c>
      <c r="C24" s="1" t="s">
        <v>17</v>
      </c>
      <c r="D24" s="1">
        <v>15</v>
      </c>
      <c r="I24" s="1" t="s">
        <v>12</v>
      </c>
    </row>
    <row r="25" spans="1:10" ht="25.5" x14ac:dyDescent="0.2">
      <c r="A25" s="3">
        <v>37360</v>
      </c>
      <c r="B25" s="1" t="s">
        <v>39</v>
      </c>
      <c r="C25" s="1" t="s">
        <v>11</v>
      </c>
      <c r="D25" s="1">
        <v>35</v>
      </c>
      <c r="H25" s="1" t="s">
        <v>12</v>
      </c>
    </row>
    <row r="26" spans="1:10" ht="25.5" x14ac:dyDescent="0.2">
      <c r="A26" s="3">
        <v>37365</v>
      </c>
      <c r="B26" s="1" t="s">
        <v>40</v>
      </c>
      <c r="C26" s="1" t="s">
        <v>19</v>
      </c>
      <c r="D26" s="1">
        <v>30</v>
      </c>
      <c r="J26" s="1" t="s">
        <v>12</v>
      </c>
    </row>
    <row r="27" spans="1:10" ht="38.25" x14ac:dyDescent="0.2">
      <c r="A27" s="3">
        <v>37370</v>
      </c>
      <c r="B27" s="1" t="s">
        <v>41</v>
      </c>
      <c r="C27" s="1" t="s">
        <v>25</v>
      </c>
      <c r="D27" s="1">
        <v>40</v>
      </c>
      <c r="F27" s="1" t="s">
        <v>12</v>
      </c>
    </row>
    <row r="28" spans="1:10" ht="25.5" x14ac:dyDescent="0.2">
      <c r="A28" s="3">
        <v>37375</v>
      </c>
      <c r="B28" s="1" t="s">
        <v>42</v>
      </c>
      <c r="C28" s="1" t="s">
        <v>11</v>
      </c>
      <c r="D28" s="1">
        <v>30</v>
      </c>
      <c r="F28" s="1" t="s">
        <v>12</v>
      </c>
    </row>
    <row r="29" spans="1:10" ht="25.5" x14ac:dyDescent="0.2">
      <c r="A29" s="3">
        <v>37379</v>
      </c>
      <c r="B29" s="1" t="s">
        <v>43</v>
      </c>
      <c r="C29" s="1" t="s">
        <v>11</v>
      </c>
      <c r="D29" s="1">
        <v>60</v>
      </c>
      <c r="F29" s="1" t="s">
        <v>12</v>
      </c>
    </row>
    <row r="30" spans="1:10" ht="38.25" x14ac:dyDescent="0.2">
      <c r="A30" s="3">
        <v>37385</v>
      </c>
      <c r="B30" s="1" t="s">
        <v>44</v>
      </c>
      <c r="C30" s="1" t="s">
        <v>11</v>
      </c>
      <c r="D30" s="1">
        <v>40</v>
      </c>
      <c r="F30" s="1" t="s">
        <v>12</v>
      </c>
    </row>
    <row r="31" spans="1:10" ht="38.25" x14ac:dyDescent="0.2">
      <c r="A31" s="3">
        <v>37387</v>
      </c>
      <c r="B31" s="1" t="s">
        <v>45</v>
      </c>
      <c r="C31" s="1" t="s">
        <v>34</v>
      </c>
      <c r="D31" s="1">
        <v>40</v>
      </c>
      <c r="F31" s="1" t="s">
        <v>12</v>
      </c>
    </row>
    <row r="32" spans="1:10" ht="38.25" x14ac:dyDescent="0.2">
      <c r="A32" s="3">
        <v>37389</v>
      </c>
      <c r="B32" s="1" t="s">
        <v>46</v>
      </c>
      <c r="C32" s="1" t="s">
        <v>17</v>
      </c>
      <c r="D32" s="1">
        <v>50</v>
      </c>
      <c r="E32" s="1" t="s">
        <v>12</v>
      </c>
    </row>
    <row r="33" spans="1:10" ht="38.25" x14ac:dyDescent="0.2">
      <c r="A33" s="3">
        <v>37397</v>
      </c>
      <c r="B33" s="1" t="s">
        <v>47</v>
      </c>
      <c r="C33" s="1" t="s">
        <v>17</v>
      </c>
      <c r="D33" s="1">
        <v>80</v>
      </c>
      <c r="I33" s="1" t="s">
        <v>12</v>
      </c>
    </row>
    <row r="34" spans="1:10" ht="25.5" x14ac:dyDescent="0.2">
      <c r="A34" s="3">
        <v>37403</v>
      </c>
      <c r="B34" s="1" t="s">
        <v>48</v>
      </c>
      <c r="C34" s="1" t="s">
        <v>49</v>
      </c>
      <c r="D34" s="1">
        <v>45</v>
      </c>
      <c r="J34" s="1" t="s">
        <v>12</v>
      </c>
    </row>
    <row r="35" spans="1:10" ht="25.5" x14ac:dyDescent="0.2">
      <c r="A35" s="3">
        <v>37408</v>
      </c>
      <c r="B35" s="1" t="s">
        <v>50</v>
      </c>
      <c r="C35" s="1" t="s">
        <v>51</v>
      </c>
      <c r="D35" s="1">
        <v>65</v>
      </c>
      <c r="F35" s="1" t="s">
        <v>12</v>
      </c>
    </row>
    <row r="36" spans="1:10" x14ac:dyDescent="0.2">
      <c r="A36" s="3">
        <v>37411</v>
      </c>
      <c r="B36" s="1" t="s">
        <v>52</v>
      </c>
      <c r="C36" s="1" t="s">
        <v>11</v>
      </c>
      <c r="D36" s="1">
        <v>40</v>
      </c>
      <c r="F36" s="1" t="s">
        <v>12</v>
      </c>
    </row>
    <row r="37" spans="1:10" x14ac:dyDescent="0.2">
      <c r="A37" s="3">
        <v>37417</v>
      </c>
      <c r="B37" s="1" t="s">
        <v>53</v>
      </c>
      <c r="C37" s="1" t="s">
        <v>31</v>
      </c>
      <c r="D37" s="1">
        <v>50</v>
      </c>
      <c r="E37" s="1" t="s">
        <v>12</v>
      </c>
    </row>
    <row r="38" spans="1:10" ht="25.5" x14ac:dyDescent="0.2">
      <c r="A38" s="3">
        <v>37424</v>
      </c>
      <c r="B38" s="1" t="s">
        <v>54</v>
      </c>
      <c r="C38" s="1" t="s">
        <v>11</v>
      </c>
      <c r="D38" s="1">
        <v>55</v>
      </c>
      <c r="F38" s="1" t="s">
        <v>12</v>
      </c>
    </row>
    <row r="39" spans="1:10" ht="25.5" x14ac:dyDescent="0.2">
      <c r="A39" s="3">
        <v>37425</v>
      </c>
      <c r="B39" s="1" t="s">
        <v>55</v>
      </c>
      <c r="C39" s="1" t="s">
        <v>51</v>
      </c>
      <c r="D39" s="1">
        <v>25</v>
      </c>
      <c r="F39" s="1" t="s">
        <v>12</v>
      </c>
    </row>
    <row r="40" spans="1:10" x14ac:dyDescent="0.2">
      <c r="A40" s="3">
        <v>37431</v>
      </c>
      <c r="B40" s="1" t="s">
        <v>56</v>
      </c>
      <c r="C40" s="1" t="s">
        <v>17</v>
      </c>
      <c r="D40" s="1">
        <v>15</v>
      </c>
      <c r="J40" s="1" t="s">
        <v>12</v>
      </c>
    </row>
    <row r="41" spans="1:10" x14ac:dyDescent="0.2">
      <c r="A41" s="3">
        <v>37436</v>
      </c>
      <c r="B41" s="1" t="s">
        <v>57</v>
      </c>
      <c r="C41" s="1" t="s">
        <v>17</v>
      </c>
      <c r="D41" s="1">
        <v>45</v>
      </c>
      <c r="J41" s="1" t="s">
        <v>12</v>
      </c>
    </row>
    <row r="42" spans="1:10" ht="25.5" x14ac:dyDescent="0.2">
      <c r="A42" s="3">
        <v>37447</v>
      </c>
      <c r="B42" s="1" t="s">
        <v>58</v>
      </c>
      <c r="C42" s="1" t="s">
        <v>19</v>
      </c>
      <c r="D42" s="1">
        <v>65</v>
      </c>
      <c r="H42" s="1" t="s">
        <v>12</v>
      </c>
    </row>
    <row r="43" spans="1:10" x14ac:dyDescent="0.2">
      <c r="A43" s="3">
        <v>37456</v>
      </c>
      <c r="B43" s="1" t="s">
        <v>59</v>
      </c>
      <c r="C43" s="1" t="s">
        <v>11</v>
      </c>
      <c r="D43" s="1">
        <v>40</v>
      </c>
      <c r="H43" s="1" t="s">
        <v>12</v>
      </c>
    </row>
    <row r="44" spans="1:10" ht="25.5" x14ac:dyDescent="0.2">
      <c r="A44" s="3">
        <v>37463</v>
      </c>
      <c r="B44" s="1" t="s">
        <v>60</v>
      </c>
      <c r="C44" s="1" t="s">
        <v>11</v>
      </c>
      <c r="D44" s="1">
        <v>30</v>
      </c>
      <c r="F44" s="1" t="s">
        <v>12</v>
      </c>
    </row>
    <row r="45" spans="1:10" ht="25.5" x14ac:dyDescent="0.2">
      <c r="A45" s="3">
        <v>37469</v>
      </c>
      <c r="B45" s="1" t="s">
        <v>28</v>
      </c>
      <c r="C45" s="1" t="s">
        <v>25</v>
      </c>
      <c r="D45" s="1">
        <v>15</v>
      </c>
      <c r="F45" s="1" t="s">
        <v>12</v>
      </c>
    </row>
    <row r="46" spans="1:10" ht="38.25" x14ac:dyDescent="0.2">
      <c r="A46" s="3">
        <v>37481</v>
      </c>
      <c r="B46" s="1" t="s">
        <v>61</v>
      </c>
      <c r="C46" s="1" t="s">
        <v>19</v>
      </c>
      <c r="D46" s="1">
        <v>25</v>
      </c>
      <c r="F46" s="1" t="s">
        <v>12</v>
      </c>
    </row>
    <row r="47" spans="1:10" ht="25.5" x14ac:dyDescent="0.2">
      <c r="A47" s="3">
        <v>37487</v>
      </c>
      <c r="B47" s="1" t="s">
        <v>62</v>
      </c>
      <c r="C47" s="1" t="s">
        <v>34</v>
      </c>
      <c r="D47" s="1">
        <v>40</v>
      </c>
      <c r="F47" s="1" t="s">
        <v>12</v>
      </c>
    </row>
    <row r="48" spans="1:10" ht="38.25" x14ac:dyDescent="0.2">
      <c r="A48" s="3">
        <v>37487</v>
      </c>
      <c r="B48" s="1" t="s">
        <v>20</v>
      </c>
      <c r="C48" s="1" t="s">
        <v>17</v>
      </c>
      <c r="D48" s="1">
        <v>25</v>
      </c>
      <c r="I48" s="1" t="s">
        <v>12</v>
      </c>
    </row>
    <row r="49" spans="1:10" ht="25.5" x14ac:dyDescent="0.2">
      <c r="A49" s="3">
        <v>37503</v>
      </c>
      <c r="B49" s="1" t="s">
        <v>29</v>
      </c>
      <c r="C49" s="1" t="s">
        <v>11</v>
      </c>
      <c r="D49" s="1">
        <v>50</v>
      </c>
      <c r="F49" s="1" t="s">
        <v>12</v>
      </c>
    </row>
    <row r="50" spans="1:10" ht="25.5" x14ac:dyDescent="0.2">
      <c r="A50" s="3">
        <v>37508</v>
      </c>
      <c r="B50" s="1" t="s">
        <v>63</v>
      </c>
      <c r="C50" s="1" t="s">
        <v>11</v>
      </c>
      <c r="D50" s="1">
        <v>45</v>
      </c>
      <c r="F50" s="1" t="s">
        <v>12</v>
      </c>
    </row>
    <row r="51" spans="1:10" x14ac:dyDescent="0.2">
      <c r="A51" s="3">
        <v>37516</v>
      </c>
      <c r="B51" s="1" t="s">
        <v>53</v>
      </c>
      <c r="C51" s="1" t="s">
        <v>31</v>
      </c>
      <c r="D51" s="1">
        <v>40</v>
      </c>
      <c r="E51" s="1" t="s">
        <v>12</v>
      </c>
    </row>
    <row r="52" spans="1:10" x14ac:dyDescent="0.2">
      <c r="A52" s="3">
        <v>37520</v>
      </c>
      <c r="B52" s="1" t="s">
        <v>64</v>
      </c>
      <c r="C52" s="1" t="s">
        <v>25</v>
      </c>
      <c r="D52" s="1">
        <v>25</v>
      </c>
      <c r="J52" s="1" t="s">
        <v>12</v>
      </c>
    </row>
    <row r="53" spans="1:10" ht="25.5" x14ac:dyDescent="0.2">
      <c r="A53" s="3">
        <v>37523</v>
      </c>
      <c r="B53" s="1" t="s">
        <v>65</v>
      </c>
      <c r="C53" s="1" t="s">
        <v>11</v>
      </c>
      <c r="D53" s="1">
        <v>15</v>
      </c>
      <c r="J53" s="1" t="s">
        <v>12</v>
      </c>
    </row>
    <row r="54" spans="1:10" ht="25.5" x14ac:dyDescent="0.2">
      <c r="A54" s="3">
        <v>37526</v>
      </c>
      <c r="B54" s="1" t="s">
        <v>66</v>
      </c>
      <c r="C54" s="1" t="s">
        <v>49</v>
      </c>
      <c r="D54" s="1">
        <v>30</v>
      </c>
      <c r="E54" s="1" t="s">
        <v>12</v>
      </c>
    </row>
    <row r="55" spans="1:10" x14ac:dyDescent="0.2">
      <c r="A55" s="3">
        <v>37529</v>
      </c>
      <c r="B55" s="1" t="s">
        <v>56</v>
      </c>
      <c r="C55" s="1" t="s">
        <v>17</v>
      </c>
      <c r="D55" s="1">
        <v>15</v>
      </c>
      <c r="I55" s="1" t="s">
        <v>12</v>
      </c>
    </row>
    <row r="56" spans="1:10" ht="38.25" x14ac:dyDescent="0.2">
      <c r="A56" s="3">
        <v>37531</v>
      </c>
      <c r="B56" s="1" t="s">
        <v>67</v>
      </c>
      <c r="C56" s="1" t="s">
        <v>31</v>
      </c>
      <c r="D56" s="1">
        <v>35</v>
      </c>
      <c r="H56" s="1" t="s">
        <v>12</v>
      </c>
    </row>
    <row r="57" spans="1:10" ht="25.5" x14ac:dyDescent="0.2">
      <c r="A57" s="3">
        <v>37534</v>
      </c>
      <c r="B57" s="1" t="s">
        <v>26</v>
      </c>
      <c r="C57" s="1" t="s">
        <v>11</v>
      </c>
      <c r="D57" s="1">
        <v>115</v>
      </c>
      <c r="F57" s="1" t="s">
        <v>12</v>
      </c>
    </row>
    <row r="58" spans="1:10" ht="25.5" x14ac:dyDescent="0.2">
      <c r="A58" s="3">
        <v>37536</v>
      </c>
      <c r="B58" s="1" t="s">
        <v>68</v>
      </c>
      <c r="C58" s="1" t="s">
        <v>51</v>
      </c>
      <c r="D58" s="1">
        <v>40</v>
      </c>
      <c r="F58" s="1" t="s">
        <v>12</v>
      </c>
    </row>
    <row r="59" spans="1:10" ht="25.5" x14ac:dyDescent="0.2">
      <c r="A59" s="3">
        <v>37536</v>
      </c>
      <c r="B59" s="1" t="s">
        <v>69</v>
      </c>
      <c r="C59" s="1" t="s">
        <v>51</v>
      </c>
      <c r="D59" s="1">
        <v>55</v>
      </c>
      <c r="F59" s="1" t="s">
        <v>12</v>
      </c>
    </row>
    <row r="60" spans="1:10" x14ac:dyDescent="0.2">
      <c r="A60" s="3">
        <v>37537</v>
      </c>
      <c r="B60" s="1" t="s">
        <v>70</v>
      </c>
      <c r="C60" s="1" t="s">
        <v>51</v>
      </c>
      <c r="D60" s="1">
        <v>25</v>
      </c>
      <c r="F60" s="1" t="s">
        <v>12</v>
      </c>
    </row>
    <row r="61" spans="1:10" ht="38.25" x14ac:dyDescent="0.2">
      <c r="A61" s="3">
        <v>37539</v>
      </c>
      <c r="B61" s="1" t="s">
        <v>71</v>
      </c>
      <c r="C61" s="1" t="s">
        <v>11</v>
      </c>
      <c r="D61" s="1">
        <v>35</v>
      </c>
      <c r="F61" s="1" t="s">
        <v>12</v>
      </c>
    </row>
    <row r="62" spans="1:10" ht="25.5" x14ac:dyDescent="0.2">
      <c r="A62" s="3">
        <v>37543</v>
      </c>
      <c r="B62" s="1" t="s">
        <v>60</v>
      </c>
      <c r="C62" s="1" t="s">
        <v>11</v>
      </c>
      <c r="D62" s="1">
        <v>45</v>
      </c>
      <c r="F62" s="1" t="s">
        <v>12</v>
      </c>
    </row>
    <row r="63" spans="1:10" ht="25.5" x14ac:dyDescent="0.2">
      <c r="A63" s="3">
        <v>37550</v>
      </c>
      <c r="B63" s="1" t="s">
        <v>72</v>
      </c>
      <c r="C63" s="1" t="s">
        <v>31</v>
      </c>
      <c r="D63" s="1">
        <v>20</v>
      </c>
      <c r="G63" s="1" t="s">
        <v>12</v>
      </c>
    </row>
    <row r="64" spans="1:10" ht="38.25" x14ac:dyDescent="0.2">
      <c r="A64" s="3">
        <v>37557</v>
      </c>
      <c r="B64" s="1" t="s">
        <v>73</v>
      </c>
      <c r="C64" s="1" t="s">
        <v>19</v>
      </c>
      <c r="D64" s="1">
        <v>60</v>
      </c>
      <c r="H64" s="1" t="s">
        <v>12</v>
      </c>
    </row>
    <row r="65" spans="1:10" ht="25.5" x14ac:dyDescent="0.2">
      <c r="A65" s="3">
        <v>37560</v>
      </c>
      <c r="B65" s="1" t="s">
        <v>48</v>
      </c>
      <c r="C65" s="1" t="s">
        <v>49</v>
      </c>
      <c r="D65" s="1">
        <v>25</v>
      </c>
      <c r="J65" s="1" t="s">
        <v>12</v>
      </c>
    </row>
    <row r="66" spans="1:10" ht="25.5" x14ac:dyDescent="0.2">
      <c r="A66" s="3">
        <v>37563</v>
      </c>
      <c r="B66" s="1" t="s">
        <v>38</v>
      </c>
      <c r="C66" s="1" t="s">
        <v>17</v>
      </c>
      <c r="D66" s="1">
        <v>15</v>
      </c>
      <c r="I66" s="1" t="s">
        <v>12</v>
      </c>
    </row>
    <row r="67" spans="1:10" ht="38.25" x14ac:dyDescent="0.2">
      <c r="A67" s="3">
        <v>37567</v>
      </c>
      <c r="B67" s="1" t="s">
        <v>46</v>
      </c>
      <c r="C67" s="1" t="s">
        <v>17</v>
      </c>
      <c r="D67" s="1">
        <v>50</v>
      </c>
      <c r="E67" s="1" t="s">
        <v>12</v>
      </c>
    </row>
    <row r="68" spans="1:10" ht="38.25" x14ac:dyDescent="0.2">
      <c r="A68" s="3">
        <v>37570</v>
      </c>
      <c r="B68" s="1" t="s">
        <v>47</v>
      </c>
      <c r="C68" s="1" t="s">
        <v>17</v>
      </c>
      <c r="D68" s="1">
        <v>50</v>
      </c>
      <c r="I68" s="1" t="s">
        <v>12</v>
      </c>
    </row>
    <row r="69" spans="1:10" ht="25.5" x14ac:dyDescent="0.2">
      <c r="A69" s="3">
        <v>37578</v>
      </c>
      <c r="B69" s="1" t="s">
        <v>74</v>
      </c>
      <c r="C69" s="1" t="s">
        <v>11</v>
      </c>
      <c r="D69" s="1">
        <v>70</v>
      </c>
      <c r="J69" s="1" t="s">
        <v>12</v>
      </c>
    </row>
    <row r="70" spans="1:10" x14ac:dyDescent="0.2">
      <c r="A70" s="3">
        <v>37579</v>
      </c>
      <c r="B70" s="1" t="s">
        <v>75</v>
      </c>
      <c r="C70" s="1" t="s">
        <v>11</v>
      </c>
      <c r="D70" s="1">
        <v>65</v>
      </c>
      <c r="H70" s="1" t="s">
        <v>12</v>
      </c>
    </row>
    <row r="71" spans="1:10" ht="25.5" x14ac:dyDescent="0.2">
      <c r="A71" s="3">
        <v>37585</v>
      </c>
      <c r="B71" s="1" t="s">
        <v>76</v>
      </c>
      <c r="C71" s="1" t="s">
        <v>11</v>
      </c>
      <c r="D71" s="1">
        <v>15</v>
      </c>
      <c r="H71" s="1" t="s">
        <v>12</v>
      </c>
    </row>
    <row r="72" spans="1:10" ht="25.5" x14ac:dyDescent="0.2">
      <c r="A72" s="3">
        <v>37593</v>
      </c>
      <c r="B72" s="1" t="s">
        <v>77</v>
      </c>
      <c r="C72" s="1" t="s">
        <v>11</v>
      </c>
      <c r="D72" s="1">
        <v>25</v>
      </c>
      <c r="J72" s="1" t="s">
        <v>12</v>
      </c>
    </row>
    <row r="73" spans="1:10" ht="25.5" x14ac:dyDescent="0.2">
      <c r="A73" s="3">
        <v>37597</v>
      </c>
      <c r="B73" s="1" t="s">
        <v>29</v>
      </c>
      <c r="C73" s="1" t="s">
        <v>11</v>
      </c>
      <c r="D73" s="1">
        <v>50</v>
      </c>
      <c r="F73" s="1" t="s">
        <v>12</v>
      </c>
    </row>
    <row r="74" spans="1:10" ht="38.25" x14ac:dyDescent="0.2">
      <c r="A74" s="3">
        <v>37599</v>
      </c>
      <c r="B74" s="1" t="s">
        <v>16</v>
      </c>
      <c r="C74" s="1" t="s">
        <v>17</v>
      </c>
      <c r="D74" s="1">
        <v>50</v>
      </c>
      <c r="F74" s="1" t="s">
        <v>12</v>
      </c>
    </row>
    <row r="75" spans="1:10" ht="25.5" x14ac:dyDescent="0.2">
      <c r="A75" s="3">
        <v>37605</v>
      </c>
      <c r="B75" s="1" t="s">
        <v>65</v>
      </c>
      <c r="C75" s="1" t="s">
        <v>11</v>
      </c>
      <c r="D75" s="1">
        <v>25</v>
      </c>
      <c r="F75" s="1" t="s">
        <v>12</v>
      </c>
    </row>
    <row r="76" spans="1:10" ht="51" x14ac:dyDescent="0.2">
      <c r="A76" s="3">
        <v>37607</v>
      </c>
      <c r="B76" s="1" t="s">
        <v>78</v>
      </c>
      <c r="C76" s="1" t="s">
        <v>11</v>
      </c>
      <c r="D76" s="1">
        <v>15</v>
      </c>
      <c r="F76" s="1" t="s">
        <v>12</v>
      </c>
    </row>
    <row r="77" spans="1:10" ht="38.25" x14ac:dyDescent="0.2">
      <c r="A77" s="3">
        <v>37608</v>
      </c>
      <c r="B77" s="1" t="s">
        <v>41</v>
      </c>
      <c r="C77" s="1" t="s">
        <v>25</v>
      </c>
      <c r="D77" s="1">
        <v>40</v>
      </c>
      <c r="F77" s="1" t="s">
        <v>12</v>
      </c>
    </row>
    <row r="78" spans="1:10" ht="25.5" x14ac:dyDescent="0.2">
      <c r="A78" s="3">
        <v>37617</v>
      </c>
      <c r="B78" s="1" t="s">
        <v>42</v>
      </c>
      <c r="C78" s="1" t="s">
        <v>11</v>
      </c>
      <c r="D78" s="1">
        <v>30</v>
      </c>
      <c r="F78" s="1" t="s">
        <v>12</v>
      </c>
    </row>
    <row r="79" spans="1:10" ht="25.5" x14ac:dyDescent="0.2">
      <c r="A79" s="3">
        <v>37618</v>
      </c>
      <c r="B79" s="1" t="s">
        <v>79</v>
      </c>
      <c r="C79" s="1" t="s">
        <v>34</v>
      </c>
      <c r="D79" s="1">
        <v>45</v>
      </c>
      <c r="F79" s="1" t="s">
        <v>12</v>
      </c>
    </row>
  </sheetData>
  <mergeCells count="9">
    <mergeCell ref="A1:J1"/>
    <mergeCell ref="A2:A3"/>
    <mergeCell ref="B2:B3"/>
    <mergeCell ref="C2:C3"/>
    <mergeCell ref="D2:D3"/>
    <mergeCell ref="E2:F2"/>
    <mergeCell ref="G2:H2"/>
    <mergeCell ref="I2:I3"/>
    <mergeCell ref="J2:J3"/>
  </mergeCells>
  <phoneticPr fontId="0" type="noConversion"/>
  <printOptions horizontalCentered="1" verticalCentered="1" gridLines="1"/>
  <pageMargins left="0.39370078740157483" right="0.39370078740157483" top="0.19685039370078741" bottom="0.19685039370078741" header="0.19685039370078741" footer="0.11811023622047245"/>
  <pageSetup paperSize="9" scale="75" orientation="portrait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2"/>
  <sheetViews>
    <sheetView topLeftCell="A22" workbookViewId="0">
      <selection activeCell="J20" sqref="J20"/>
    </sheetView>
  </sheetViews>
  <sheetFormatPr baseColWidth="10" defaultRowHeight="12.75" x14ac:dyDescent="0.2"/>
  <cols>
    <col min="1" max="1" width="10.140625" bestFit="1" customWidth="1"/>
    <col min="2" max="2" width="14.28515625" bestFit="1" customWidth="1"/>
    <col min="3" max="4" width="10.85546875" bestFit="1" customWidth="1"/>
  </cols>
  <sheetData>
    <row r="1" spans="1:4" x14ac:dyDescent="0.2">
      <c r="A1" s="34" t="s">
        <v>196</v>
      </c>
      <c r="B1" s="35" t="s">
        <v>197</v>
      </c>
      <c r="C1" s="35" t="s">
        <v>198</v>
      </c>
      <c r="D1" s="35" t="s">
        <v>199</v>
      </c>
    </row>
    <row r="2" spans="1:4" x14ac:dyDescent="0.2">
      <c r="A2" s="36">
        <v>30011</v>
      </c>
      <c r="B2" s="37" t="s">
        <v>200</v>
      </c>
      <c r="C2" s="37" t="s">
        <v>201</v>
      </c>
      <c r="D2" s="37" t="s">
        <v>202</v>
      </c>
    </row>
    <row r="3" spans="1:4" x14ac:dyDescent="0.2">
      <c r="A3" s="36">
        <v>30042</v>
      </c>
      <c r="B3" s="37" t="s">
        <v>200</v>
      </c>
      <c r="C3" s="37" t="s">
        <v>203</v>
      </c>
      <c r="D3" s="37" t="s">
        <v>204</v>
      </c>
    </row>
    <row r="4" spans="1:4" x14ac:dyDescent="0.2">
      <c r="A4" s="36">
        <v>30072</v>
      </c>
      <c r="B4" s="37" t="s">
        <v>200</v>
      </c>
      <c r="C4" s="37" t="s">
        <v>205</v>
      </c>
      <c r="D4" s="37" t="s">
        <v>206</v>
      </c>
    </row>
    <row r="5" spans="1:4" x14ac:dyDescent="0.2">
      <c r="A5" s="36">
        <v>30103</v>
      </c>
      <c r="B5" s="37" t="s">
        <v>200</v>
      </c>
      <c r="C5" s="37" t="s">
        <v>205</v>
      </c>
      <c r="D5" s="37" t="s">
        <v>207</v>
      </c>
    </row>
    <row r="6" spans="1:4" x14ac:dyDescent="0.2">
      <c r="A6" s="36">
        <v>30133</v>
      </c>
      <c r="B6" s="37" t="s">
        <v>200</v>
      </c>
      <c r="C6" s="37" t="s">
        <v>208</v>
      </c>
      <c r="D6" s="37" t="s">
        <v>209</v>
      </c>
    </row>
    <row r="7" spans="1:4" x14ac:dyDescent="0.2">
      <c r="A7" s="36">
        <v>30164</v>
      </c>
      <c r="B7" s="37" t="s">
        <v>200</v>
      </c>
      <c r="C7" s="37" t="s">
        <v>210</v>
      </c>
      <c r="D7" s="37" t="s">
        <v>211</v>
      </c>
    </row>
    <row r="8" spans="1:4" x14ac:dyDescent="0.2">
      <c r="A8" s="36">
        <v>30195</v>
      </c>
      <c r="B8" s="37" t="s">
        <v>200</v>
      </c>
      <c r="C8" s="37" t="s">
        <v>203</v>
      </c>
      <c r="D8" s="37" t="s">
        <v>212</v>
      </c>
    </row>
    <row r="9" spans="1:4" x14ac:dyDescent="0.2">
      <c r="A9" s="36">
        <v>30256</v>
      </c>
      <c r="B9" s="37" t="s">
        <v>200</v>
      </c>
      <c r="C9" s="37" t="s">
        <v>201</v>
      </c>
      <c r="D9" s="37" t="s">
        <v>213</v>
      </c>
    </row>
    <row r="10" spans="1:4" x14ac:dyDescent="0.2">
      <c r="A10" s="36">
        <v>30256</v>
      </c>
      <c r="B10" s="37" t="s">
        <v>200</v>
      </c>
      <c r="C10" s="37" t="s">
        <v>203</v>
      </c>
      <c r="D10" s="37" t="s">
        <v>214</v>
      </c>
    </row>
    <row r="11" spans="1:4" x14ac:dyDescent="0.2">
      <c r="A11" s="36">
        <v>30317</v>
      </c>
      <c r="B11" s="37" t="s">
        <v>200</v>
      </c>
      <c r="C11" s="37" t="s">
        <v>201</v>
      </c>
      <c r="D11" s="37" t="s">
        <v>202</v>
      </c>
    </row>
    <row r="12" spans="1:4" x14ac:dyDescent="0.2">
      <c r="A12" s="36">
        <v>30376</v>
      </c>
      <c r="B12" s="37" t="s">
        <v>200</v>
      </c>
      <c r="C12" s="37" t="s">
        <v>205</v>
      </c>
      <c r="D12" s="37" t="s">
        <v>215</v>
      </c>
    </row>
    <row r="13" spans="1:4" x14ac:dyDescent="0.2">
      <c r="A13" s="36">
        <v>30437</v>
      </c>
      <c r="B13" s="37" t="s">
        <v>200</v>
      </c>
      <c r="C13" s="37" t="s">
        <v>201</v>
      </c>
      <c r="D13" s="37" t="s">
        <v>216</v>
      </c>
    </row>
    <row r="14" spans="1:4" x14ac:dyDescent="0.2">
      <c r="A14" s="36">
        <v>29860</v>
      </c>
      <c r="B14" s="37" t="s">
        <v>217</v>
      </c>
      <c r="C14" s="37" t="s">
        <v>205</v>
      </c>
      <c r="D14" s="37" t="s">
        <v>207</v>
      </c>
    </row>
    <row r="15" spans="1:4" x14ac:dyDescent="0.2">
      <c r="A15" s="36">
        <v>29860</v>
      </c>
      <c r="B15" s="37" t="s">
        <v>217</v>
      </c>
      <c r="C15" s="37" t="s">
        <v>208</v>
      </c>
      <c r="D15" s="37" t="s">
        <v>209</v>
      </c>
    </row>
    <row r="16" spans="1:4" x14ac:dyDescent="0.2">
      <c r="A16" s="36">
        <v>29921</v>
      </c>
      <c r="B16" s="37" t="s">
        <v>217</v>
      </c>
      <c r="C16" s="37" t="s">
        <v>210</v>
      </c>
      <c r="D16" s="37" t="s">
        <v>211</v>
      </c>
    </row>
    <row r="17" spans="1:4" x14ac:dyDescent="0.2">
      <c r="A17" s="36">
        <v>29983</v>
      </c>
      <c r="B17" s="37" t="s">
        <v>217</v>
      </c>
      <c r="C17" s="37" t="s">
        <v>203</v>
      </c>
      <c r="D17" s="37" t="s">
        <v>212</v>
      </c>
    </row>
    <row r="18" spans="1:4" x14ac:dyDescent="0.2">
      <c r="A18" s="36">
        <v>29983</v>
      </c>
      <c r="B18" s="37" t="s">
        <v>217</v>
      </c>
      <c r="C18" s="37" t="b">
        <v>0</v>
      </c>
      <c r="D18" s="37"/>
    </row>
    <row r="19" spans="1:4" x14ac:dyDescent="0.2">
      <c r="A19" s="36">
        <v>30011</v>
      </c>
      <c r="B19" s="37" t="s">
        <v>217</v>
      </c>
      <c r="C19" s="37" t="s">
        <v>201</v>
      </c>
      <c r="D19" s="37" t="s">
        <v>213</v>
      </c>
    </row>
    <row r="20" spans="1:4" x14ac:dyDescent="0.2">
      <c r="A20" s="36">
        <v>30011</v>
      </c>
      <c r="B20" s="37" t="s">
        <v>217</v>
      </c>
      <c r="C20" s="37" t="s">
        <v>203</v>
      </c>
      <c r="D20" s="37" t="s">
        <v>214</v>
      </c>
    </row>
    <row r="21" spans="1:4" x14ac:dyDescent="0.2">
      <c r="A21" s="36">
        <v>30042</v>
      </c>
      <c r="B21" s="37" t="s">
        <v>217</v>
      </c>
      <c r="C21" s="37" t="s">
        <v>205</v>
      </c>
      <c r="D21" s="37" t="s">
        <v>218</v>
      </c>
    </row>
    <row r="22" spans="1:4" x14ac:dyDescent="0.2">
      <c r="A22" s="36">
        <v>30103</v>
      </c>
      <c r="B22" s="37" t="s">
        <v>217</v>
      </c>
      <c r="C22" s="37" t="s">
        <v>201</v>
      </c>
      <c r="D22" s="37" t="s">
        <v>202</v>
      </c>
    </row>
    <row r="23" spans="1:4" x14ac:dyDescent="0.2">
      <c r="A23" s="36">
        <v>30104</v>
      </c>
      <c r="B23" s="37" t="s">
        <v>217</v>
      </c>
      <c r="C23" s="37" t="s">
        <v>203</v>
      </c>
      <c r="D23" s="37" t="s">
        <v>204</v>
      </c>
    </row>
    <row r="24" spans="1:4" x14ac:dyDescent="0.2">
      <c r="A24" s="36">
        <v>30105</v>
      </c>
      <c r="B24" s="37" t="s">
        <v>217</v>
      </c>
      <c r="C24" s="37" t="s">
        <v>201</v>
      </c>
      <c r="D24" s="37" t="s">
        <v>213</v>
      </c>
    </row>
    <row r="25" spans="1:4" x14ac:dyDescent="0.2">
      <c r="A25" s="36">
        <v>30133</v>
      </c>
      <c r="B25" s="37" t="s">
        <v>217</v>
      </c>
      <c r="C25" s="37" t="s">
        <v>201</v>
      </c>
      <c r="D25" s="37" t="s">
        <v>216</v>
      </c>
    </row>
    <row r="26" spans="1:4" x14ac:dyDescent="0.2">
      <c r="A26" s="36">
        <v>30164</v>
      </c>
      <c r="B26" s="37" t="s">
        <v>217</v>
      </c>
      <c r="C26" s="37" t="s">
        <v>208</v>
      </c>
      <c r="D26" s="37" t="s">
        <v>219</v>
      </c>
    </row>
    <row r="27" spans="1:4" x14ac:dyDescent="0.2">
      <c r="A27" s="36">
        <v>30225</v>
      </c>
      <c r="B27" s="37" t="s">
        <v>217</v>
      </c>
      <c r="C27" s="37" t="s">
        <v>205</v>
      </c>
      <c r="D27" s="37" t="s">
        <v>207</v>
      </c>
    </row>
    <row r="28" spans="1:4" x14ac:dyDescent="0.2">
      <c r="A28" s="36">
        <v>30226</v>
      </c>
      <c r="B28" s="37" t="s">
        <v>217</v>
      </c>
      <c r="C28" s="37" t="s">
        <v>220</v>
      </c>
      <c r="D28" s="37" t="s">
        <v>207</v>
      </c>
    </row>
    <row r="29" spans="1:4" x14ac:dyDescent="0.2">
      <c r="A29" s="36">
        <v>30227</v>
      </c>
      <c r="B29" s="37" t="s">
        <v>217</v>
      </c>
      <c r="C29" s="37" t="s">
        <v>201</v>
      </c>
      <c r="D29" s="37" t="s">
        <v>213</v>
      </c>
    </row>
    <row r="30" spans="1:4" x14ac:dyDescent="0.2">
      <c r="A30" s="36">
        <v>30286</v>
      </c>
      <c r="B30" s="37" t="s">
        <v>217</v>
      </c>
      <c r="C30" s="37" t="s">
        <v>201</v>
      </c>
      <c r="D30" s="37" t="s">
        <v>202</v>
      </c>
    </row>
    <row r="31" spans="1:4" x14ac:dyDescent="0.2">
      <c r="A31" s="36">
        <v>30317</v>
      </c>
      <c r="B31" s="37" t="s">
        <v>217</v>
      </c>
      <c r="C31" s="37" t="b">
        <v>0</v>
      </c>
      <c r="D31" s="37"/>
    </row>
    <row r="32" spans="1:4" x14ac:dyDescent="0.2">
      <c r="A32" s="36">
        <v>30318</v>
      </c>
      <c r="B32" s="37" t="s">
        <v>217</v>
      </c>
      <c r="C32" s="37" t="s">
        <v>210</v>
      </c>
      <c r="D32" s="37" t="s">
        <v>221</v>
      </c>
    </row>
    <row r="33" spans="1:4" x14ac:dyDescent="0.2">
      <c r="A33" s="36">
        <v>30437</v>
      </c>
      <c r="B33" s="37" t="s">
        <v>217</v>
      </c>
      <c r="C33" s="37" t="s">
        <v>201</v>
      </c>
      <c r="D33" s="37" t="s">
        <v>202</v>
      </c>
    </row>
    <row r="34" spans="1:4" x14ac:dyDescent="0.2">
      <c r="A34" s="36">
        <v>30438</v>
      </c>
      <c r="B34" s="37" t="s">
        <v>217</v>
      </c>
      <c r="C34" s="37" t="s">
        <v>201</v>
      </c>
      <c r="D34" s="37" t="s">
        <v>216</v>
      </c>
    </row>
    <row r="35" spans="1:4" x14ac:dyDescent="0.2">
      <c r="A35" s="36">
        <v>30164</v>
      </c>
      <c r="B35" s="37" t="s">
        <v>222</v>
      </c>
      <c r="C35" s="37" t="s">
        <v>223</v>
      </c>
      <c r="D35" s="37" t="s">
        <v>215</v>
      </c>
    </row>
    <row r="36" spans="1:4" x14ac:dyDescent="0.2">
      <c r="A36" s="36">
        <v>30195</v>
      </c>
      <c r="B36" s="37" t="s">
        <v>222</v>
      </c>
      <c r="C36" s="37" t="s">
        <v>201</v>
      </c>
      <c r="D36" s="37" t="s">
        <v>202</v>
      </c>
    </row>
    <row r="37" spans="1:4" x14ac:dyDescent="0.2">
      <c r="A37" s="36">
        <v>30195</v>
      </c>
      <c r="B37" s="37" t="s">
        <v>222</v>
      </c>
      <c r="C37" s="37" t="s">
        <v>224</v>
      </c>
      <c r="D37" s="37" t="s">
        <v>225</v>
      </c>
    </row>
    <row r="38" spans="1:4" x14ac:dyDescent="0.2">
      <c r="A38" s="36">
        <v>30256</v>
      </c>
      <c r="B38" s="37" t="s">
        <v>222</v>
      </c>
      <c r="C38" s="37" t="s">
        <v>208</v>
      </c>
      <c r="D38" s="37" t="s">
        <v>209</v>
      </c>
    </row>
    <row r="39" spans="1:4" x14ac:dyDescent="0.2">
      <c r="A39" s="36">
        <v>30286</v>
      </c>
      <c r="B39" s="37" t="s">
        <v>222</v>
      </c>
      <c r="C39" s="37" t="s">
        <v>208</v>
      </c>
      <c r="D39" s="37" t="s">
        <v>226</v>
      </c>
    </row>
    <row r="40" spans="1:4" x14ac:dyDescent="0.2">
      <c r="A40" s="36">
        <v>30286</v>
      </c>
      <c r="B40" s="37" t="s">
        <v>222</v>
      </c>
      <c r="C40" s="37" t="s">
        <v>201</v>
      </c>
      <c r="D40" s="37" t="s">
        <v>213</v>
      </c>
    </row>
    <row r="41" spans="1:4" x14ac:dyDescent="0.2">
      <c r="A41" s="36">
        <v>30317</v>
      </c>
      <c r="B41" s="37" t="s">
        <v>222</v>
      </c>
      <c r="C41" s="37" t="b">
        <v>0</v>
      </c>
      <c r="D41" s="37"/>
    </row>
    <row r="42" spans="1:4" x14ac:dyDescent="0.2">
      <c r="A42" s="36">
        <v>30376</v>
      </c>
      <c r="B42" s="37" t="s">
        <v>222</v>
      </c>
      <c r="C42" s="37" t="s">
        <v>210</v>
      </c>
      <c r="D42" s="37" t="s">
        <v>227</v>
      </c>
    </row>
    <row r="43" spans="1:4" x14ac:dyDescent="0.2">
      <c r="A43" s="36">
        <v>30376</v>
      </c>
      <c r="B43" s="37" t="s">
        <v>222</v>
      </c>
      <c r="C43" s="37" t="s">
        <v>223</v>
      </c>
      <c r="D43" s="37" t="s">
        <v>228</v>
      </c>
    </row>
    <row r="44" spans="1:4" x14ac:dyDescent="0.2">
      <c r="A44" s="36">
        <v>30407</v>
      </c>
      <c r="B44" s="37" t="s">
        <v>222</v>
      </c>
      <c r="C44" s="37" t="s">
        <v>223</v>
      </c>
      <c r="D44" s="37" t="s">
        <v>207</v>
      </c>
    </row>
    <row r="45" spans="1:4" x14ac:dyDescent="0.2">
      <c r="A45" s="36">
        <v>30407</v>
      </c>
      <c r="B45" s="37" t="s">
        <v>222</v>
      </c>
      <c r="C45" s="37" t="s">
        <v>224</v>
      </c>
      <c r="D45" s="37" t="s">
        <v>225</v>
      </c>
    </row>
    <row r="46" spans="1:4" x14ac:dyDescent="0.2">
      <c r="A46" s="36">
        <v>30407</v>
      </c>
      <c r="B46" s="37" t="s">
        <v>222</v>
      </c>
      <c r="C46" s="37" t="s">
        <v>208</v>
      </c>
      <c r="D46" s="37" t="s">
        <v>226</v>
      </c>
    </row>
    <row r="47" spans="1:4" x14ac:dyDescent="0.2">
      <c r="A47" s="36">
        <v>30437</v>
      </c>
      <c r="B47" s="37" t="s">
        <v>222</v>
      </c>
      <c r="C47" s="37" t="s">
        <v>208</v>
      </c>
      <c r="D47" s="37" t="s">
        <v>209</v>
      </c>
    </row>
    <row r="48" spans="1:4" x14ac:dyDescent="0.2">
      <c r="A48" s="36">
        <v>30437</v>
      </c>
      <c r="B48" s="37" t="s">
        <v>222</v>
      </c>
      <c r="C48" s="37" t="s">
        <v>210</v>
      </c>
      <c r="D48" s="37" t="s">
        <v>211</v>
      </c>
    </row>
    <row r="49" spans="1:4" x14ac:dyDescent="0.2">
      <c r="A49" s="36">
        <v>30072</v>
      </c>
      <c r="B49" s="37" t="s">
        <v>229</v>
      </c>
      <c r="C49" s="37" t="s">
        <v>203</v>
      </c>
      <c r="D49" s="37" t="s">
        <v>230</v>
      </c>
    </row>
    <row r="50" spans="1:4" x14ac:dyDescent="0.2">
      <c r="A50" s="36">
        <v>30103</v>
      </c>
      <c r="B50" s="37" t="s">
        <v>229</v>
      </c>
      <c r="C50" s="37" t="s">
        <v>203</v>
      </c>
      <c r="D50" s="37" t="s">
        <v>214</v>
      </c>
    </row>
    <row r="51" spans="1:4" x14ac:dyDescent="0.2">
      <c r="A51" s="36">
        <v>30103</v>
      </c>
      <c r="B51" s="37" t="s">
        <v>229</v>
      </c>
      <c r="C51" s="37" t="s">
        <v>223</v>
      </c>
      <c r="D51" s="37" t="s">
        <v>207</v>
      </c>
    </row>
    <row r="52" spans="1:4" x14ac:dyDescent="0.2">
      <c r="A52" s="36">
        <v>30103</v>
      </c>
      <c r="B52" s="37" t="s">
        <v>229</v>
      </c>
      <c r="C52" s="37" t="b">
        <v>0</v>
      </c>
      <c r="D52" s="37"/>
    </row>
    <row r="53" spans="1:4" x14ac:dyDescent="0.2">
      <c r="A53" s="36">
        <v>30133</v>
      </c>
      <c r="B53" s="37" t="s">
        <v>229</v>
      </c>
      <c r="C53" s="37" t="s">
        <v>223</v>
      </c>
      <c r="D53" s="37" t="s">
        <v>218</v>
      </c>
    </row>
    <row r="54" spans="1:4" x14ac:dyDescent="0.2">
      <c r="A54" s="36">
        <v>30195</v>
      </c>
      <c r="B54" s="37" t="s">
        <v>229</v>
      </c>
      <c r="C54" s="37" t="s">
        <v>223</v>
      </c>
      <c r="D54" s="37" t="s">
        <v>207</v>
      </c>
    </row>
    <row r="55" spans="1:4" x14ac:dyDescent="0.2">
      <c r="A55" s="36">
        <v>30225</v>
      </c>
      <c r="B55" s="37" t="s">
        <v>229</v>
      </c>
      <c r="C55" s="37" t="s">
        <v>201</v>
      </c>
      <c r="D55" s="37" t="s">
        <v>216</v>
      </c>
    </row>
    <row r="56" spans="1:4" x14ac:dyDescent="0.2">
      <c r="A56" s="36">
        <v>30256</v>
      </c>
      <c r="B56" s="37" t="s">
        <v>229</v>
      </c>
      <c r="C56" s="37" t="s">
        <v>223</v>
      </c>
      <c r="D56" s="37" t="s">
        <v>206</v>
      </c>
    </row>
    <row r="57" spans="1:4" x14ac:dyDescent="0.2">
      <c r="A57" s="36">
        <v>30256</v>
      </c>
      <c r="B57" s="37" t="s">
        <v>229</v>
      </c>
      <c r="C57" s="37" t="s">
        <v>208</v>
      </c>
      <c r="D57" s="37" t="s">
        <v>209</v>
      </c>
    </row>
    <row r="58" spans="1:4" x14ac:dyDescent="0.2">
      <c r="A58" s="36">
        <v>30256</v>
      </c>
      <c r="B58" s="37" t="s">
        <v>229</v>
      </c>
      <c r="C58" s="37" t="s">
        <v>223</v>
      </c>
      <c r="D58" s="37" t="s">
        <v>231</v>
      </c>
    </row>
    <row r="59" spans="1:4" x14ac:dyDescent="0.2">
      <c r="A59" s="36">
        <v>30286</v>
      </c>
      <c r="B59" s="37" t="s">
        <v>229</v>
      </c>
      <c r="C59" s="37" t="s">
        <v>208</v>
      </c>
      <c r="D59" s="37" t="s">
        <v>226</v>
      </c>
    </row>
    <row r="60" spans="1:4" x14ac:dyDescent="0.2">
      <c r="A60" s="36">
        <v>30317</v>
      </c>
      <c r="B60" s="37" t="s">
        <v>229</v>
      </c>
      <c r="C60" s="37" t="s">
        <v>210</v>
      </c>
      <c r="D60" s="37" t="s">
        <v>211</v>
      </c>
    </row>
    <row r="61" spans="1:4" x14ac:dyDescent="0.2">
      <c r="A61" s="36">
        <v>30317</v>
      </c>
      <c r="B61" s="37" t="s">
        <v>229</v>
      </c>
      <c r="C61" s="37" t="s">
        <v>201</v>
      </c>
      <c r="D61" s="37" t="s">
        <v>202</v>
      </c>
    </row>
    <row r="62" spans="1:4" x14ac:dyDescent="0.2">
      <c r="A62" s="36">
        <v>30348</v>
      </c>
      <c r="B62" s="37" t="s">
        <v>229</v>
      </c>
      <c r="C62" s="37" t="s">
        <v>223</v>
      </c>
      <c r="D62" s="37" t="s">
        <v>218</v>
      </c>
    </row>
    <row r="63" spans="1:4" x14ac:dyDescent="0.2">
      <c r="A63" s="36">
        <v>30348</v>
      </c>
      <c r="B63" s="37" t="s">
        <v>229</v>
      </c>
      <c r="C63" s="37" t="s">
        <v>208</v>
      </c>
      <c r="D63" s="37" t="s">
        <v>209</v>
      </c>
    </row>
    <row r="64" spans="1:4" x14ac:dyDescent="0.2">
      <c r="A64" s="36">
        <v>30376</v>
      </c>
      <c r="B64" s="37" t="s">
        <v>229</v>
      </c>
      <c r="C64" s="37" t="s">
        <v>208</v>
      </c>
      <c r="D64" s="37" t="s">
        <v>226</v>
      </c>
    </row>
    <row r="65" spans="1:4" x14ac:dyDescent="0.2">
      <c r="A65" s="36">
        <v>30376</v>
      </c>
      <c r="B65" s="37" t="s">
        <v>229</v>
      </c>
      <c r="C65" s="37" t="s">
        <v>223</v>
      </c>
      <c r="D65" s="37" t="s">
        <v>206</v>
      </c>
    </row>
    <row r="66" spans="1:4" x14ac:dyDescent="0.2">
      <c r="A66" s="36">
        <v>30407</v>
      </c>
      <c r="B66" s="37" t="s">
        <v>229</v>
      </c>
      <c r="C66" s="37" t="s">
        <v>223</v>
      </c>
      <c r="D66" s="37" t="s">
        <v>215</v>
      </c>
    </row>
    <row r="67" spans="1:4" x14ac:dyDescent="0.2">
      <c r="A67" s="36">
        <v>30407</v>
      </c>
      <c r="B67" s="37" t="s">
        <v>229</v>
      </c>
      <c r="C67" s="37" t="s">
        <v>210</v>
      </c>
      <c r="D67" s="37" t="s">
        <v>221</v>
      </c>
    </row>
    <row r="68" spans="1:4" x14ac:dyDescent="0.2">
      <c r="A68" s="36">
        <v>29891</v>
      </c>
      <c r="B68" s="37" t="s">
        <v>232</v>
      </c>
      <c r="C68" s="37" t="s">
        <v>201</v>
      </c>
      <c r="D68" s="37" t="s">
        <v>213</v>
      </c>
    </row>
    <row r="69" spans="1:4" x14ac:dyDescent="0.2">
      <c r="A69" s="36">
        <v>29891</v>
      </c>
      <c r="B69" s="37" t="s">
        <v>232</v>
      </c>
      <c r="C69" s="37" t="s">
        <v>223</v>
      </c>
      <c r="D69" s="37" t="s">
        <v>206</v>
      </c>
    </row>
    <row r="70" spans="1:4" x14ac:dyDescent="0.2">
      <c r="A70" s="36">
        <v>29921</v>
      </c>
      <c r="B70" s="37" t="s">
        <v>232</v>
      </c>
      <c r="C70" s="37" t="s">
        <v>224</v>
      </c>
      <c r="D70" s="37" t="s">
        <v>231</v>
      </c>
    </row>
    <row r="71" spans="1:4" x14ac:dyDescent="0.2">
      <c r="A71" s="36">
        <v>29983</v>
      </c>
      <c r="B71" s="37" t="s">
        <v>232</v>
      </c>
      <c r="C71" s="37" t="s">
        <v>223</v>
      </c>
      <c r="D71" s="37" t="s">
        <v>215</v>
      </c>
    </row>
    <row r="72" spans="1:4" x14ac:dyDescent="0.2">
      <c r="A72" s="36">
        <v>29983</v>
      </c>
      <c r="B72" s="37" t="s">
        <v>232</v>
      </c>
      <c r="C72" s="37" t="s">
        <v>201</v>
      </c>
      <c r="D72" s="37" t="s">
        <v>202</v>
      </c>
    </row>
    <row r="73" spans="1:4" x14ac:dyDescent="0.2">
      <c r="A73" s="36">
        <v>30011</v>
      </c>
      <c r="B73" s="37" t="s">
        <v>232</v>
      </c>
      <c r="C73" s="37" t="s">
        <v>203</v>
      </c>
      <c r="D73" s="37" t="s">
        <v>204</v>
      </c>
    </row>
    <row r="74" spans="1:4" x14ac:dyDescent="0.2">
      <c r="A74" s="36">
        <v>30042</v>
      </c>
      <c r="B74" s="37" t="s">
        <v>232</v>
      </c>
      <c r="C74" s="37" t="s">
        <v>203</v>
      </c>
      <c r="D74" s="37" t="s">
        <v>230</v>
      </c>
    </row>
    <row r="75" spans="1:4" x14ac:dyDescent="0.2">
      <c r="A75" s="36">
        <v>30103</v>
      </c>
      <c r="B75" s="37" t="s">
        <v>232</v>
      </c>
      <c r="C75" s="37" t="s">
        <v>201</v>
      </c>
      <c r="D75" s="37" t="s">
        <v>213</v>
      </c>
    </row>
    <row r="76" spans="1:4" x14ac:dyDescent="0.2">
      <c r="A76" s="36">
        <v>30164</v>
      </c>
      <c r="B76" s="37" t="s">
        <v>232</v>
      </c>
      <c r="C76" s="37" t="s">
        <v>208</v>
      </c>
      <c r="D76" s="37" t="s">
        <v>226</v>
      </c>
    </row>
    <row r="77" spans="1:4" x14ac:dyDescent="0.2">
      <c r="A77" s="36">
        <v>30195</v>
      </c>
      <c r="B77" s="37" t="s">
        <v>232</v>
      </c>
      <c r="C77" s="37" t="s">
        <v>210</v>
      </c>
      <c r="D77" s="37" t="s">
        <v>221</v>
      </c>
    </row>
    <row r="78" spans="1:4" x14ac:dyDescent="0.2">
      <c r="A78" s="36">
        <v>30195</v>
      </c>
      <c r="B78" s="37" t="s">
        <v>232</v>
      </c>
      <c r="C78" s="37" t="s">
        <v>203</v>
      </c>
      <c r="D78" s="37" t="s">
        <v>214</v>
      </c>
    </row>
    <row r="79" spans="1:4" x14ac:dyDescent="0.2">
      <c r="A79" s="36">
        <v>30195</v>
      </c>
      <c r="B79" s="37" t="s">
        <v>232</v>
      </c>
      <c r="C79" s="37" t="s">
        <v>203</v>
      </c>
      <c r="D79" s="37" t="s">
        <v>230</v>
      </c>
    </row>
    <row r="80" spans="1:4" x14ac:dyDescent="0.2">
      <c r="A80" s="36">
        <v>30256</v>
      </c>
      <c r="B80" s="37" t="s">
        <v>232</v>
      </c>
      <c r="C80" s="37" t="s">
        <v>201</v>
      </c>
      <c r="D80" s="37" t="s">
        <v>216</v>
      </c>
    </row>
    <row r="81" spans="1:4" x14ac:dyDescent="0.2">
      <c r="A81" s="36">
        <v>30286</v>
      </c>
      <c r="B81" s="37" t="s">
        <v>232</v>
      </c>
      <c r="C81" s="37" t="s">
        <v>201</v>
      </c>
      <c r="D81" s="37" t="s">
        <v>202</v>
      </c>
    </row>
    <row r="82" spans="1:4" x14ac:dyDescent="0.2">
      <c r="A82" s="36">
        <v>30348</v>
      </c>
      <c r="B82" s="37" t="s">
        <v>232</v>
      </c>
      <c r="C82" s="37" t="s">
        <v>223</v>
      </c>
      <c r="D82" s="37" t="s">
        <v>228</v>
      </c>
    </row>
    <row r="83" spans="1:4" x14ac:dyDescent="0.2">
      <c r="A83" s="36">
        <v>30437</v>
      </c>
      <c r="B83" s="37" t="s">
        <v>232</v>
      </c>
      <c r="C83" s="37" t="s">
        <v>201</v>
      </c>
      <c r="D83" s="37" t="s">
        <v>202</v>
      </c>
    </row>
    <row r="84" spans="1:4" x14ac:dyDescent="0.2">
      <c r="A84" s="36">
        <v>29768</v>
      </c>
      <c r="B84" s="37" t="s">
        <v>233</v>
      </c>
      <c r="C84" s="37" t="s">
        <v>201</v>
      </c>
      <c r="D84" s="37" t="s">
        <v>213</v>
      </c>
    </row>
    <row r="85" spans="1:4" x14ac:dyDescent="0.2">
      <c r="A85" s="36">
        <v>29799</v>
      </c>
      <c r="B85" s="37" t="s">
        <v>233</v>
      </c>
      <c r="C85" s="37" t="s">
        <v>223</v>
      </c>
      <c r="D85" s="37" t="s">
        <v>206</v>
      </c>
    </row>
    <row r="86" spans="1:4" x14ac:dyDescent="0.2">
      <c r="A86" s="36">
        <v>29860</v>
      </c>
      <c r="B86" s="37" t="s">
        <v>233</v>
      </c>
      <c r="C86" s="37" t="s">
        <v>201</v>
      </c>
      <c r="D86" s="37" t="s">
        <v>216</v>
      </c>
    </row>
    <row r="87" spans="1:4" x14ac:dyDescent="0.2">
      <c r="A87" s="36">
        <v>29860</v>
      </c>
      <c r="B87" s="37" t="s">
        <v>233</v>
      </c>
      <c r="C87" s="37" t="s">
        <v>203</v>
      </c>
      <c r="D87" s="37" t="s">
        <v>226</v>
      </c>
    </row>
    <row r="88" spans="1:4" x14ac:dyDescent="0.2">
      <c r="A88" s="36">
        <v>29891</v>
      </c>
      <c r="B88" s="37" t="s">
        <v>233</v>
      </c>
      <c r="C88" s="37" t="s">
        <v>203</v>
      </c>
      <c r="D88" s="37" t="s">
        <v>234</v>
      </c>
    </row>
    <row r="89" spans="1:4" x14ac:dyDescent="0.2">
      <c r="A89" s="36">
        <v>29921</v>
      </c>
      <c r="B89" s="37" t="s">
        <v>233</v>
      </c>
      <c r="C89" s="37" t="s">
        <v>203</v>
      </c>
      <c r="D89" s="37" t="s">
        <v>214</v>
      </c>
    </row>
    <row r="90" spans="1:4" x14ac:dyDescent="0.2">
      <c r="A90" s="36">
        <v>29921</v>
      </c>
      <c r="B90" s="37" t="s">
        <v>233</v>
      </c>
      <c r="C90" s="37" t="s">
        <v>201</v>
      </c>
      <c r="D90" s="37" t="s">
        <v>213</v>
      </c>
    </row>
    <row r="91" spans="1:4" x14ac:dyDescent="0.2">
      <c r="A91" s="36">
        <v>29983</v>
      </c>
      <c r="B91" s="37" t="s">
        <v>233</v>
      </c>
      <c r="C91" s="37" t="s">
        <v>203</v>
      </c>
      <c r="D91" s="37" t="s">
        <v>204</v>
      </c>
    </row>
    <row r="92" spans="1:4" x14ac:dyDescent="0.2">
      <c r="A92" s="36">
        <v>30011</v>
      </c>
      <c r="B92" s="37" t="s">
        <v>233</v>
      </c>
      <c r="C92" s="37" t="s">
        <v>223</v>
      </c>
      <c r="D92" s="37" t="s">
        <v>215</v>
      </c>
    </row>
    <row r="93" spans="1:4" x14ac:dyDescent="0.2">
      <c r="A93" s="36">
        <v>30042</v>
      </c>
      <c r="B93" s="37" t="s">
        <v>233</v>
      </c>
      <c r="C93" s="37" t="s">
        <v>223</v>
      </c>
      <c r="D93" s="37" t="s">
        <v>228</v>
      </c>
    </row>
    <row r="94" spans="1:4" x14ac:dyDescent="0.2">
      <c r="A94" s="36">
        <v>30072</v>
      </c>
      <c r="B94" s="37" t="s">
        <v>233</v>
      </c>
      <c r="C94" s="37" t="s">
        <v>201</v>
      </c>
      <c r="D94" s="37" t="s">
        <v>202</v>
      </c>
    </row>
    <row r="95" spans="1:4" x14ac:dyDescent="0.2">
      <c r="A95" s="36">
        <v>30133</v>
      </c>
      <c r="B95" s="37" t="s">
        <v>233</v>
      </c>
      <c r="C95" s="37" t="s">
        <v>203</v>
      </c>
      <c r="D95" s="37" t="s">
        <v>230</v>
      </c>
    </row>
    <row r="96" spans="1:4" x14ac:dyDescent="0.2">
      <c r="A96" s="36">
        <v>30133</v>
      </c>
      <c r="B96" s="37" t="s">
        <v>233</v>
      </c>
      <c r="C96" s="37" t="s">
        <v>201</v>
      </c>
      <c r="D96" s="37" t="s">
        <v>213</v>
      </c>
    </row>
    <row r="97" spans="1:4" x14ac:dyDescent="0.2">
      <c r="A97" s="36">
        <v>30195</v>
      </c>
      <c r="B97" s="37" t="s">
        <v>233</v>
      </c>
      <c r="C97" s="37" t="s">
        <v>203</v>
      </c>
      <c r="D97" s="37" t="s">
        <v>226</v>
      </c>
    </row>
    <row r="98" spans="1:4" x14ac:dyDescent="0.2">
      <c r="A98" s="36">
        <v>30225</v>
      </c>
      <c r="B98" s="37" t="s">
        <v>233</v>
      </c>
      <c r="C98" s="37" t="s">
        <v>201</v>
      </c>
      <c r="D98" s="37" t="s">
        <v>202</v>
      </c>
    </row>
    <row r="99" spans="1:4" x14ac:dyDescent="0.2">
      <c r="A99" s="36">
        <v>30256</v>
      </c>
      <c r="B99" s="37" t="s">
        <v>233</v>
      </c>
      <c r="C99" s="37" t="s">
        <v>208</v>
      </c>
      <c r="D99" s="37" t="s">
        <v>235</v>
      </c>
    </row>
    <row r="100" spans="1:4" x14ac:dyDescent="0.2">
      <c r="A100" s="36">
        <v>30348</v>
      </c>
      <c r="B100" s="37" t="s">
        <v>233</v>
      </c>
      <c r="C100" s="37" t="s">
        <v>201</v>
      </c>
      <c r="D100" s="37" t="s">
        <v>213</v>
      </c>
    </row>
    <row r="101" spans="1:4" x14ac:dyDescent="0.2">
      <c r="A101" s="36">
        <v>30407</v>
      </c>
      <c r="B101" s="37" t="s">
        <v>233</v>
      </c>
      <c r="C101" s="37" t="s">
        <v>201</v>
      </c>
      <c r="D101" s="37" t="s">
        <v>202</v>
      </c>
    </row>
    <row r="102" spans="1:4" x14ac:dyDescent="0.2">
      <c r="A102" s="36">
        <v>30437</v>
      </c>
      <c r="B102" s="37" t="s">
        <v>233</v>
      </c>
      <c r="C102" s="37" t="s">
        <v>203</v>
      </c>
      <c r="D102" s="37" t="s">
        <v>234</v>
      </c>
    </row>
    <row r="103" spans="1:4" x14ac:dyDescent="0.2">
      <c r="A103" s="36">
        <v>29707</v>
      </c>
      <c r="B103" s="37" t="s">
        <v>236</v>
      </c>
      <c r="C103" s="37" t="s">
        <v>201</v>
      </c>
      <c r="D103" s="37" t="s">
        <v>202</v>
      </c>
    </row>
    <row r="104" spans="1:4" x14ac:dyDescent="0.2">
      <c r="A104" s="36">
        <v>29738</v>
      </c>
      <c r="B104" s="37" t="s">
        <v>236</v>
      </c>
      <c r="C104" s="37" t="s">
        <v>201</v>
      </c>
      <c r="D104" s="37" t="s">
        <v>213</v>
      </c>
    </row>
    <row r="105" spans="1:4" x14ac:dyDescent="0.2">
      <c r="A105" s="36">
        <v>29738</v>
      </c>
      <c r="B105" s="37" t="s">
        <v>236</v>
      </c>
      <c r="C105" s="37" t="s">
        <v>203</v>
      </c>
      <c r="D105" s="37" t="s">
        <v>230</v>
      </c>
    </row>
    <row r="106" spans="1:4" x14ac:dyDescent="0.2">
      <c r="A106" s="36">
        <v>29799</v>
      </c>
      <c r="B106" s="37" t="s">
        <v>236</v>
      </c>
      <c r="C106" s="37" t="s">
        <v>223</v>
      </c>
      <c r="D106" s="37" t="s">
        <v>206</v>
      </c>
    </row>
    <row r="107" spans="1:4" x14ac:dyDescent="0.2">
      <c r="A107" s="36">
        <v>29860</v>
      </c>
      <c r="B107" s="37" t="s">
        <v>236</v>
      </c>
      <c r="C107" s="37" t="s">
        <v>224</v>
      </c>
      <c r="D107" s="37" t="s">
        <v>237</v>
      </c>
    </row>
    <row r="108" spans="1:4" x14ac:dyDescent="0.2">
      <c r="A108" s="36">
        <v>29983</v>
      </c>
      <c r="B108" s="37" t="s">
        <v>236</v>
      </c>
      <c r="C108" s="37"/>
      <c r="D108" s="37"/>
    </row>
    <row r="109" spans="1:4" x14ac:dyDescent="0.2">
      <c r="A109" s="36">
        <v>29983</v>
      </c>
      <c r="B109" s="37" t="s">
        <v>236</v>
      </c>
      <c r="C109" s="37" t="b">
        <v>0</v>
      </c>
      <c r="D109" s="37"/>
    </row>
    <row r="110" spans="1:4" x14ac:dyDescent="0.2">
      <c r="A110" s="36">
        <v>30042</v>
      </c>
      <c r="B110" s="37" t="s">
        <v>236</v>
      </c>
      <c r="C110" s="37" t="s">
        <v>208</v>
      </c>
      <c r="D110" s="37" t="s">
        <v>235</v>
      </c>
    </row>
    <row r="111" spans="1:4" x14ac:dyDescent="0.2">
      <c r="A111" s="36">
        <v>30042</v>
      </c>
      <c r="B111" s="37" t="s">
        <v>236</v>
      </c>
      <c r="C111" s="37" t="s">
        <v>201</v>
      </c>
      <c r="D111" s="37" t="s">
        <v>202</v>
      </c>
    </row>
    <row r="112" spans="1:4" x14ac:dyDescent="0.2">
      <c r="A112" s="36">
        <v>30042</v>
      </c>
      <c r="B112" s="37" t="s">
        <v>236</v>
      </c>
      <c r="C112" s="37" t="s">
        <v>223</v>
      </c>
      <c r="D112" s="37" t="s">
        <v>215</v>
      </c>
    </row>
    <row r="113" spans="1:4" x14ac:dyDescent="0.2">
      <c r="A113" s="36">
        <v>30103</v>
      </c>
      <c r="B113" s="37" t="s">
        <v>236</v>
      </c>
      <c r="C113" s="37" t="s">
        <v>203</v>
      </c>
      <c r="D113" s="37" t="s">
        <v>214</v>
      </c>
    </row>
    <row r="114" spans="1:4" x14ac:dyDescent="0.2">
      <c r="A114" s="36">
        <v>30133</v>
      </c>
      <c r="B114" s="37" t="s">
        <v>236</v>
      </c>
      <c r="C114" s="37" t="s">
        <v>203</v>
      </c>
      <c r="D114" s="37" t="s">
        <v>204</v>
      </c>
    </row>
    <row r="115" spans="1:4" x14ac:dyDescent="0.2">
      <c r="A115" s="36">
        <v>30164</v>
      </c>
      <c r="B115" s="37" t="s">
        <v>236</v>
      </c>
      <c r="C115" s="37" t="s">
        <v>201</v>
      </c>
      <c r="D115" s="37" t="s">
        <v>202</v>
      </c>
    </row>
    <row r="116" spans="1:4" x14ac:dyDescent="0.2">
      <c r="A116" s="36">
        <v>30256</v>
      </c>
      <c r="B116" s="37" t="s">
        <v>236</v>
      </c>
      <c r="C116" s="37" t="s">
        <v>201</v>
      </c>
      <c r="D116" s="37" t="s">
        <v>216</v>
      </c>
    </row>
    <row r="117" spans="1:4" x14ac:dyDescent="0.2">
      <c r="A117" s="36">
        <v>30286</v>
      </c>
      <c r="B117" s="37" t="s">
        <v>236</v>
      </c>
      <c r="C117" s="37" t="s">
        <v>208</v>
      </c>
      <c r="D117" s="37" t="s">
        <v>215</v>
      </c>
    </row>
    <row r="118" spans="1:4" x14ac:dyDescent="0.2">
      <c r="A118" s="36">
        <v>30286</v>
      </c>
      <c r="B118" s="37" t="s">
        <v>236</v>
      </c>
      <c r="C118" s="37" t="s">
        <v>203</v>
      </c>
      <c r="D118" s="37" t="s">
        <v>204</v>
      </c>
    </row>
    <row r="119" spans="1:4" x14ac:dyDescent="0.2">
      <c r="A119" s="36">
        <v>30286</v>
      </c>
      <c r="B119" s="37" t="s">
        <v>236</v>
      </c>
      <c r="C119" s="37" t="s">
        <v>203</v>
      </c>
      <c r="D119" s="37" t="s">
        <v>230</v>
      </c>
    </row>
    <row r="120" spans="1:4" x14ac:dyDescent="0.2">
      <c r="A120" s="36">
        <v>30317</v>
      </c>
      <c r="B120" s="37" t="s">
        <v>236</v>
      </c>
      <c r="C120" s="37" t="s">
        <v>201</v>
      </c>
      <c r="D120" s="37" t="s">
        <v>216</v>
      </c>
    </row>
    <row r="121" spans="1:4" x14ac:dyDescent="0.2">
      <c r="A121" s="36">
        <v>30317</v>
      </c>
      <c r="B121" s="37" t="s">
        <v>236</v>
      </c>
      <c r="C121" s="37" t="s">
        <v>203</v>
      </c>
      <c r="D121" s="37" t="s">
        <v>214</v>
      </c>
    </row>
    <row r="122" spans="1:4" x14ac:dyDescent="0.2">
      <c r="A122" s="36">
        <v>30376</v>
      </c>
      <c r="B122" s="37" t="s">
        <v>236</v>
      </c>
      <c r="C122" s="37" t="s">
        <v>210</v>
      </c>
      <c r="D122" s="37" t="s">
        <v>211</v>
      </c>
    </row>
    <row r="123" spans="1:4" x14ac:dyDescent="0.2">
      <c r="A123" s="36">
        <v>30376</v>
      </c>
      <c r="B123" s="37" t="s">
        <v>236</v>
      </c>
      <c r="C123" s="37" t="s">
        <v>201</v>
      </c>
      <c r="D123" s="37" t="s">
        <v>202</v>
      </c>
    </row>
    <row r="124" spans="1:4" x14ac:dyDescent="0.2">
      <c r="A124" s="36">
        <v>30407</v>
      </c>
      <c r="B124" s="37" t="s">
        <v>236</v>
      </c>
      <c r="C124" s="37" t="s">
        <v>201</v>
      </c>
      <c r="D124" s="37" t="s">
        <v>202</v>
      </c>
    </row>
    <row r="125" spans="1:4" x14ac:dyDescent="0.2">
      <c r="A125" s="36">
        <v>30407</v>
      </c>
      <c r="B125" s="37" t="s">
        <v>236</v>
      </c>
      <c r="C125" s="37" t="s">
        <v>201</v>
      </c>
      <c r="D125" s="37" t="s">
        <v>216</v>
      </c>
    </row>
    <row r="126" spans="1:4" x14ac:dyDescent="0.2">
      <c r="A126" s="36">
        <v>30437</v>
      </c>
      <c r="B126" s="37" t="s">
        <v>236</v>
      </c>
      <c r="C126" s="37" t="s">
        <v>203</v>
      </c>
      <c r="D126" s="37" t="s">
        <v>204</v>
      </c>
    </row>
    <row r="127" spans="1:4" x14ac:dyDescent="0.2">
      <c r="A127" s="36">
        <v>30133</v>
      </c>
      <c r="B127" s="37" t="s">
        <v>238</v>
      </c>
      <c r="C127" s="37" t="s">
        <v>223</v>
      </c>
      <c r="D127" s="37" t="s">
        <v>206</v>
      </c>
    </row>
    <row r="128" spans="1:4" x14ac:dyDescent="0.2">
      <c r="A128" s="36">
        <v>30164</v>
      </c>
      <c r="B128" s="37" t="s">
        <v>238</v>
      </c>
      <c r="C128" s="37" t="s">
        <v>224</v>
      </c>
      <c r="D128" s="37" t="s">
        <v>231</v>
      </c>
    </row>
    <row r="129" spans="1:4" x14ac:dyDescent="0.2">
      <c r="A129" s="36">
        <v>30195</v>
      </c>
      <c r="B129" s="37" t="s">
        <v>238</v>
      </c>
      <c r="C129" s="37" t="s">
        <v>223</v>
      </c>
      <c r="D129" s="37" t="s">
        <v>207</v>
      </c>
    </row>
    <row r="130" spans="1:4" x14ac:dyDescent="0.2">
      <c r="A130" s="36">
        <v>30225</v>
      </c>
      <c r="B130" s="37" t="s">
        <v>238</v>
      </c>
      <c r="C130" s="37" t="s">
        <v>208</v>
      </c>
      <c r="D130" s="37" t="s">
        <v>209</v>
      </c>
    </row>
    <row r="131" spans="1:4" x14ac:dyDescent="0.2">
      <c r="A131" s="36">
        <v>30225</v>
      </c>
      <c r="B131" s="37" t="s">
        <v>238</v>
      </c>
      <c r="C131" s="37" t="b">
        <v>0</v>
      </c>
      <c r="D131" s="37"/>
    </row>
    <row r="132" spans="1:4" x14ac:dyDescent="0.2">
      <c r="A132" s="36">
        <v>30256</v>
      </c>
      <c r="B132" s="37" t="s">
        <v>238</v>
      </c>
      <c r="C132" s="37" t="s">
        <v>201</v>
      </c>
      <c r="D132" s="37" t="s">
        <v>202</v>
      </c>
    </row>
    <row r="133" spans="1:4" x14ac:dyDescent="0.2">
      <c r="A133" s="36">
        <v>30286</v>
      </c>
      <c r="B133" s="37" t="s">
        <v>238</v>
      </c>
      <c r="C133" s="37" t="s">
        <v>223</v>
      </c>
      <c r="D133" s="37" t="s">
        <v>228</v>
      </c>
    </row>
    <row r="134" spans="1:4" x14ac:dyDescent="0.2">
      <c r="A134" s="36">
        <v>30317</v>
      </c>
      <c r="B134" s="37" t="s">
        <v>238</v>
      </c>
      <c r="C134" s="37" t="s">
        <v>224</v>
      </c>
      <c r="D134" s="37" t="s">
        <v>225</v>
      </c>
    </row>
    <row r="135" spans="1:4" x14ac:dyDescent="0.2">
      <c r="A135" s="36">
        <v>30437</v>
      </c>
      <c r="B135" s="37" t="s">
        <v>238</v>
      </c>
      <c r="C135" s="37" t="s">
        <v>215</v>
      </c>
      <c r="D135" s="37" t="s">
        <v>215</v>
      </c>
    </row>
    <row r="136" spans="1:4" x14ac:dyDescent="0.2">
      <c r="A136" s="36">
        <v>30011</v>
      </c>
      <c r="B136" s="37" t="s">
        <v>239</v>
      </c>
      <c r="C136" s="37" t="s">
        <v>223</v>
      </c>
      <c r="D136" s="37" t="s">
        <v>207</v>
      </c>
    </row>
    <row r="137" spans="1:4" x14ac:dyDescent="0.2">
      <c r="A137" s="36">
        <v>30011</v>
      </c>
      <c r="B137" s="37" t="s">
        <v>239</v>
      </c>
      <c r="C137" s="37" t="s">
        <v>201</v>
      </c>
      <c r="D137" s="37" t="s">
        <v>202</v>
      </c>
    </row>
    <row r="138" spans="1:4" x14ac:dyDescent="0.2">
      <c r="A138" s="36">
        <v>30042</v>
      </c>
      <c r="B138" s="37" t="s">
        <v>239</v>
      </c>
      <c r="C138" s="37" t="s">
        <v>203</v>
      </c>
      <c r="D138" s="37" t="s">
        <v>226</v>
      </c>
    </row>
    <row r="139" spans="1:4" x14ac:dyDescent="0.2">
      <c r="A139" s="36">
        <v>30042</v>
      </c>
      <c r="B139" s="37" t="s">
        <v>239</v>
      </c>
      <c r="C139" s="37" t="s">
        <v>203</v>
      </c>
      <c r="D139" s="37" t="s">
        <v>214</v>
      </c>
    </row>
    <row r="140" spans="1:4" x14ac:dyDescent="0.2">
      <c r="A140" s="36">
        <v>30072</v>
      </c>
      <c r="B140" s="37" t="s">
        <v>239</v>
      </c>
      <c r="C140" s="37" t="s">
        <v>224</v>
      </c>
      <c r="D140" s="37" t="s">
        <v>231</v>
      </c>
    </row>
    <row r="141" spans="1:4" x14ac:dyDescent="0.2">
      <c r="A141" s="36">
        <v>30103</v>
      </c>
      <c r="B141" s="37" t="s">
        <v>239</v>
      </c>
      <c r="C141" s="37" t="s">
        <v>223</v>
      </c>
      <c r="D141" s="37" t="s">
        <v>218</v>
      </c>
    </row>
    <row r="142" spans="1:4" x14ac:dyDescent="0.2">
      <c r="A142" s="36">
        <v>30164</v>
      </c>
      <c r="B142" s="37" t="s">
        <v>239</v>
      </c>
      <c r="C142" s="37" t="s">
        <v>223</v>
      </c>
      <c r="D142" s="37" t="s">
        <v>206</v>
      </c>
    </row>
    <row r="143" spans="1:4" x14ac:dyDescent="0.2">
      <c r="A143" s="36">
        <v>30225</v>
      </c>
      <c r="B143" s="37" t="s">
        <v>239</v>
      </c>
      <c r="C143" s="37" t="s">
        <v>208</v>
      </c>
      <c r="D143" s="37" t="s">
        <v>209</v>
      </c>
    </row>
    <row r="144" spans="1:4" x14ac:dyDescent="0.2">
      <c r="A144" s="36">
        <v>30256</v>
      </c>
      <c r="B144" s="37" t="s">
        <v>239</v>
      </c>
      <c r="C144" s="37" t="s">
        <v>201</v>
      </c>
      <c r="D144" s="37" t="s">
        <v>202</v>
      </c>
    </row>
    <row r="145" spans="1:4" x14ac:dyDescent="0.2">
      <c r="A145" s="36">
        <v>30286</v>
      </c>
      <c r="B145" s="37" t="s">
        <v>239</v>
      </c>
      <c r="C145" s="37" t="s">
        <v>201</v>
      </c>
      <c r="D145" s="37" t="s">
        <v>213</v>
      </c>
    </row>
    <row r="146" spans="1:4" x14ac:dyDescent="0.2">
      <c r="A146" s="36">
        <v>30317</v>
      </c>
      <c r="B146" s="37" t="s">
        <v>239</v>
      </c>
      <c r="C146" s="37" t="s">
        <v>203</v>
      </c>
      <c r="D146" s="37" t="s">
        <v>226</v>
      </c>
    </row>
    <row r="147" spans="1:4" x14ac:dyDescent="0.2">
      <c r="A147" s="36">
        <v>30348</v>
      </c>
      <c r="B147" s="37" t="s">
        <v>239</v>
      </c>
      <c r="C147" s="37" t="s">
        <v>223</v>
      </c>
      <c r="D147" s="37" t="s">
        <v>215</v>
      </c>
    </row>
    <row r="148" spans="1:4" x14ac:dyDescent="0.2">
      <c r="A148" s="36">
        <v>30376</v>
      </c>
      <c r="B148" s="37" t="s">
        <v>239</v>
      </c>
      <c r="C148" s="37" t="s">
        <v>208</v>
      </c>
      <c r="D148" s="37" t="s">
        <v>235</v>
      </c>
    </row>
    <row r="149" spans="1:4" x14ac:dyDescent="0.2">
      <c r="A149" s="36">
        <v>30407</v>
      </c>
      <c r="B149" s="37" t="s">
        <v>239</v>
      </c>
      <c r="C149" s="37" t="s">
        <v>201</v>
      </c>
      <c r="D149" s="37" t="s">
        <v>202</v>
      </c>
    </row>
    <row r="150" spans="1:4" x14ac:dyDescent="0.2">
      <c r="A150" s="36">
        <v>30437</v>
      </c>
      <c r="B150" s="37" t="s">
        <v>239</v>
      </c>
      <c r="C150" s="37" t="s">
        <v>201</v>
      </c>
      <c r="D150" s="37" t="s">
        <v>216</v>
      </c>
    </row>
    <row r="151" spans="1:4" x14ac:dyDescent="0.2">
      <c r="A151" s="36">
        <v>29921</v>
      </c>
      <c r="B151" s="37" t="s">
        <v>240</v>
      </c>
      <c r="C151" s="37" t="s">
        <v>203</v>
      </c>
      <c r="D151" s="37" t="s">
        <v>204</v>
      </c>
    </row>
    <row r="152" spans="1:4" x14ac:dyDescent="0.2">
      <c r="A152" s="36">
        <v>29952</v>
      </c>
      <c r="B152" s="37" t="s">
        <v>240</v>
      </c>
      <c r="C152" s="37" t="s">
        <v>203</v>
      </c>
      <c r="D152" s="37" t="s">
        <v>214</v>
      </c>
    </row>
    <row r="153" spans="1:4" x14ac:dyDescent="0.2">
      <c r="A153" s="36">
        <v>29983</v>
      </c>
      <c r="B153" s="37" t="s">
        <v>240</v>
      </c>
      <c r="C153" s="37" t="s">
        <v>223</v>
      </c>
      <c r="D153" s="37" t="s">
        <v>215</v>
      </c>
    </row>
    <row r="154" spans="1:4" x14ac:dyDescent="0.2">
      <c r="A154" s="36">
        <v>29983</v>
      </c>
      <c r="B154" s="37" t="s">
        <v>240</v>
      </c>
      <c r="C154" s="37" t="s">
        <v>208</v>
      </c>
      <c r="D154" s="37" t="s">
        <v>209</v>
      </c>
    </row>
    <row r="155" spans="1:4" x14ac:dyDescent="0.2">
      <c r="A155" s="36">
        <v>30011</v>
      </c>
      <c r="B155" s="37" t="s">
        <v>240</v>
      </c>
      <c r="C155" s="37" t="b">
        <v>0</v>
      </c>
      <c r="D155" s="37"/>
    </row>
    <row r="156" spans="1:4" x14ac:dyDescent="0.2">
      <c r="A156" s="36">
        <v>30011</v>
      </c>
      <c r="B156" s="37" t="s">
        <v>240</v>
      </c>
      <c r="C156" s="37" t="s">
        <v>224</v>
      </c>
      <c r="D156" s="37" t="s">
        <v>225</v>
      </c>
    </row>
    <row r="157" spans="1:4" x14ac:dyDescent="0.2">
      <c r="A157" s="36">
        <v>30042</v>
      </c>
      <c r="B157" s="37" t="s">
        <v>240</v>
      </c>
      <c r="C157" s="37" t="s">
        <v>201</v>
      </c>
      <c r="D157" s="37" t="s">
        <v>202</v>
      </c>
    </row>
    <row r="158" spans="1:4" x14ac:dyDescent="0.2">
      <c r="A158" s="36">
        <v>30103</v>
      </c>
      <c r="B158" s="37" t="s">
        <v>240</v>
      </c>
      <c r="C158" s="37" t="s">
        <v>201</v>
      </c>
      <c r="D158" s="37" t="s">
        <v>213</v>
      </c>
    </row>
    <row r="159" spans="1:4" x14ac:dyDescent="0.2">
      <c r="A159" s="36">
        <v>30103</v>
      </c>
      <c r="B159" s="37" t="s">
        <v>240</v>
      </c>
      <c r="C159" s="37" t="s">
        <v>223</v>
      </c>
      <c r="D159" s="37" t="s">
        <v>206</v>
      </c>
    </row>
    <row r="160" spans="1:4" x14ac:dyDescent="0.2">
      <c r="A160" s="36">
        <v>30164</v>
      </c>
      <c r="B160" s="37" t="s">
        <v>240</v>
      </c>
      <c r="C160" s="37" t="s">
        <v>223</v>
      </c>
      <c r="D160" s="37" t="s">
        <v>207</v>
      </c>
    </row>
    <row r="161" spans="1:4" x14ac:dyDescent="0.2">
      <c r="A161" s="36">
        <v>30164</v>
      </c>
      <c r="B161" s="37" t="s">
        <v>240</v>
      </c>
      <c r="C161" s="37" t="s">
        <v>201</v>
      </c>
      <c r="D161" s="37" t="s">
        <v>216</v>
      </c>
    </row>
    <row r="162" spans="1:4" x14ac:dyDescent="0.2">
      <c r="A162" s="36">
        <v>30225</v>
      </c>
      <c r="B162" s="37" t="s">
        <v>240</v>
      </c>
      <c r="C162" s="37" t="s">
        <v>224</v>
      </c>
      <c r="D162" s="37" t="s">
        <v>225</v>
      </c>
    </row>
    <row r="163" spans="1:4" x14ac:dyDescent="0.2">
      <c r="A163" s="36">
        <v>30225</v>
      </c>
      <c r="B163" s="37" t="s">
        <v>240</v>
      </c>
      <c r="C163" s="37" t="s">
        <v>203</v>
      </c>
      <c r="D163" s="37" t="s">
        <v>230</v>
      </c>
    </row>
    <row r="164" spans="1:4" x14ac:dyDescent="0.2">
      <c r="A164" s="36">
        <v>30256</v>
      </c>
      <c r="B164" s="37" t="s">
        <v>240</v>
      </c>
      <c r="C164" s="37" t="b">
        <v>0</v>
      </c>
      <c r="D164" s="37"/>
    </row>
    <row r="165" spans="1:4" x14ac:dyDescent="0.2">
      <c r="A165" s="36">
        <v>30286</v>
      </c>
      <c r="B165" s="37" t="s">
        <v>240</v>
      </c>
      <c r="C165" s="37" t="s">
        <v>203</v>
      </c>
      <c r="D165" s="37" t="s">
        <v>234</v>
      </c>
    </row>
    <row r="166" spans="1:4" x14ac:dyDescent="0.2">
      <c r="A166" s="36">
        <v>30317</v>
      </c>
      <c r="B166" s="37" t="s">
        <v>240</v>
      </c>
      <c r="C166" s="37" t="s">
        <v>210</v>
      </c>
      <c r="D166" s="37" t="s">
        <v>211</v>
      </c>
    </row>
    <row r="167" spans="1:4" x14ac:dyDescent="0.2">
      <c r="A167" s="36">
        <v>30376</v>
      </c>
      <c r="B167" s="37" t="s">
        <v>240</v>
      </c>
      <c r="C167" s="37" t="s">
        <v>201</v>
      </c>
      <c r="D167" s="37" t="s">
        <v>216</v>
      </c>
    </row>
    <row r="168" spans="1:4" x14ac:dyDescent="0.2">
      <c r="A168" s="36">
        <v>30407</v>
      </c>
      <c r="B168" s="37" t="s">
        <v>240</v>
      </c>
      <c r="C168" s="37" t="s">
        <v>203</v>
      </c>
      <c r="D168" s="37" t="s">
        <v>204</v>
      </c>
    </row>
    <row r="169" spans="1:4" x14ac:dyDescent="0.2">
      <c r="A169" s="36">
        <v>30437</v>
      </c>
      <c r="B169" s="37" t="s">
        <v>240</v>
      </c>
      <c r="C169" s="37" t="s">
        <v>241</v>
      </c>
      <c r="D169" s="37" t="s">
        <v>209</v>
      </c>
    </row>
    <row r="170" spans="1:4" x14ac:dyDescent="0.2">
      <c r="A170" s="36">
        <v>29799</v>
      </c>
      <c r="B170" s="37" t="s">
        <v>242</v>
      </c>
      <c r="C170" s="37" t="s">
        <v>224</v>
      </c>
      <c r="D170" s="37" t="s">
        <v>231</v>
      </c>
    </row>
    <row r="171" spans="1:4" x14ac:dyDescent="0.2">
      <c r="A171" s="36">
        <v>29830</v>
      </c>
      <c r="B171" s="37" t="s">
        <v>242</v>
      </c>
      <c r="C171" s="37" t="s">
        <v>201</v>
      </c>
      <c r="D171" s="37" t="s">
        <v>213</v>
      </c>
    </row>
    <row r="172" spans="1:4" x14ac:dyDescent="0.2">
      <c r="A172" s="36">
        <v>29860</v>
      </c>
      <c r="B172" s="37" t="s">
        <v>242</v>
      </c>
      <c r="C172" s="37" t="s">
        <v>203</v>
      </c>
      <c r="D172" s="37" t="s">
        <v>226</v>
      </c>
    </row>
    <row r="173" spans="1:4" x14ac:dyDescent="0.2">
      <c r="A173" s="36">
        <v>29860</v>
      </c>
      <c r="B173" s="37" t="s">
        <v>242</v>
      </c>
      <c r="C173" s="37" t="s">
        <v>203</v>
      </c>
      <c r="D173" s="37" t="s">
        <v>214</v>
      </c>
    </row>
    <row r="174" spans="1:4" x14ac:dyDescent="0.2">
      <c r="A174" s="36">
        <v>29921</v>
      </c>
      <c r="B174" s="37" t="s">
        <v>242</v>
      </c>
      <c r="C174" s="37" t="s">
        <v>224</v>
      </c>
      <c r="D174" s="37" t="s">
        <v>207</v>
      </c>
    </row>
    <row r="175" spans="1:4" x14ac:dyDescent="0.2">
      <c r="A175" s="36">
        <v>29983</v>
      </c>
      <c r="B175" s="37" t="s">
        <v>242</v>
      </c>
      <c r="C175" s="37" t="s">
        <v>208</v>
      </c>
      <c r="D175" s="37" t="s">
        <v>235</v>
      </c>
    </row>
    <row r="176" spans="1:4" x14ac:dyDescent="0.2">
      <c r="A176" s="36">
        <v>30011</v>
      </c>
      <c r="B176" s="37" t="s">
        <v>242</v>
      </c>
      <c r="C176" s="37" t="b">
        <v>0</v>
      </c>
      <c r="D176" s="37"/>
    </row>
    <row r="177" spans="1:4" x14ac:dyDescent="0.2">
      <c r="A177" s="36">
        <v>30011</v>
      </c>
      <c r="B177" s="37" t="s">
        <v>242</v>
      </c>
      <c r="C177" s="37" t="s">
        <v>208</v>
      </c>
      <c r="D177" s="37" t="s">
        <v>209</v>
      </c>
    </row>
    <row r="178" spans="1:4" x14ac:dyDescent="0.2">
      <c r="A178" s="36">
        <v>30042</v>
      </c>
      <c r="B178" s="37" t="s">
        <v>242</v>
      </c>
      <c r="C178" s="37" t="s">
        <v>201</v>
      </c>
      <c r="D178" s="37" t="s">
        <v>202</v>
      </c>
    </row>
    <row r="179" spans="1:4" x14ac:dyDescent="0.2">
      <c r="A179" s="36">
        <v>30072</v>
      </c>
      <c r="B179" s="37" t="s">
        <v>242</v>
      </c>
      <c r="C179" s="37" t="s">
        <v>201</v>
      </c>
      <c r="D179" s="37" t="s">
        <v>216</v>
      </c>
    </row>
    <row r="180" spans="1:4" x14ac:dyDescent="0.2">
      <c r="A180" s="36">
        <v>30103</v>
      </c>
      <c r="B180" s="37" t="s">
        <v>242</v>
      </c>
      <c r="C180" s="37" t="s">
        <v>203</v>
      </c>
      <c r="D180" s="37" t="s">
        <v>226</v>
      </c>
    </row>
    <row r="181" spans="1:4" x14ac:dyDescent="0.2">
      <c r="A181" s="36">
        <v>30164</v>
      </c>
      <c r="B181" s="37" t="s">
        <v>242</v>
      </c>
      <c r="C181" s="37" t="s">
        <v>223</v>
      </c>
      <c r="D181" s="37" t="s">
        <v>206</v>
      </c>
    </row>
    <row r="182" spans="1:4" x14ac:dyDescent="0.2">
      <c r="A182" s="36">
        <v>30195</v>
      </c>
      <c r="B182" s="37" t="s">
        <v>242</v>
      </c>
      <c r="C182" s="37" t="s">
        <v>208</v>
      </c>
      <c r="D182" s="37" t="s">
        <v>226</v>
      </c>
    </row>
    <row r="183" spans="1:4" x14ac:dyDescent="0.2">
      <c r="A183" s="36">
        <v>30225</v>
      </c>
      <c r="B183" s="37" t="s">
        <v>242</v>
      </c>
      <c r="C183" s="37" t="s">
        <v>223</v>
      </c>
      <c r="D183" s="37" t="s">
        <v>207</v>
      </c>
    </row>
    <row r="184" spans="1:4" x14ac:dyDescent="0.2">
      <c r="A184" s="36">
        <v>30286</v>
      </c>
      <c r="B184" s="37" t="s">
        <v>242</v>
      </c>
      <c r="C184" s="37" t="s">
        <v>201</v>
      </c>
      <c r="D184" s="37" t="s">
        <v>213</v>
      </c>
    </row>
    <row r="185" spans="1:4" x14ac:dyDescent="0.2">
      <c r="A185" s="36">
        <v>30286</v>
      </c>
      <c r="B185" s="37" t="s">
        <v>242</v>
      </c>
      <c r="C185" s="37" t="s">
        <v>203</v>
      </c>
      <c r="D185" s="37" t="s">
        <v>214</v>
      </c>
    </row>
    <row r="186" spans="1:4" x14ac:dyDescent="0.2">
      <c r="A186" s="36">
        <v>30286</v>
      </c>
      <c r="B186" s="37" t="s">
        <v>242</v>
      </c>
      <c r="C186" s="37" t="s">
        <v>203</v>
      </c>
      <c r="D186" s="37" t="s">
        <v>230</v>
      </c>
    </row>
    <row r="187" spans="1:4" x14ac:dyDescent="0.2">
      <c r="A187" s="36">
        <v>30348</v>
      </c>
      <c r="B187" s="37" t="s">
        <v>242</v>
      </c>
      <c r="C187" s="37" t="s">
        <v>201</v>
      </c>
      <c r="D187" s="37" t="s">
        <v>202</v>
      </c>
    </row>
    <row r="188" spans="1:4" x14ac:dyDescent="0.2">
      <c r="A188" s="36">
        <v>30407</v>
      </c>
      <c r="B188" s="37" t="s">
        <v>242</v>
      </c>
      <c r="C188" s="37" t="s">
        <v>224</v>
      </c>
      <c r="D188" s="37" t="s">
        <v>225</v>
      </c>
    </row>
    <row r="189" spans="1:4" x14ac:dyDescent="0.2">
      <c r="A189" s="36">
        <v>30407</v>
      </c>
      <c r="B189" s="37" t="s">
        <v>242</v>
      </c>
      <c r="C189" s="37" t="s">
        <v>201</v>
      </c>
      <c r="D189" s="37" t="s">
        <v>216</v>
      </c>
    </row>
    <row r="190" spans="1:4" x14ac:dyDescent="0.2">
      <c r="A190" s="36">
        <v>30437</v>
      </c>
      <c r="B190" s="37" t="s">
        <v>242</v>
      </c>
      <c r="C190" s="37" t="s">
        <v>203</v>
      </c>
      <c r="D190" s="37" t="s">
        <v>204</v>
      </c>
    </row>
    <row r="191" spans="1:4" x14ac:dyDescent="0.2">
      <c r="A191" s="36">
        <v>30437</v>
      </c>
      <c r="B191" s="37" t="s">
        <v>242</v>
      </c>
      <c r="C191" s="37" t="s">
        <v>203</v>
      </c>
      <c r="D191" s="37" t="s">
        <v>230</v>
      </c>
    </row>
    <row r="192" spans="1:4" x14ac:dyDescent="0.2">
      <c r="A192" s="36">
        <v>30103</v>
      </c>
      <c r="B192" s="37" t="s">
        <v>243</v>
      </c>
      <c r="C192" s="37" t="b">
        <v>0</v>
      </c>
      <c r="D192" s="37"/>
    </row>
    <row r="193" spans="1:4" x14ac:dyDescent="0.2">
      <c r="A193" s="36">
        <v>30103</v>
      </c>
      <c r="B193" s="37" t="s">
        <v>243</v>
      </c>
      <c r="C193" s="37" t="s">
        <v>223</v>
      </c>
      <c r="D193" s="37" t="s">
        <v>207</v>
      </c>
    </row>
    <row r="194" spans="1:4" x14ac:dyDescent="0.2">
      <c r="A194" s="36">
        <v>30164</v>
      </c>
      <c r="B194" s="37" t="s">
        <v>243</v>
      </c>
      <c r="C194" s="37" t="s">
        <v>208</v>
      </c>
      <c r="D194" s="37" t="s">
        <v>209</v>
      </c>
    </row>
    <row r="195" spans="1:4" x14ac:dyDescent="0.2">
      <c r="A195" s="36">
        <v>30195</v>
      </c>
      <c r="B195" s="37" t="s">
        <v>243</v>
      </c>
      <c r="C195" s="37" t="s">
        <v>210</v>
      </c>
      <c r="D195" s="37" t="s">
        <v>211</v>
      </c>
    </row>
    <row r="196" spans="1:4" x14ac:dyDescent="0.2">
      <c r="A196" s="36">
        <v>30195</v>
      </c>
      <c r="B196" s="37" t="s">
        <v>243</v>
      </c>
      <c r="C196" s="37" t="s">
        <v>244</v>
      </c>
      <c r="D196" s="37" t="s">
        <v>206</v>
      </c>
    </row>
    <row r="197" spans="1:4" x14ac:dyDescent="0.2">
      <c r="A197" s="36">
        <v>30195</v>
      </c>
      <c r="B197" s="37" t="s">
        <v>243</v>
      </c>
      <c r="C197" s="37" t="s">
        <v>201</v>
      </c>
      <c r="D197" s="37" t="s">
        <v>213</v>
      </c>
    </row>
    <row r="198" spans="1:4" x14ac:dyDescent="0.2">
      <c r="A198" s="36">
        <v>30256</v>
      </c>
      <c r="B198" s="37" t="s">
        <v>243</v>
      </c>
      <c r="C198" s="37" t="s">
        <v>203</v>
      </c>
      <c r="D198" s="37" t="s">
        <v>214</v>
      </c>
    </row>
    <row r="199" spans="1:4" x14ac:dyDescent="0.2">
      <c r="A199" s="36">
        <v>30286</v>
      </c>
      <c r="B199" s="37" t="s">
        <v>243</v>
      </c>
      <c r="C199" s="37" t="s">
        <v>223</v>
      </c>
      <c r="D199" s="37" t="s">
        <v>215</v>
      </c>
    </row>
    <row r="200" spans="1:4" x14ac:dyDescent="0.2">
      <c r="A200" s="36">
        <v>30348</v>
      </c>
      <c r="B200" s="37" t="s">
        <v>243</v>
      </c>
      <c r="C200" s="37" t="s">
        <v>223</v>
      </c>
      <c r="D200" s="37" t="s">
        <v>228</v>
      </c>
    </row>
    <row r="201" spans="1:4" x14ac:dyDescent="0.2">
      <c r="A201" s="36">
        <v>30407</v>
      </c>
      <c r="B201" s="37" t="s">
        <v>243</v>
      </c>
      <c r="C201" s="37" t="s">
        <v>208</v>
      </c>
      <c r="D201" s="37" t="s">
        <v>209</v>
      </c>
    </row>
    <row r="202" spans="1:4" x14ac:dyDescent="0.2">
      <c r="A202" s="36">
        <v>30437</v>
      </c>
      <c r="B202" s="37" t="s">
        <v>243</v>
      </c>
      <c r="C202" s="37" t="s">
        <v>201</v>
      </c>
      <c r="D202" s="3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EXO1</vt:lpstr>
      <vt:lpstr>EXO2</vt:lpstr>
      <vt:lpstr>EXO3</vt:lpstr>
      <vt:lpstr>EXO4</vt:lpstr>
      <vt:lpstr>EXO5</vt:lpstr>
      <vt:lpstr>EXO6</vt:lpstr>
      <vt:lpstr>EXO7</vt:lpstr>
      <vt:lpstr>EXO8</vt:lpstr>
    </vt:vector>
  </TitlesOfParts>
  <Company>DAMAGE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FAIGNER Hubert</dc:creator>
  <cp:lastModifiedBy>Stéphane JAUBERT</cp:lastModifiedBy>
  <cp:lastPrinted>2002-01-04T14:33:52Z</cp:lastPrinted>
  <dcterms:created xsi:type="dcterms:W3CDTF">2002-01-04T12:47:53Z</dcterms:created>
  <dcterms:modified xsi:type="dcterms:W3CDTF">2026-01-30T13:00:50Z</dcterms:modified>
</cp:coreProperties>
</file>