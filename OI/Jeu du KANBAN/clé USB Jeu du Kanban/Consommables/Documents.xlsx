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 du KANBAN/clé USB Jeu du Kanban/Consommables/"/>
    </mc:Choice>
  </mc:AlternateContent>
  <xr:revisionPtr revIDLastSave="6" documentId="11_77B6C54FE39E7C3E24E1221787039D3B0B441E73" xr6:coauthVersionLast="47" xr6:coauthVersionMax="47" xr10:uidLastSave="{7B89F87C-970E-446C-A834-B1DA08050A03}"/>
  <bookViews>
    <workbookView xWindow="-120" yWindow="-120" windowWidth="29040" windowHeight="15720" tabRatio="830" xr2:uid="{00000000-000D-0000-FFFF-FFFF00000000}"/>
  </bookViews>
  <sheets>
    <sheet name="Feuille de suivi" sheetId="4" r:id="rId1"/>
    <sheet name="Feuille de suivi verso" sheetId="16" r:id="rId2"/>
    <sheet name="Calcul des besoins" sheetId="10" r:id="rId3"/>
    <sheet name="Calcul des besoins verso" sheetId="11" r:id="rId4"/>
    <sheet name="Résultats" sheetId="9" r:id="rId5"/>
    <sheet name="Résultats verso" sheetId="18" r:id="rId6"/>
    <sheet name="Relevé des progrès" sheetId="21" r:id="rId7"/>
    <sheet name="Variante financière " sheetId="12" r:id="rId8"/>
    <sheet name="Variante financière (verso)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8" l="1"/>
  <c r="F11" i="18"/>
  <c r="F8" i="18"/>
  <c r="F9" i="18"/>
  <c r="F12" i="18"/>
  <c r="K16" i="18" s="1"/>
  <c r="F10" i="18"/>
  <c r="F7" i="18"/>
  <c r="H51" i="16"/>
  <c r="O51" i="16"/>
  <c r="G4" i="14"/>
  <c r="I4" i="14"/>
  <c r="J8" i="14" s="1"/>
  <c r="G8" i="14"/>
  <c r="I8" i="14"/>
  <c r="G12" i="14"/>
  <c r="I12" i="14"/>
  <c r="J16" i="14" s="1"/>
  <c r="G16" i="14"/>
  <c r="I16" i="14"/>
  <c r="G20" i="14"/>
  <c r="I20" i="14"/>
  <c r="G24" i="14"/>
  <c r="I24" i="14" s="1"/>
  <c r="J24" i="14" s="1"/>
  <c r="J26" i="14" s="1"/>
  <c r="G12" i="12"/>
  <c r="I12" i="12"/>
  <c r="G4" i="12"/>
  <c r="I4" i="12" s="1"/>
  <c r="G20" i="12"/>
  <c r="I20" i="12"/>
  <c r="C5" i="11"/>
  <c r="E5" i="11"/>
  <c r="G5" i="11"/>
  <c r="O5" i="11" s="1"/>
  <c r="I7" i="11"/>
  <c r="K7" i="11"/>
  <c r="M7" i="11"/>
  <c r="O7" i="11" s="1"/>
  <c r="C9" i="11"/>
  <c r="E9" i="11"/>
  <c r="G9" i="11"/>
  <c r="I9" i="11"/>
  <c r="O9" i="11"/>
  <c r="K11" i="11"/>
  <c r="M11" i="11"/>
  <c r="O11" i="11"/>
  <c r="C13" i="11"/>
  <c r="I13" i="11"/>
  <c r="O13" i="11" s="1"/>
  <c r="E20" i="11" s="1"/>
  <c r="C20" i="11" s="1"/>
  <c r="E15" i="11"/>
  <c r="K15" i="11"/>
  <c r="O15" i="11"/>
  <c r="G17" i="11"/>
  <c r="M17" i="11"/>
  <c r="O17" i="11" s="1"/>
</calcChain>
</file>

<file path=xl/sharedStrings.xml><?xml version="1.0" encoding="utf-8"?>
<sst xmlns="http://schemas.openxmlformats.org/spreadsheetml/2006/main" count="419" uniqueCount="115">
  <si>
    <t>Taux de service</t>
  </si>
  <si>
    <t>Reprises - Rebuts</t>
  </si>
  <si>
    <t>Poste</t>
  </si>
  <si>
    <t>OF</t>
  </si>
  <si>
    <t>Réf.</t>
  </si>
  <si>
    <t>Qté.</t>
  </si>
  <si>
    <t>Hres</t>
  </si>
  <si>
    <t>Changt. série</t>
  </si>
  <si>
    <t>R1</t>
  </si>
  <si>
    <t>R2</t>
  </si>
  <si>
    <t>R3</t>
  </si>
  <si>
    <t>R4</t>
  </si>
  <si>
    <t>R5</t>
  </si>
  <si>
    <t>R6</t>
  </si>
  <si>
    <t>p.d.</t>
  </si>
  <si>
    <t>Total pertes</t>
  </si>
  <si>
    <t>Total ruptures</t>
  </si>
  <si>
    <t xml:space="preserve"> Total ventes</t>
  </si>
  <si>
    <t>ruptures de livraison</t>
  </si>
  <si>
    <t>programme</t>
  </si>
  <si>
    <t>blanc</t>
  </si>
  <si>
    <t>jaune</t>
  </si>
  <si>
    <t>12 h</t>
  </si>
  <si>
    <t>6 h</t>
  </si>
  <si>
    <t>8 h</t>
  </si>
  <si>
    <t>hre</t>
  </si>
  <si>
    <t>x</t>
  </si>
  <si>
    <t>Stock</t>
  </si>
  <si>
    <t>Equipe</t>
  </si>
  <si>
    <t>A</t>
  </si>
  <si>
    <t>Fin S1</t>
  </si>
  <si>
    <t>Milieu S2</t>
  </si>
  <si>
    <t>Milieu S3</t>
  </si>
  <si>
    <t>Coût</t>
  </si>
  <si>
    <t>Val.</t>
  </si>
  <si>
    <t>Engr.</t>
  </si>
  <si>
    <t>Cart.</t>
  </si>
  <si>
    <t>Cour. A</t>
  </si>
  <si>
    <t>Cour. B</t>
  </si>
  <si>
    <t>Prod. fin.</t>
  </si>
  <si>
    <t>Efficience</t>
  </si>
  <si>
    <t>% de serv.</t>
  </si>
  <si>
    <t>Mont.</t>
  </si>
  <si>
    <t>S1</t>
  </si>
  <si>
    <t>S2</t>
  </si>
  <si>
    <t>S3</t>
  </si>
  <si>
    <t>S4</t>
  </si>
  <si>
    <t>Progrès : niveau 1 = 1 pt  et   niveau 2 = 2 pts.</t>
  </si>
  <si>
    <t xml:space="preserve">Total </t>
  </si>
  <si>
    <t>Engrenages</t>
  </si>
  <si>
    <t>Carters</t>
  </si>
  <si>
    <t>Montage</t>
  </si>
  <si>
    <t>h.</t>
  </si>
  <si>
    <t>Ch.sér.</t>
  </si>
  <si>
    <t>Incid.</t>
  </si>
  <si>
    <t>total des besoins en pièces</t>
  </si>
  <si>
    <t>rouge</t>
  </si>
  <si>
    <t>vert</t>
  </si>
  <si>
    <t>Couronnes ph. B</t>
  </si>
  <si>
    <t>=</t>
  </si>
  <si>
    <t>+</t>
  </si>
  <si>
    <t>cour.
blanc
ph. A</t>
  </si>
  <si>
    <t>cour.
blanc
ph. B</t>
  </si>
  <si>
    <t>Vente de pièces</t>
  </si>
  <si>
    <t>Dans le jeu</t>
  </si>
  <si>
    <t>CA</t>
  </si>
  <si>
    <t>Coût prod.</t>
  </si>
  <si>
    <t>Facteur d'échelle</t>
  </si>
  <si>
    <t>Coût du stock</t>
  </si>
  <si>
    <t>Taux de détention</t>
  </si>
  <si>
    <t>Avant :</t>
  </si>
  <si>
    <t>Dans la réalité de l'entreprise</t>
  </si>
  <si>
    <t>TAUX DE SERVICE</t>
  </si>
  <si>
    <t>EFFICIENCE</t>
  </si>
  <si>
    <t>STOCKS</t>
  </si>
  <si>
    <t>Gain</t>
  </si>
  <si>
    <t>Total Gains</t>
  </si>
  <si>
    <t>Perte de ventes</t>
  </si>
  <si>
    <t>coeff. de bénéfice</t>
  </si>
  <si>
    <t>perte en bénéfice</t>
  </si>
  <si>
    <t>Perte de production</t>
  </si>
  <si>
    <t>A - B - C</t>
  </si>
  <si>
    <t>moyenne S2 - S3 - S4</t>
  </si>
  <si>
    <t>Milieu S4</t>
  </si>
  <si>
    <t>Engren.</t>
  </si>
  <si>
    <t>Cette feuille est destinée à l'animateur. Elle lui sert à noter de façon confidentielle les décisions des équipes.</t>
  </si>
  <si>
    <t>Ch.sér. (2 pts)</t>
  </si>
  <si>
    <t>Incident</t>
  </si>
  <si>
    <t>Arrêt planning</t>
  </si>
  <si>
    <t>Pertes dues à :</t>
  </si>
  <si>
    <t>Heures d'ouverture</t>
  </si>
  <si>
    <t>Total</t>
  </si>
  <si>
    <t>Sem.</t>
  </si>
  <si>
    <t>Cht. série</t>
  </si>
  <si>
    <t>Référence travaillée</t>
  </si>
  <si>
    <t>Jau.</t>
  </si>
  <si>
    <t>Bl.</t>
  </si>
  <si>
    <t>Important : les besoins en couronnes phase A sont égaux aux besoins en couronnes phase B, sauf pour la couronne phase A blanche qui est également vendue en pièce détachée.</t>
  </si>
  <si>
    <t>Efficience par poste</t>
  </si>
  <si>
    <t>Effic. Usine</t>
  </si>
  <si>
    <t>Actions de progrès</t>
  </si>
  <si>
    <t xml:space="preserve"> S1</t>
  </si>
  <si>
    <t xml:space="preserve"> S2</t>
  </si>
  <si>
    <t xml:space="preserve"> S3</t>
  </si>
  <si>
    <t xml:space="preserve"> S4</t>
  </si>
  <si>
    <t>Progrès : niveau 1 = 1 pt.  et   niveau 2 = 2 pts.</t>
  </si>
  <si>
    <t>Tableau de bord</t>
  </si>
  <si>
    <t>Stocks</t>
  </si>
  <si>
    <t>Heure</t>
  </si>
  <si>
    <t>Equipe A</t>
  </si>
  <si>
    <t>Ch.sér. (2 pts.)</t>
  </si>
  <si>
    <t>Equipe B</t>
  </si>
  <si>
    <t>Equipe C</t>
  </si>
  <si>
    <t>bleu</t>
  </si>
  <si>
    <t>Ventes Produits finis + Couronnes 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</si>
</sst>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pts.&quot;"/>
    <numFmt numFmtId="165" formatCode="#,##0\ &quot;€&quot;"/>
    <numFmt numFmtId="166" formatCode="0&quot; h.&quot;"/>
    <numFmt numFmtId="167" formatCode="#,##0&quot; M€&quot;"/>
    <numFmt numFmtId="168" formatCode="#,##0.0&quot; M€&quot;"/>
  </numFmts>
  <fonts count="23">
    <font>
      <sz val="10"/>
      <name val="Albertus Medium"/>
    </font>
    <font>
      <sz val="10"/>
      <name val="Albertus Medium"/>
    </font>
    <font>
      <sz val="8"/>
      <name val="Albertus Medium"/>
    </font>
    <font>
      <sz val="9"/>
      <name val="Albertus Medium"/>
    </font>
    <font>
      <i/>
      <sz val="10"/>
      <name val="Albertus Medium"/>
      <family val="2"/>
    </font>
    <font>
      <i/>
      <sz val="9"/>
      <name val="Albertus Medium"/>
      <family val="2"/>
    </font>
    <font>
      <i/>
      <sz val="8"/>
      <name val="Albertus Medium"/>
      <family val="2"/>
    </font>
    <font>
      <sz val="9"/>
      <name val="Albertus Medium"/>
      <family val="2"/>
    </font>
    <font>
      <i/>
      <sz val="9"/>
      <name val="Albertus Medium"/>
    </font>
    <font>
      <b/>
      <sz val="11"/>
      <color indexed="12"/>
      <name val="Albertus Medium"/>
      <family val="2"/>
    </font>
    <font>
      <b/>
      <sz val="11"/>
      <color indexed="10"/>
      <name val="Albertus Medium"/>
      <family val="2"/>
    </font>
    <font>
      <b/>
      <sz val="11"/>
      <color indexed="11"/>
      <name val="Albertus Medium"/>
      <family val="2"/>
    </font>
    <font>
      <sz val="10"/>
      <color indexed="10"/>
      <name val="Albertus Medium"/>
    </font>
    <font>
      <b/>
      <sz val="12"/>
      <name val="Albertus Medium"/>
      <family val="2"/>
    </font>
    <font>
      <b/>
      <sz val="10"/>
      <name val="Albertus Medium"/>
      <family val="2"/>
    </font>
    <font>
      <sz val="12"/>
      <name val="Albertus Medium"/>
    </font>
    <font>
      <b/>
      <sz val="12"/>
      <name val="Albertus Medium"/>
    </font>
    <font>
      <sz val="11"/>
      <name val="Albertus Medium"/>
    </font>
    <font>
      <sz val="8"/>
      <name val="Albertus Medium"/>
      <family val="2"/>
    </font>
    <font>
      <sz val="10"/>
      <name val="Albertus Medium"/>
      <family val="2"/>
    </font>
    <font>
      <b/>
      <sz val="10"/>
      <color indexed="12"/>
      <name val="Albertus Medium"/>
      <family val="2"/>
    </font>
    <font>
      <b/>
      <sz val="10"/>
      <color indexed="10"/>
      <name val="Albertus Medium"/>
      <family val="2"/>
    </font>
    <font>
      <b/>
      <sz val="10"/>
      <color indexed="57"/>
      <name val="Albertus Medium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22"/>
      </bottom>
      <diagonal/>
    </border>
    <border>
      <left style="thin">
        <color indexed="64"/>
      </left>
      <right/>
      <top style="dashed">
        <color indexed="22"/>
      </top>
      <bottom style="dashed">
        <color indexed="22"/>
      </bottom>
      <diagonal/>
    </border>
    <border>
      <left style="thin">
        <color indexed="64"/>
      </left>
      <right/>
      <top style="dashed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22"/>
      </bottom>
      <diagonal/>
    </border>
    <border>
      <left style="thin">
        <color indexed="64"/>
      </left>
      <right style="thin">
        <color indexed="64"/>
      </right>
      <top style="dashed">
        <color indexed="22"/>
      </top>
      <bottom style="dashed">
        <color indexed="22"/>
      </bottom>
      <diagonal/>
    </border>
    <border>
      <left style="thin">
        <color indexed="64"/>
      </left>
      <right style="thin">
        <color indexed="64"/>
      </right>
      <top style="dashed">
        <color indexed="22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9" fontId="0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  <xf numFmtId="0" fontId="0" fillId="3" borderId="1" xfId="0" applyFill="1" applyBorder="1" applyAlignment="1">
      <alignment vertical="center"/>
    </xf>
    <xf numFmtId="9" fontId="1" fillId="0" borderId="1" xfId="1" applyBorder="1" applyAlignment="1">
      <alignment horizontal="center" vertical="center"/>
    </xf>
    <xf numFmtId="9" fontId="1" fillId="0" borderId="0" xfId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167" fontId="0" fillId="4" borderId="21" xfId="0" applyNumberFormat="1" applyFill="1" applyBorder="1" applyAlignment="1">
      <alignment horizontal="center" vertical="center"/>
    </xf>
    <xf numFmtId="167" fontId="0" fillId="4" borderId="22" xfId="0" applyNumberFormat="1" applyFill="1" applyBorder="1" applyAlignment="1">
      <alignment horizontal="center" vertical="center"/>
    </xf>
    <xf numFmtId="9" fontId="0" fillId="4" borderId="22" xfId="1" applyFont="1" applyFill="1" applyBorder="1" applyAlignment="1">
      <alignment horizontal="center" vertical="center"/>
    </xf>
    <xf numFmtId="168" fontId="0" fillId="4" borderId="17" xfId="0" applyNumberFormat="1" applyFill="1" applyBorder="1" applyAlignment="1">
      <alignment horizontal="center" vertical="center"/>
    </xf>
    <xf numFmtId="167" fontId="0" fillId="4" borderId="23" xfId="0" applyNumberForma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9" fontId="0" fillId="4" borderId="0" xfId="1" applyFont="1" applyFill="1" applyBorder="1" applyAlignment="1">
      <alignment horizontal="center" vertical="center"/>
    </xf>
    <xf numFmtId="168" fontId="0" fillId="4" borderId="18" xfId="0" applyNumberFormat="1" applyFill="1" applyBorder="1" applyAlignment="1">
      <alignment horizontal="center" vertical="center"/>
    </xf>
    <xf numFmtId="167" fontId="0" fillId="4" borderId="24" xfId="0" applyNumberFormat="1" applyFill="1" applyBorder="1" applyAlignment="1">
      <alignment horizontal="center" vertical="center"/>
    </xf>
    <xf numFmtId="167" fontId="0" fillId="4" borderId="25" xfId="0" applyNumberFormat="1" applyFill="1" applyBorder="1" applyAlignment="1">
      <alignment horizontal="center" vertical="center"/>
    </xf>
    <xf numFmtId="9" fontId="0" fillId="4" borderId="25" xfId="1" applyFont="1" applyFill="1" applyBorder="1" applyAlignment="1">
      <alignment horizontal="center" vertical="center"/>
    </xf>
    <xf numFmtId="168" fontId="0" fillId="4" borderId="16" xfId="0" applyNumberFormat="1" applyFill="1" applyBorder="1" applyAlignment="1">
      <alignment horizontal="center" vertical="center"/>
    </xf>
    <xf numFmtId="0" fontId="5" fillId="0" borderId="26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8" fillId="0" borderId="27" xfId="0" applyFont="1" applyBorder="1" applyAlignment="1">
      <alignment horizontal="left" vertical="center" wrapText="1" indent="8"/>
    </xf>
    <xf numFmtId="0" fontId="18" fillId="0" borderId="28" xfId="0" applyFont="1" applyBorder="1" applyAlignment="1">
      <alignment horizontal="left" vertical="center" wrapText="1" indent="8"/>
    </xf>
    <xf numFmtId="0" fontId="18" fillId="0" borderId="29" xfId="0" applyFont="1" applyBorder="1" applyAlignment="1">
      <alignment horizontal="left" vertical="center" wrapText="1" indent="8"/>
    </xf>
    <xf numFmtId="165" fontId="18" fillId="0" borderId="30" xfId="0" applyNumberFormat="1" applyFont="1" applyBorder="1" applyAlignment="1">
      <alignment horizontal="left" vertical="center" indent="1"/>
    </xf>
    <xf numFmtId="165" fontId="18" fillId="0" borderId="31" xfId="0" applyNumberFormat="1" applyFont="1" applyBorder="1" applyAlignment="1">
      <alignment horizontal="left" vertical="center" indent="1"/>
    </xf>
    <xf numFmtId="165" fontId="18" fillId="0" borderId="32" xfId="0" applyNumberFormat="1" applyFont="1" applyBorder="1" applyAlignment="1">
      <alignment horizontal="left" vertical="center" indent="1"/>
    </xf>
    <xf numFmtId="9" fontId="18" fillId="0" borderId="30" xfId="1" applyFont="1" applyBorder="1" applyAlignment="1">
      <alignment horizontal="left" vertical="center" indent="2"/>
    </xf>
    <xf numFmtId="9" fontId="18" fillId="0" borderId="31" xfId="1" applyFont="1" applyBorder="1" applyAlignment="1">
      <alignment horizontal="left" vertical="center" indent="2"/>
    </xf>
    <xf numFmtId="9" fontId="18" fillId="0" borderId="32" xfId="1" applyFont="1" applyBorder="1" applyAlignment="1">
      <alignment horizontal="left" vertical="center" indent="2"/>
    </xf>
    <xf numFmtId="9" fontId="1" fillId="0" borderId="10" xfId="1" applyBorder="1" applyAlignment="1">
      <alignment horizontal="center" vertical="center"/>
    </xf>
    <xf numFmtId="9" fontId="1" fillId="4" borderId="22" xfId="1" applyFill="1" applyBorder="1" applyAlignment="1">
      <alignment horizontal="center" vertical="center"/>
    </xf>
    <xf numFmtId="9" fontId="1" fillId="4" borderId="0" xfId="1" applyFill="1" applyBorder="1" applyAlignment="1">
      <alignment horizontal="center" vertical="center"/>
    </xf>
    <xf numFmtId="9" fontId="1" fillId="4" borderId="25" xfId="1" applyFill="1" applyBorder="1" applyAlignment="1">
      <alignment horizontal="center" vertical="center"/>
    </xf>
    <xf numFmtId="9" fontId="1" fillId="0" borderId="15" xfId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33" xfId="0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34" xfId="0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right" vertical="center"/>
    </xf>
    <xf numFmtId="0" fontId="2" fillId="0" borderId="22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5" xfId="0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center" textRotation="90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0" fillId="0" borderId="42" xfId="0" applyBorder="1" applyAlignment="1">
      <alignment horizontal="center" vertical="center" textRotation="90"/>
    </xf>
    <xf numFmtId="1" fontId="0" fillId="0" borderId="39" xfId="0" applyNumberForma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0" fontId="8" fillId="0" borderId="0" xfId="0" applyFont="1" applyAlignment="1">
      <alignment horizontal="right" vertical="top"/>
    </xf>
    <xf numFmtId="0" fontId="1" fillId="0" borderId="14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8" xfId="0" applyFont="1" applyBorder="1" applyAlignment="1">
      <alignment horizontal="center" textRotation="90"/>
    </xf>
    <xf numFmtId="0" fontId="1" fillId="0" borderId="12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6" xfId="0" applyFont="1" applyBorder="1" applyAlignment="1">
      <alignment horizontal="center" textRotation="90"/>
    </xf>
    <xf numFmtId="0" fontId="1" fillId="0" borderId="13" xfId="0" applyFont="1" applyBorder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textRotation="90"/>
    </xf>
    <xf numFmtId="0" fontId="0" fillId="0" borderId="4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166" fontId="0" fillId="0" borderId="40" xfId="0" applyNumberForma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8" fillId="0" borderId="42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42" xfId="0" applyFont="1" applyBorder="1" applyAlignment="1">
      <alignment horizontal="right" vertical="center" wrapText="1"/>
    </xf>
    <xf numFmtId="166" fontId="0" fillId="0" borderId="5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9" fontId="0" fillId="0" borderId="39" xfId="1" applyFont="1" applyBorder="1" applyAlignment="1">
      <alignment horizontal="center" vertical="center"/>
    </xf>
    <xf numFmtId="9" fontId="0" fillId="0" borderId="40" xfId="1" applyFont="1" applyBorder="1" applyAlignment="1">
      <alignment horizontal="center" vertical="center"/>
    </xf>
    <xf numFmtId="9" fontId="0" fillId="0" borderId="34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 textRotation="90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5" fillId="0" borderId="20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45</xdr:row>
      <xdr:rowOff>22860</xdr:rowOff>
    </xdr:from>
    <xdr:to>
      <xdr:col>18</xdr:col>
      <xdr:colOff>266700</xdr:colOff>
      <xdr:row>45</xdr:row>
      <xdr:rowOff>137160</xdr:rowOff>
    </xdr:to>
    <xdr:sp macro="" textlink="">
      <xdr:nvSpPr>
        <xdr:cNvPr id="1051" name="AutoShape 8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/>
        </xdr:cNvSpPr>
      </xdr:nvSpPr>
      <xdr:spPr bwMode="auto">
        <a:xfrm rot="-5400000">
          <a:off x="4629150" y="6678930"/>
          <a:ext cx="114300" cy="2103120"/>
        </a:xfrm>
        <a:prstGeom prst="leftBrace">
          <a:avLst>
            <a:gd name="adj1" fmla="val 153333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175260</xdr:colOff>
      <xdr:row>49</xdr:row>
      <xdr:rowOff>30480</xdr:rowOff>
    </xdr:from>
    <xdr:to>
      <xdr:col>15</xdr:col>
      <xdr:colOff>175260</xdr:colOff>
      <xdr:row>49</xdr:row>
      <xdr:rowOff>190500</xdr:rowOff>
    </xdr:to>
    <xdr:sp macro="" textlink="">
      <xdr:nvSpPr>
        <xdr:cNvPr id="1052" name="Line 1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ShapeType="1"/>
        </xdr:cNvSpPr>
      </xdr:nvSpPr>
      <xdr:spPr bwMode="auto">
        <a:xfrm>
          <a:off x="4640580" y="8488680"/>
          <a:ext cx="0" cy="9906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175260</xdr:colOff>
      <xdr:row>47</xdr:row>
      <xdr:rowOff>0</xdr:rowOff>
    </xdr:from>
    <xdr:to>
      <xdr:col>15</xdr:col>
      <xdr:colOff>175260</xdr:colOff>
      <xdr:row>48</xdr:row>
      <xdr:rowOff>0</xdr:rowOff>
    </xdr:to>
    <xdr:sp macro="" textlink="">
      <xdr:nvSpPr>
        <xdr:cNvPr id="1053" name="Line 13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ShapeType="1"/>
        </xdr:cNvSpPr>
      </xdr:nvSpPr>
      <xdr:spPr bwMode="auto">
        <a:xfrm>
          <a:off x="4640580" y="807720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45</xdr:row>
      <xdr:rowOff>22860</xdr:rowOff>
    </xdr:from>
    <xdr:to>
      <xdr:col>9</xdr:col>
      <xdr:colOff>289560</xdr:colOff>
      <xdr:row>45</xdr:row>
      <xdr:rowOff>144780</xdr:rowOff>
    </xdr:to>
    <xdr:sp macro="" textlink="">
      <xdr:nvSpPr>
        <xdr:cNvPr id="1054" name="AutoShape 18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/>
        </xdr:cNvSpPr>
      </xdr:nvSpPr>
      <xdr:spPr bwMode="auto">
        <a:xfrm rot="-5400000">
          <a:off x="2533650" y="7265670"/>
          <a:ext cx="121920" cy="937260"/>
        </a:xfrm>
        <a:prstGeom prst="leftBrace">
          <a:avLst>
            <a:gd name="adj1" fmla="val 64063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144780</xdr:colOff>
      <xdr:row>47</xdr:row>
      <xdr:rowOff>7620</xdr:rowOff>
    </xdr:from>
    <xdr:to>
      <xdr:col>8</xdr:col>
      <xdr:colOff>144780</xdr:colOff>
      <xdr:row>48</xdr:row>
      <xdr:rowOff>7620</xdr:rowOff>
    </xdr:to>
    <xdr:sp macro="" textlink="">
      <xdr:nvSpPr>
        <xdr:cNvPr id="1055" name="Line 19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ShapeType="1"/>
        </xdr:cNvSpPr>
      </xdr:nvSpPr>
      <xdr:spPr bwMode="auto">
        <a:xfrm>
          <a:off x="2598420" y="808482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144780</xdr:colOff>
      <xdr:row>49</xdr:row>
      <xdr:rowOff>22860</xdr:rowOff>
    </xdr:from>
    <xdr:to>
      <xdr:col>8</xdr:col>
      <xdr:colOff>144780</xdr:colOff>
      <xdr:row>49</xdr:row>
      <xdr:rowOff>129540</xdr:rowOff>
    </xdr:to>
    <xdr:sp macro="" textlink="">
      <xdr:nvSpPr>
        <xdr:cNvPr id="1056" name="Line 20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ShapeType="1"/>
        </xdr:cNvSpPr>
      </xdr:nvSpPr>
      <xdr:spPr bwMode="auto">
        <a:xfrm>
          <a:off x="2598420" y="8481060"/>
          <a:ext cx="0" cy="10668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45</xdr:row>
      <xdr:rowOff>22860</xdr:rowOff>
    </xdr:from>
    <xdr:to>
      <xdr:col>18</xdr:col>
      <xdr:colOff>266700</xdr:colOff>
      <xdr:row>45</xdr:row>
      <xdr:rowOff>137160</xdr:rowOff>
    </xdr:to>
    <xdr:sp macro="" textlink="">
      <xdr:nvSpPr>
        <xdr:cNvPr id="23628" name="AutoShape 1">
          <a:extLst>
            <a:ext uri="{FF2B5EF4-FFF2-40B4-BE49-F238E27FC236}">
              <a16:creationId xmlns:a16="http://schemas.microsoft.com/office/drawing/2014/main" id="{00000000-0008-0000-0100-00004C5C0000}"/>
            </a:ext>
          </a:extLst>
        </xdr:cNvPr>
        <xdr:cNvSpPr>
          <a:spLocks/>
        </xdr:cNvSpPr>
      </xdr:nvSpPr>
      <xdr:spPr bwMode="auto">
        <a:xfrm rot="-5400000">
          <a:off x="4568190" y="6709410"/>
          <a:ext cx="114300" cy="2042160"/>
        </a:xfrm>
        <a:prstGeom prst="leftBrace">
          <a:avLst>
            <a:gd name="adj1" fmla="val 148889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175260</xdr:colOff>
      <xdr:row>49</xdr:row>
      <xdr:rowOff>30480</xdr:rowOff>
    </xdr:from>
    <xdr:to>
      <xdr:col>15</xdr:col>
      <xdr:colOff>175260</xdr:colOff>
      <xdr:row>49</xdr:row>
      <xdr:rowOff>190500</xdr:rowOff>
    </xdr:to>
    <xdr:sp macro="" textlink="">
      <xdr:nvSpPr>
        <xdr:cNvPr id="23629" name="Line 2">
          <a:extLst>
            <a:ext uri="{FF2B5EF4-FFF2-40B4-BE49-F238E27FC236}">
              <a16:creationId xmlns:a16="http://schemas.microsoft.com/office/drawing/2014/main" id="{00000000-0008-0000-0100-00004D5C0000}"/>
            </a:ext>
          </a:extLst>
        </xdr:cNvPr>
        <xdr:cNvSpPr>
          <a:spLocks noChangeShapeType="1"/>
        </xdr:cNvSpPr>
      </xdr:nvSpPr>
      <xdr:spPr bwMode="auto">
        <a:xfrm>
          <a:off x="4610100" y="8488680"/>
          <a:ext cx="0" cy="9906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175260</xdr:colOff>
      <xdr:row>47</xdr:row>
      <xdr:rowOff>0</xdr:rowOff>
    </xdr:from>
    <xdr:to>
      <xdr:col>15</xdr:col>
      <xdr:colOff>175260</xdr:colOff>
      <xdr:row>48</xdr:row>
      <xdr:rowOff>0</xdr:rowOff>
    </xdr:to>
    <xdr:sp macro="" textlink="">
      <xdr:nvSpPr>
        <xdr:cNvPr id="23630" name="Line 3">
          <a:extLst>
            <a:ext uri="{FF2B5EF4-FFF2-40B4-BE49-F238E27FC236}">
              <a16:creationId xmlns:a16="http://schemas.microsoft.com/office/drawing/2014/main" id="{00000000-0008-0000-0100-00004E5C0000}"/>
            </a:ext>
          </a:extLst>
        </xdr:cNvPr>
        <xdr:cNvSpPr>
          <a:spLocks noChangeShapeType="1"/>
        </xdr:cNvSpPr>
      </xdr:nvSpPr>
      <xdr:spPr bwMode="auto">
        <a:xfrm>
          <a:off x="4610100" y="807720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45</xdr:row>
      <xdr:rowOff>22860</xdr:rowOff>
    </xdr:from>
    <xdr:to>
      <xdr:col>9</xdr:col>
      <xdr:colOff>289560</xdr:colOff>
      <xdr:row>45</xdr:row>
      <xdr:rowOff>144780</xdr:rowOff>
    </xdr:to>
    <xdr:sp macro="" textlink="">
      <xdr:nvSpPr>
        <xdr:cNvPr id="23631" name="AutoShape 4">
          <a:extLst>
            <a:ext uri="{FF2B5EF4-FFF2-40B4-BE49-F238E27FC236}">
              <a16:creationId xmlns:a16="http://schemas.microsoft.com/office/drawing/2014/main" id="{00000000-0008-0000-0100-00004F5C0000}"/>
            </a:ext>
          </a:extLst>
        </xdr:cNvPr>
        <xdr:cNvSpPr>
          <a:spLocks/>
        </xdr:cNvSpPr>
      </xdr:nvSpPr>
      <xdr:spPr bwMode="auto">
        <a:xfrm rot="-5400000">
          <a:off x="2533650" y="7265670"/>
          <a:ext cx="121920" cy="937260"/>
        </a:xfrm>
        <a:prstGeom prst="leftBrace">
          <a:avLst>
            <a:gd name="adj1" fmla="val 64063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144780</xdr:colOff>
      <xdr:row>47</xdr:row>
      <xdr:rowOff>7620</xdr:rowOff>
    </xdr:from>
    <xdr:to>
      <xdr:col>8</xdr:col>
      <xdr:colOff>144780</xdr:colOff>
      <xdr:row>48</xdr:row>
      <xdr:rowOff>7620</xdr:rowOff>
    </xdr:to>
    <xdr:sp macro="" textlink="">
      <xdr:nvSpPr>
        <xdr:cNvPr id="23632" name="Line 5">
          <a:extLst>
            <a:ext uri="{FF2B5EF4-FFF2-40B4-BE49-F238E27FC236}">
              <a16:creationId xmlns:a16="http://schemas.microsoft.com/office/drawing/2014/main" id="{00000000-0008-0000-0100-0000505C0000}"/>
            </a:ext>
          </a:extLst>
        </xdr:cNvPr>
        <xdr:cNvSpPr>
          <a:spLocks noChangeShapeType="1"/>
        </xdr:cNvSpPr>
      </xdr:nvSpPr>
      <xdr:spPr bwMode="auto">
        <a:xfrm>
          <a:off x="2598420" y="808482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144780</xdr:colOff>
      <xdr:row>49</xdr:row>
      <xdr:rowOff>22860</xdr:rowOff>
    </xdr:from>
    <xdr:to>
      <xdr:col>8</xdr:col>
      <xdr:colOff>144780</xdr:colOff>
      <xdr:row>49</xdr:row>
      <xdr:rowOff>129540</xdr:rowOff>
    </xdr:to>
    <xdr:sp macro="" textlink="">
      <xdr:nvSpPr>
        <xdr:cNvPr id="23633" name="Line 6">
          <a:extLst>
            <a:ext uri="{FF2B5EF4-FFF2-40B4-BE49-F238E27FC236}">
              <a16:creationId xmlns:a16="http://schemas.microsoft.com/office/drawing/2014/main" id="{00000000-0008-0000-0100-0000515C0000}"/>
            </a:ext>
          </a:extLst>
        </xdr:cNvPr>
        <xdr:cNvSpPr>
          <a:spLocks noChangeShapeType="1"/>
        </xdr:cNvSpPr>
      </xdr:nvSpPr>
      <xdr:spPr bwMode="auto">
        <a:xfrm>
          <a:off x="2598420" y="8481060"/>
          <a:ext cx="0" cy="10668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123825</xdr:colOff>
      <xdr:row>5</xdr:row>
      <xdr:rowOff>95250</xdr:rowOff>
    </xdr:from>
    <xdr:to>
      <xdr:col>18</xdr:col>
      <xdr:colOff>160042</xdr:colOff>
      <xdr:row>8</xdr:row>
      <xdr:rowOff>57150</xdr:rowOff>
    </xdr:to>
    <xdr:sp macro="" textlink="">
      <xdr:nvSpPr>
        <xdr:cNvPr id="23560" name="Rectangle 8">
          <a:extLst>
            <a:ext uri="{FF2B5EF4-FFF2-40B4-BE49-F238E27FC236}">
              <a16:creationId xmlns:a16="http://schemas.microsoft.com/office/drawing/2014/main" id="{00000000-0008-0000-0100-0000085C0000}"/>
            </a:ext>
          </a:extLst>
        </xdr:cNvPr>
        <xdr:cNvSpPr>
          <a:spLocks noChangeArrowheads="1"/>
        </xdr:cNvSpPr>
      </xdr:nvSpPr>
      <xdr:spPr bwMode="auto">
        <a:xfrm>
          <a:off x="4457700" y="952500"/>
          <a:ext cx="942975" cy="50482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vos ordres de fabrication (OF)</a:t>
          </a:r>
        </a:p>
      </xdr:txBody>
    </xdr:sp>
    <xdr:clientData/>
  </xdr:twoCellAnchor>
  <xdr:twoCellAnchor>
    <xdr:from>
      <xdr:col>15</xdr:col>
      <xdr:colOff>7620</xdr:colOff>
      <xdr:row>3</xdr:row>
      <xdr:rowOff>152400</xdr:rowOff>
    </xdr:from>
    <xdr:to>
      <xdr:col>15</xdr:col>
      <xdr:colOff>289560</xdr:colOff>
      <xdr:row>5</xdr:row>
      <xdr:rowOff>38100</xdr:rowOff>
    </xdr:to>
    <xdr:sp macro="" textlink="">
      <xdr:nvSpPr>
        <xdr:cNvPr id="23635" name="Oval 9">
          <a:extLst>
            <a:ext uri="{FF2B5EF4-FFF2-40B4-BE49-F238E27FC236}">
              <a16:creationId xmlns:a16="http://schemas.microsoft.com/office/drawing/2014/main" id="{00000000-0008-0000-0100-0000535C0000}"/>
            </a:ext>
          </a:extLst>
        </xdr:cNvPr>
        <xdr:cNvSpPr>
          <a:spLocks noChangeArrowheads="1"/>
        </xdr:cNvSpPr>
      </xdr:nvSpPr>
      <xdr:spPr bwMode="auto">
        <a:xfrm>
          <a:off x="4442460" y="632460"/>
          <a:ext cx="281940" cy="2362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312420</xdr:colOff>
      <xdr:row>0</xdr:row>
      <xdr:rowOff>53340</xdr:rowOff>
    </xdr:from>
    <xdr:to>
      <xdr:col>5</xdr:col>
      <xdr:colOff>22860</xdr:colOff>
      <xdr:row>2</xdr:row>
      <xdr:rowOff>0</xdr:rowOff>
    </xdr:to>
    <xdr:sp macro="" textlink="">
      <xdr:nvSpPr>
        <xdr:cNvPr id="23636" name="Oval 10">
          <a:extLst>
            <a:ext uri="{FF2B5EF4-FFF2-40B4-BE49-F238E27FC236}">
              <a16:creationId xmlns:a16="http://schemas.microsoft.com/office/drawing/2014/main" id="{00000000-0008-0000-0100-0000545C0000}"/>
            </a:ext>
          </a:extLst>
        </xdr:cNvPr>
        <xdr:cNvSpPr>
          <a:spLocks noChangeArrowheads="1"/>
        </xdr:cNvSpPr>
      </xdr:nvSpPr>
      <xdr:spPr bwMode="auto">
        <a:xfrm>
          <a:off x="525780" y="53340"/>
          <a:ext cx="99060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297180</xdr:colOff>
      <xdr:row>0</xdr:row>
      <xdr:rowOff>53340</xdr:rowOff>
    </xdr:from>
    <xdr:to>
      <xdr:col>8</xdr:col>
      <xdr:colOff>30480</xdr:colOff>
      <xdr:row>2</xdr:row>
      <xdr:rowOff>0</xdr:rowOff>
    </xdr:to>
    <xdr:sp macro="" textlink="">
      <xdr:nvSpPr>
        <xdr:cNvPr id="23637" name="Oval 11">
          <a:extLst>
            <a:ext uri="{FF2B5EF4-FFF2-40B4-BE49-F238E27FC236}">
              <a16:creationId xmlns:a16="http://schemas.microsoft.com/office/drawing/2014/main" id="{00000000-0008-0000-0100-0000555C0000}"/>
            </a:ext>
          </a:extLst>
        </xdr:cNvPr>
        <xdr:cNvSpPr>
          <a:spLocks noChangeArrowheads="1"/>
        </xdr:cNvSpPr>
      </xdr:nvSpPr>
      <xdr:spPr bwMode="auto">
        <a:xfrm>
          <a:off x="2110740" y="53340"/>
          <a:ext cx="37338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</xdr:row>
      <xdr:rowOff>0</xdr:rowOff>
    </xdr:from>
    <xdr:to>
      <xdr:col>13</xdr:col>
      <xdr:colOff>0</xdr:colOff>
      <xdr:row>2</xdr:row>
      <xdr:rowOff>7620</xdr:rowOff>
    </xdr:to>
    <xdr:sp macro="" textlink="">
      <xdr:nvSpPr>
        <xdr:cNvPr id="23638" name="Oval 12">
          <a:extLst>
            <a:ext uri="{FF2B5EF4-FFF2-40B4-BE49-F238E27FC236}">
              <a16:creationId xmlns:a16="http://schemas.microsoft.com/office/drawing/2014/main" id="{00000000-0008-0000-0100-0000565C0000}"/>
            </a:ext>
          </a:extLst>
        </xdr:cNvPr>
        <xdr:cNvSpPr>
          <a:spLocks noChangeArrowheads="1"/>
        </xdr:cNvSpPr>
      </xdr:nvSpPr>
      <xdr:spPr bwMode="auto">
        <a:xfrm>
          <a:off x="3413760" y="60960"/>
          <a:ext cx="42672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247650</xdr:colOff>
      <xdr:row>22</xdr:row>
      <xdr:rowOff>123825</xdr:rowOff>
    </xdr:from>
    <xdr:to>
      <xdr:col>15</xdr:col>
      <xdr:colOff>217167</xdr:colOff>
      <xdr:row>27</xdr:row>
      <xdr:rowOff>133350</xdr:rowOff>
    </xdr:to>
    <xdr:sp macro="" textlink="">
      <xdr:nvSpPr>
        <xdr:cNvPr id="23565" name="AutoShape 13">
          <a:extLst>
            <a:ext uri="{FF2B5EF4-FFF2-40B4-BE49-F238E27FC236}">
              <a16:creationId xmlns:a16="http://schemas.microsoft.com/office/drawing/2014/main" id="{00000000-0008-0000-0100-00000D5C0000}"/>
            </a:ext>
          </a:extLst>
        </xdr:cNvPr>
        <xdr:cNvSpPr>
          <a:spLocks/>
        </xdr:cNvSpPr>
      </xdr:nvSpPr>
      <xdr:spPr bwMode="auto">
        <a:xfrm>
          <a:off x="3286125" y="3810000"/>
          <a:ext cx="1257300" cy="819150"/>
        </a:xfrm>
        <a:prstGeom prst="borderCallout2">
          <a:avLst>
            <a:gd name="adj1" fmla="val 13954"/>
            <a:gd name="adj2" fmla="val 106060"/>
            <a:gd name="adj3" fmla="val 13954"/>
            <a:gd name="adj4" fmla="val 106060"/>
            <a:gd name="adj5" fmla="val -32560"/>
            <a:gd name="adj6" fmla="val 136366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le nombre de produits en retard :  1 R6 en retard de livraison pendant 2 heures</a:t>
          </a:r>
        </a:p>
      </xdr:txBody>
    </xdr:sp>
    <xdr:clientData/>
  </xdr:twoCellAnchor>
  <xdr:twoCellAnchor>
    <xdr:from>
      <xdr:col>7</xdr:col>
      <xdr:colOff>169545</xdr:colOff>
      <xdr:row>2</xdr:row>
      <xdr:rowOff>57150</xdr:rowOff>
    </xdr:from>
    <xdr:to>
      <xdr:col>10</xdr:col>
      <xdr:colOff>171440</xdr:colOff>
      <xdr:row>5</xdr:row>
      <xdr:rowOff>19050</xdr:rowOff>
    </xdr:to>
    <xdr:sp macro="" textlink="">
      <xdr:nvSpPr>
        <xdr:cNvPr id="23566" name="AutoShape 14">
          <a:extLst>
            <a:ext uri="{FF2B5EF4-FFF2-40B4-BE49-F238E27FC236}">
              <a16:creationId xmlns:a16="http://schemas.microsoft.com/office/drawing/2014/main" id="{00000000-0008-0000-0100-00000E5C0000}"/>
            </a:ext>
          </a:extLst>
        </xdr:cNvPr>
        <xdr:cNvSpPr>
          <a:spLocks/>
        </xdr:cNvSpPr>
      </xdr:nvSpPr>
      <xdr:spPr bwMode="auto">
        <a:xfrm>
          <a:off x="2257425" y="371475"/>
          <a:ext cx="952500" cy="504825"/>
        </a:xfrm>
        <a:prstGeom prst="borderCallout2">
          <a:avLst>
            <a:gd name="adj1" fmla="val 22644"/>
            <a:gd name="adj2" fmla="val 108000"/>
            <a:gd name="adj3" fmla="val 22644"/>
            <a:gd name="adj4" fmla="val 108000"/>
            <a:gd name="adj5" fmla="val -9435"/>
            <a:gd name="adj6" fmla="val 128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Temps de changement de série du poste</a:t>
          </a:r>
        </a:p>
      </xdr:txBody>
    </xdr:sp>
    <xdr:clientData/>
  </xdr:twoCellAnchor>
  <xdr:twoCellAnchor>
    <xdr:from>
      <xdr:col>3</xdr:col>
      <xdr:colOff>28575</xdr:colOff>
      <xdr:row>27</xdr:row>
      <xdr:rowOff>76200</xdr:rowOff>
    </xdr:from>
    <xdr:to>
      <xdr:col>6</xdr:col>
      <xdr:colOff>131468</xdr:colOff>
      <xdr:row>30</xdr:row>
      <xdr:rowOff>0</xdr:rowOff>
    </xdr:to>
    <xdr:sp macro="" textlink="">
      <xdr:nvSpPr>
        <xdr:cNvPr id="23567" name="AutoShape 15">
          <a:extLst>
            <a:ext uri="{FF2B5EF4-FFF2-40B4-BE49-F238E27FC236}">
              <a16:creationId xmlns:a16="http://schemas.microsoft.com/office/drawing/2014/main" id="{00000000-0008-0000-0100-00000F5C0000}"/>
            </a:ext>
          </a:extLst>
        </xdr:cNvPr>
        <xdr:cNvSpPr>
          <a:spLocks/>
        </xdr:cNvSpPr>
      </xdr:nvSpPr>
      <xdr:spPr bwMode="auto">
        <a:xfrm>
          <a:off x="866775" y="4572000"/>
          <a:ext cx="1038225" cy="409575"/>
        </a:xfrm>
        <a:prstGeom prst="borderCallout2">
          <a:avLst>
            <a:gd name="adj1" fmla="val 27907"/>
            <a:gd name="adj2" fmla="val 107338"/>
            <a:gd name="adj3" fmla="val 27907"/>
            <a:gd name="adj4" fmla="val 107338"/>
            <a:gd name="adj5" fmla="val -200000"/>
            <a:gd name="adj6" fmla="val 131194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les arrêts suivant leur cause</a:t>
          </a:r>
        </a:p>
      </xdr:txBody>
    </xdr:sp>
    <xdr:clientData/>
  </xdr:twoCellAnchor>
  <xdr:twoCellAnchor>
    <xdr:from>
      <xdr:col>5</xdr:col>
      <xdr:colOff>26670</xdr:colOff>
      <xdr:row>33</xdr:row>
      <xdr:rowOff>114300</xdr:rowOff>
    </xdr:from>
    <xdr:to>
      <xdr:col>8</xdr:col>
      <xdr:colOff>76233</xdr:colOff>
      <xdr:row>36</xdr:row>
      <xdr:rowOff>152400</xdr:rowOff>
    </xdr:to>
    <xdr:sp macro="" textlink="">
      <xdr:nvSpPr>
        <xdr:cNvPr id="23568" name="AutoShape 16">
          <a:extLst>
            <a:ext uri="{FF2B5EF4-FFF2-40B4-BE49-F238E27FC236}">
              <a16:creationId xmlns:a16="http://schemas.microsoft.com/office/drawing/2014/main" id="{00000000-0008-0000-0100-0000105C0000}"/>
            </a:ext>
          </a:extLst>
        </xdr:cNvPr>
        <xdr:cNvSpPr>
          <a:spLocks/>
        </xdr:cNvSpPr>
      </xdr:nvSpPr>
      <xdr:spPr bwMode="auto">
        <a:xfrm>
          <a:off x="1485900" y="5581650"/>
          <a:ext cx="1000125" cy="523875"/>
        </a:xfrm>
        <a:prstGeom prst="borderCallout2">
          <a:avLst>
            <a:gd name="adj1" fmla="val 21819"/>
            <a:gd name="adj2" fmla="val 107620"/>
            <a:gd name="adj3" fmla="val 21819"/>
            <a:gd name="adj4" fmla="val 107620"/>
            <a:gd name="adj5" fmla="val -232727"/>
            <a:gd name="adj6" fmla="val 13619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 nombre de conteneurs repris ou rebutés</a:t>
          </a:r>
        </a:p>
      </xdr:txBody>
    </xdr:sp>
    <xdr:clientData/>
  </xdr:twoCellAnchor>
  <xdr:twoCellAnchor>
    <xdr:from>
      <xdr:col>0</xdr:col>
      <xdr:colOff>171450</xdr:colOff>
      <xdr:row>44</xdr:row>
      <xdr:rowOff>38100</xdr:rowOff>
    </xdr:from>
    <xdr:to>
      <xdr:col>5</xdr:col>
      <xdr:colOff>293403</xdr:colOff>
      <xdr:row>45</xdr:row>
      <xdr:rowOff>9525</xdr:rowOff>
    </xdr:to>
    <xdr:sp macro="" textlink="">
      <xdr:nvSpPr>
        <xdr:cNvPr id="23571" name="Rectangle 19">
          <a:extLst>
            <a:ext uri="{FF2B5EF4-FFF2-40B4-BE49-F238E27FC236}">
              <a16:creationId xmlns:a16="http://schemas.microsoft.com/office/drawing/2014/main" id="{00000000-0008-0000-0100-0000135C0000}"/>
            </a:ext>
          </a:extLst>
        </xdr:cNvPr>
        <xdr:cNvSpPr>
          <a:spLocks noChangeArrowheads="1"/>
        </xdr:cNvSpPr>
      </xdr:nvSpPr>
      <xdr:spPr bwMode="auto">
        <a:xfrm>
          <a:off x="171450" y="7305675"/>
          <a:ext cx="1581150" cy="23812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lbertus Medium"/>
            </a:rPr>
            <a:t>Faîtes le total par colonne</a:t>
          </a:r>
        </a:p>
      </xdr:txBody>
    </xdr:sp>
    <xdr:clientData/>
  </xdr:twoCellAnchor>
  <xdr:twoCellAnchor>
    <xdr:from>
      <xdr:col>2</xdr:col>
      <xdr:colOff>295275</xdr:colOff>
      <xdr:row>45</xdr:row>
      <xdr:rowOff>123825</xdr:rowOff>
    </xdr:from>
    <xdr:to>
      <xdr:col>5</xdr:col>
      <xdr:colOff>179117</xdr:colOff>
      <xdr:row>47</xdr:row>
      <xdr:rowOff>28575</xdr:rowOff>
    </xdr:to>
    <xdr:sp macro="" textlink="">
      <xdr:nvSpPr>
        <xdr:cNvPr id="23572" name="Rectangle 20">
          <a:extLst>
            <a:ext uri="{FF2B5EF4-FFF2-40B4-BE49-F238E27FC236}">
              <a16:creationId xmlns:a16="http://schemas.microsoft.com/office/drawing/2014/main" id="{00000000-0008-0000-0100-0000145C0000}"/>
            </a:ext>
          </a:extLst>
        </xdr:cNvPr>
        <xdr:cNvSpPr>
          <a:spLocks noChangeArrowheads="1"/>
        </xdr:cNvSpPr>
      </xdr:nvSpPr>
      <xdr:spPr bwMode="auto">
        <a:xfrm>
          <a:off x="819150" y="7658100"/>
          <a:ext cx="819150" cy="33337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lbertus Medium"/>
            </a:rPr>
            <a:t>Total des 3 colonnes</a:t>
          </a:r>
        </a:p>
      </xdr:txBody>
    </xdr:sp>
    <xdr:clientData/>
  </xdr:twoCellAnchor>
  <xdr:twoCellAnchor>
    <xdr:from>
      <xdr:col>2</xdr:col>
      <xdr:colOff>152400</xdr:colOff>
      <xdr:row>5</xdr:row>
      <xdr:rowOff>171450</xdr:rowOff>
    </xdr:from>
    <xdr:to>
      <xdr:col>6</xdr:col>
      <xdr:colOff>28575</xdr:colOff>
      <xdr:row>8</xdr:row>
      <xdr:rowOff>133350</xdr:rowOff>
    </xdr:to>
    <xdr:sp macro="" textlink="">
      <xdr:nvSpPr>
        <xdr:cNvPr id="23573" name="AutoShape 21">
          <a:extLst>
            <a:ext uri="{FF2B5EF4-FFF2-40B4-BE49-F238E27FC236}">
              <a16:creationId xmlns:a16="http://schemas.microsoft.com/office/drawing/2014/main" id="{00000000-0008-0000-0100-0000155C0000}"/>
            </a:ext>
          </a:extLst>
        </xdr:cNvPr>
        <xdr:cNvSpPr>
          <a:spLocks/>
        </xdr:cNvSpPr>
      </xdr:nvSpPr>
      <xdr:spPr bwMode="auto">
        <a:xfrm>
          <a:off x="676275" y="1028700"/>
          <a:ext cx="1133475" cy="504825"/>
        </a:xfrm>
        <a:prstGeom prst="borderCallout2">
          <a:avLst>
            <a:gd name="adj1" fmla="val 22644"/>
            <a:gd name="adj2" fmla="val -6722"/>
            <a:gd name="adj3" fmla="val 22644"/>
            <a:gd name="adj4" fmla="val -6722"/>
            <a:gd name="adj5" fmla="val 150944"/>
            <a:gd name="adj6" fmla="val -25208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les références travaillées sur votre poste</a:t>
          </a:r>
        </a:p>
      </xdr:txBody>
    </xdr:sp>
    <xdr:clientData/>
  </xdr:twoCellAnchor>
  <xdr:twoCellAnchor>
    <xdr:from>
      <xdr:col>3</xdr:col>
      <xdr:colOff>38100</xdr:colOff>
      <xdr:row>12</xdr:row>
      <xdr:rowOff>140970</xdr:rowOff>
    </xdr:from>
    <xdr:to>
      <xdr:col>6</xdr:col>
      <xdr:colOff>95250</xdr:colOff>
      <xdr:row>15</xdr:row>
      <xdr:rowOff>9574</xdr:rowOff>
    </xdr:to>
    <xdr:sp macro="" textlink="">
      <xdr:nvSpPr>
        <xdr:cNvPr id="23574" name="AutoShape 22">
          <a:extLst>
            <a:ext uri="{FF2B5EF4-FFF2-40B4-BE49-F238E27FC236}">
              <a16:creationId xmlns:a16="http://schemas.microsoft.com/office/drawing/2014/main" id="{00000000-0008-0000-0100-0000165C0000}"/>
            </a:ext>
          </a:extLst>
        </xdr:cNvPr>
        <xdr:cNvSpPr>
          <a:spLocks/>
        </xdr:cNvSpPr>
      </xdr:nvSpPr>
      <xdr:spPr bwMode="auto">
        <a:xfrm>
          <a:off x="876300" y="2200275"/>
          <a:ext cx="1000125" cy="361950"/>
        </a:xfrm>
        <a:prstGeom prst="borderCallout2">
          <a:avLst>
            <a:gd name="adj1" fmla="val 31579"/>
            <a:gd name="adj2" fmla="val -7620"/>
            <a:gd name="adj3" fmla="val 31579"/>
            <a:gd name="adj4" fmla="val -7620"/>
            <a:gd name="adj5" fmla="val 126315"/>
            <a:gd name="adj6" fmla="val -39046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la référence travaillée </a:t>
          </a:r>
        </a:p>
      </xdr:txBody>
    </xdr:sp>
    <xdr:clientData/>
  </xdr:twoCellAnchor>
  <xdr:twoCellAnchor>
    <xdr:from>
      <xdr:col>0</xdr:col>
      <xdr:colOff>190500</xdr:colOff>
      <xdr:row>10</xdr:row>
      <xdr:rowOff>60960</xdr:rowOff>
    </xdr:from>
    <xdr:to>
      <xdr:col>3</xdr:col>
      <xdr:colOff>60960</xdr:colOff>
      <xdr:row>12</xdr:row>
      <xdr:rowOff>7620</xdr:rowOff>
    </xdr:to>
    <xdr:sp macro="" textlink="">
      <xdr:nvSpPr>
        <xdr:cNvPr id="23647" name="Oval 23">
          <a:extLst>
            <a:ext uri="{FF2B5EF4-FFF2-40B4-BE49-F238E27FC236}">
              <a16:creationId xmlns:a16="http://schemas.microsoft.com/office/drawing/2014/main" id="{00000000-0008-0000-0100-00005F5C0000}"/>
            </a:ext>
          </a:extLst>
        </xdr:cNvPr>
        <xdr:cNvSpPr>
          <a:spLocks noChangeArrowheads="1"/>
        </xdr:cNvSpPr>
      </xdr:nvSpPr>
      <xdr:spPr bwMode="auto">
        <a:xfrm>
          <a:off x="190500" y="1767840"/>
          <a:ext cx="72390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</xdr:row>
      <xdr:rowOff>144780</xdr:rowOff>
    </xdr:from>
    <xdr:to>
      <xdr:col>1</xdr:col>
      <xdr:colOff>312420</xdr:colOff>
      <xdr:row>16</xdr:row>
      <xdr:rowOff>7620</xdr:rowOff>
    </xdr:to>
    <xdr:sp macro="" textlink="">
      <xdr:nvSpPr>
        <xdr:cNvPr id="23648" name="Oval 24">
          <a:extLst>
            <a:ext uri="{FF2B5EF4-FFF2-40B4-BE49-F238E27FC236}">
              <a16:creationId xmlns:a16="http://schemas.microsoft.com/office/drawing/2014/main" id="{00000000-0008-0000-0100-0000605C0000}"/>
            </a:ext>
          </a:extLst>
        </xdr:cNvPr>
        <xdr:cNvSpPr>
          <a:spLocks noChangeArrowheads="1"/>
        </xdr:cNvSpPr>
      </xdr:nvSpPr>
      <xdr:spPr bwMode="auto">
        <a:xfrm>
          <a:off x="213360" y="2491740"/>
          <a:ext cx="312420" cy="1981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</xdr:colOff>
      <xdr:row>18</xdr:row>
      <xdr:rowOff>152400</xdr:rowOff>
    </xdr:from>
    <xdr:to>
      <xdr:col>7</xdr:col>
      <xdr:colOff>289560</xdr:colOff>
      <xdr:row>22</xdr:row>
      <xdr:rowOff>22860</xdr:rowOff>
    </xdr:to>
    <xdr:sp macro="" textlink="">
      <xdr:nvSpPr>
        <xdr:cNvPr id="23649" name="Oval 25">
          <a:extLst>
            <a:ext uri="{FF2B5EF4-FFF2-40B4-BE49-F238E27FC236}">
              <a16:creationId xmlns:a16="http://schemas.microsoft.com/office/drawing/2014/main" id="{00000000-0008-0000-0100-0000615C0000}"/>
            </a:ext>
          </a:extLst>
        </xdr:cNvPr>
        <xdr:cNvSpPr>
          <a:spLocks noChangeArrowheads="1"/>
        </xdr:cNvSpPr>
      </xdr:nvSpPr>
      <xdr:spPr bwMode="auto">
        <a:xfrm>
          <a:off x="2156460" y="3169920"/>
          <a:ext cx="266700" cy="5410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22860</xdr:colOff>
      <xdr:row>24</xdr:row>
      <xdr:rowOff>152400</xdr:rowOff>
    </xdr:from>
    <xdr:to>
      <xdr:col>10</xdr:col>
      <xdr:colOff>7620</xdr:colOff>
      <xdr:row>26</xdr:row>
      <xdr:rowOff>22860</xdr:rowOff>
    </xdr:to>
    <xdr:sp macro="" textlink="">
      <xdr:nvSpPr>
        <xdr:cNvPr id="23650" name="Oval 26">
          <a:extLst>
            <a:ext uri="{FF2B5EF4-FFF2-40B4-BE49-F238E27FC236}">
              <a16:creationId xmlns:a16="http://schemas.microsoft.com/office/drawing/2014/main" id="{00000000-0008-0000-0100-0000625C0000}"/>
            </a:ext>
          </a:extLst>
        </xdr:cNvPr>
        <xdr:cNvSpPr>
          <a:spLocks noChangeArrowheads="1"/>
        </xdr:cNvSpPr>
      </xdr:nvSpPr>
      <xdr:spPr bwMode="auto">
        <a:xfrm>
          <a:off x="2796540" y="4175760"/>
          <a:ext cx="30480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20</xdr:row>
      <xdr:rowOff>0</xdr:rowOff>
    </xdr:from>
    <xdr:to>
      <xdr:col>18</xdr:col>
      <xdr:colOff>7620</xdr:colOff>
      <xdr:row>22</xdr:row>
      <xdr:rowOff>38100</xdr:rowOff>
    </xdr:to>
    <xdr:sp macro="" textlink="">
      <xdr:nvSpPr>
        <xdr:cNvPr id="23651" name="Oval 27">
          <a:extLst>
            <a:ext uri="{FF2B5EF4-FFF2-40B4-BE49-F238E27FC236}">
              <a16:creationId xmlns:a16="http://schemas.microsoft.com/office/drawing/2014/main" id="{00000000-0008-0000-0100-0000635C0000}"/>
            </a:ext>
          </a:extLst>
        </xdr:cNvPr>
        <xdr:cNvSpPr>
          <a:spLocks noChangeArrowheads="1"/>
        </xdr:cNvSpPr>
      </xdr:nvSpPr>
      <xdr:spPr bwMode="auto">
        <a:xfrm>
          <a:off x="5120640" y="3352800"/>
          <a:ext cx="266700" cy="37338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</xdr:colOff>
      <xdr:row>38</xdr:row>
      <xdr:rowOff>0</xdr:rowOff>
    </xdr:from>
    <xdr:to>
      <xdr:col>7</xdr:col>
      <xdr:colOff>236204</xdr:colOff>
      <xdr:row>41</xdr:row>
      <xdr:rowOff>38100</xdr:rowOff>
    </xdr:to>
    <xdr:sp macro="" textlink="">
      <xdr:nvSpPr>
        <xdr:cNvPr id="23580" name="AutoShape 28">
          <a:extLst>
            <a:ext uri="{FF2B5EF4-FFF2-40B4-BE49-F238E27FC236}">
              <a16:creationId xmlns:a16="http://schemas.microsoft.com/office/drawing/2014/main" id="{00000000-0008-0000-0100-00001C5C0000}"/>
            </a:ext>
          </a:extLst>
        </xdr:cNvPr>
        <xdr:cNvSpPr>
          <a:spLocks/>
        </xdr:cNvSpPr>
      </xdr:nvSpPr>
      <xdr:spPr bwMode="auto">
        <a:xfrm>
          <a:off x="1162050" y="6276975"/>
          <a:ext cx="1162050" cy="523875"/>
        </a:xfrm>
        <a:prstGeom prst="borderCallout2">
          <a:avLst>
            <a:gd name="adj1" fmla="val 21819"/>
            <a:gd name="adj2" fmla="val 106556"/>
            <a:gd name="adj3" fmla="val 21819"/>
            <a:gd name="adj4" fmla="val 106556"/>
            <a:gd name="adj5" fmla="val -40000"/>
            <a:gd name="adj6" fmla="val 166394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quand vous n'avez plus rien à produire</a:t>
          </a:r>
        </a:p>
      </xdr:txBody>
    </xdr:sp>
    <xdr:clientData/>
  </xdr:twoCellAnchor>
  <xdr:twoCellAnchor>
    <xdr:from>
      <xdr:col>10</xdr:col>
      <xdr:colOff>22860</xdr:colOff>
      <xdr:row>35</xdr:row>
      <xdr:rowOff>152400</xdr:rowOff>
    </xdr:from>
    <xdr:to>
      <xdr:col>11</xdr:col>
      <xdr:colOff>7620</xdr:colOff>
      <xdr:row>37</xdr:row>
      <xdr:rowOff>22860</xdr:rowOff>
    </xdr:to>
    <xdr:sp macro="" textlink="">
      <xdr:nvSpPr>
        <xdr:cNvPr id="23653" name="Oval 29">
          <a:extLst>
            <a:ext uri="{FF2B5EF4-FFF2-40B4-BE49-F238E27FC236}">
              <a16:creationId xmlns:a16="http://schemas.microsoft.com/office/drawing/2014/main" id="{00000000-0008-0000-0100-0000655C0000}"/>
            </a:ext>
          </a:extLst>
        </xdr:cNvPr>
        <xdr:cNvSpPr>
          <a:spLocks noChangeArrowheads="1"/>
        </xdr:cNvSpPr>
      </xdr:nvSpPr>
      <xdr:spPr bwMode="auto">
        <a:xfrm>
          <a:off x="3116580" y="6019800"/>
          <a:ext cx="30480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251460</xdr:colOff>
      <xdr:row>46</xdr:row>
      <xdr:rowOff>38100</xdr:rowOff>
    </xdr:from>
    <xdr:to>
      <xdr:col>9</xdr:col>
      <xdr:colOff>76200</xdr:colOff>
      <xdr:row>46</xdr:row>
      <xdr:rowOff>228600</xdr:rowOff>
    </xdr:to>
    <xdr:sp macro="" textlink="">
      <xdr:nvSpPr>
        <xdr:cNvPr id="23654" name="Oval 31">
          <a:extLst>
            <a:ext uri="{FF2B5EF4-FFF2-40B4-BE49-F238E27FC236}">
              <a16:creationId xmlns:a16="http://schemas.microsoft.com/office/drawing/2014/main" id="{00000000-0008-0000-0100-0000665C0000}"/>
            </a:ext>
          </a:extLst>
        </xdr:cNvPr>
        <xdr:cNvSpPr>
          <a:spLocks noChangeArrowheads="1"/>
        </xdr:cNvSpPr>
      </xdr:nvSpPr>
      <xdr:spPr bwMode="auto">
        <a:xfrm>
          <a:off x="2385060" y="7840980"/>
          <a:ext cx="46482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169545</xdr:colOff>
      <xdr:row>49</xdr:row>
      <xdr:rowOff>102870</xdr:rowOff>
    </xdr:from>
    <xdr:to>
      <xdr:col>4</xdr:col>
      <xdr:colOff>150495</xdr:colOff>
      <xdr:row>50</xdr:row>
      <xdr:rowOff>209568</xdr:rowOff>
    </xdr:to>
    <xdr:sp macro="" textlink="">
      <xdr:nvSpPr>
        <xdr:cNvPr id="23585" name="AutoShape 33">
          <a:extLst>
            <a:ext uri="{FF2B5EF4-FFF2-40B4-BE49-F238E27FC236}">
              <a16:creationId xmlns:a16="http://schemas.microsoft.com/office/drawing/2014/main" id="{00000000-0008-0000-0100-0000215C0000}"/>
            </a:ext>
          </a:extLst>
        </xdr:cNvPr>
        <xdr:cNvSpPr>
          <a:spLocks/>
        </xdr:cNvSpPr>
      </xdr:nvSpPr>
      <xdr:spPr bwMode="auto">
        <a:xfrm>
          <a:off x="371475" y="8448675"/>
          <a:ext cx="923925" cy="247650"/>
        </a:xfrm>
        <a:prstGeom prst="borderCallout2">
          <a:avLst>
            <a:gd name="adj1" fmla="val 46153"/>
            <a:gd name="adj2" fmla="val 108245"/>
            <a:gd name="adj3" fmla="val 46153"/>
            <a:gd name="adj4" fmla="val 111338"/>
            <a:gd name="adj5" fmla="val 50000"/>
            <a:gd name="adj6" fmla="val 121648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(32h - 8h) / 32 h</a:t>
          </a:r>
        </a:p>
      </xdr:txBody>
    </xdr:sp>
    <xdr:clientData/>
  </xdr:twoCellAnchor>
  <xdr:twoCellAnchor>
    <xdr:from>
      <xdr:col>10</xdr:col>
      <xdr:colOff>171450</xdr:colOff>
      <xdr:row>49</xdr:row>
      <xdr:rowOff>104775</xdr:rowOff>
    </xdr:from>
    <xdr:to>
      <xdr:col>13</xdr:col>
      <xdr:colOff>104775</xdr:colOff>
      <xdr:row>50</xdr:row>
      <xdr:rowOff>226922</xdr:rowOff>
    </xdr:to>
    <xdr:sp macro="" textlink="">
      <xdr:nvSpPr>
        <xdr:cNvPr id="23586" name="AutoShape 34">
          <a:extLst>
            <a:ext uri="{FF2B5EF4-FFF2-40B4-BE49-F238E27FC236}">
              <a16:creationId xmlns:a16="http://schemas.microsoft.com/office/drawing/2014/main" id="{00000000-0008-0000-0100-0000225C0000}"/>
            </a:ext>
          </a:extLst>
        </xdr:cNvPr>
        <xdr:cNvSpPr>
          <a:spLocks/>
        </xdr:cNvSpPr>
      </xdr:nvSpPr>
      <xdr:spPr bwMode="auto">
        <a:xfrm>
          <a:off x="3209925" y="8458200"/>
          <a:ext cx="657225" cy="247650"/>
        </a:xfrm>
        <a:prstGeom prst="borderCallout2">
          <a:avLst>
            <a:gd name="adj1" fmla="val 46153"/>
            <a:gd name="adj2" fmla="val 111593"/>
            <a:gd name="adj3" fmla="val 46153"/>
            <a:gd name="adj4" fmla="val 126088"/>
            <a:gd name="adj5" fmla="val 61537"/>
            <a:gd name="adj6" fmla="val 15942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(34 - 3) / 34</a:t>
          </a:r>
        </a:p>
      </xdr:txBody>
    </xdr:sp>
    <xdr:clientData/>
  </xdr:twoCellAnchor>
  <xdr:twoCellAnchor>
    <xdr:from>
      <xdr:col>10</xdr:col>
      <xdr:colOff>209550</xdr:colOff>
      <xdr:row>45</xdr:row>
      <xdr:rowOff>140970</xdr:rowOff>
    </xdr:from>
    <xdr:to>
      <xdr:col>13</xdr:col>
      <xdr:colOff>207662</xdr:colOff>
      <xdr:row>47</xdr:row>
      <xdr:rowOff>38160</xdr:rowOff>
    </xdr:to>
    <xdr:sp macro="" textlink="">
      <xdr:nvSpPr>
        <xdr:cNvPr id="23587" name="Rectangle 35">
          <a:extLst>
            <a:ext uri="{FF2B5EF4-FFF2-40B4-BE49-F238E27FC236}">
              <a16:creationId xmlns:a16="http://schemas.microsoft.com/office/drawing/2014/main" id="{00000000-0008-0000-0100-0000235C0000}"/>
            </a:ext>
          </a:extLst>
        </xdr:cNvPr>
        <xdr:cNvSpPr>
          <a:spLocks noChangeArrowheads="1"/>
        </xdr:cNvSpPr>
      </xdr:nvSpPr>
      <xdr:spPr bwMode="auto">
        <a:xfrm>
          <a:off x="3248025" y="7667625"/>
          <a:ext cx="714375" cy="33337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lbertus Medium"/>
            </a:rPr>
            <a:t>Total des 7 colonnes</a:t>
          </a:r>
        </a:p>
      </xdr:txBody>
    </xdr:sp>
    <xdr:clientData/>
  </xdr:twoCellAnchor>
  <xdr:twoCellAnchor>
    <xdr:from>
      <xdr:col>14</xdr:col>
      <xdr:colOff>266700</xdr:colOff>
      <xdr:row>44</xdr:row>
      <xdr:rowOff>38100</xdr:rowOff>
    </xdr:from>
    <xdr:to>
      <xdr:col>16</xdr:col>
      <xdr:colOff>30480</xdr:colOff>
      <xdr:row>44</xdr:row>
      <xdr:rowOff>228600</xdr:rowOff>
    </xdr:to>
    <xdr:sp macro="" textlink="">
      <xdr:nvSpPr>
        <xdr:cNvPr id="23658" name="Oval 36">
          <a:extLst>
            <a:ext uri="{FF2B5EF4-FFF2-40B4-BE49-F238E27FC236}">
              <a16:creationId xmlns:a16="http://schemas.microsoft.com/office/drawing/2014/main" id="{00000000-0008-0000-0100-00006A5C0000}"/>
            </a:ext>
          </a:extLst>
        </xdr:cNvPr>
        <xdr:cNvSpPr>
          <a:spLocks noChangeArrowheads="1"/>
        </xdr:cNvSpPr>
      </xdr:nvSpPr>
      <xdr:spPr bwMode="auto">
        <a:xfrm>
          <a:off x="4404360" y="7421880"/>
          <a:ext cx="35814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22860</xdr:colOff>
      <xdr:row>44</xdr:row>
      <xdr:rowOff>38100</xdr:rowOff>
    </xdr:from>
    <xdr:to>
      <xdr:col>18</xdr:col>
      <xdr:colOff>60960</xdr:colOff>
      <xdr:row>44</xdr:row>
      <xdr:rowOff>228600</xdr:rowOff>
    </xdr:to>
    <xdr:sp macro="" textlink="">
      <xdr:nvSpPr>
        <xdr:cNvPr id="23659" name="Oval 37">
          <a:extLst>
            <a:ext uri="{FF2B5EF4-FFF2-40B4-BE49-F238E27FC236}">
              <a16:creationId xmlns:a16="http://schemas.microsoft.com/office/drawing/2014/main" id="{00000000-0008-0000-0100-00006B5C0000}"/>
            </a:ext>
          </a:extLst>
        </xdr:cNvPr>
        <xdr:cNvSpPr>
          <a:spLocks noChangeArrowheads="1"/>
        </xdr:cNvSpPr>
      </xdr:nvSpPr>
      <xdr:spPr bwMode="auto">
        <a:xfrm>
          <a:off x="5105400" y="7421880"/>
          <a:ext cx="33528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243840</xdr:colOff>
      <xdr:row>46</xdr:row>
      <xdr:rowOff>38100</xdr:rowOff>
    </xdr:from>
    <xdr:to>
      <xdr:col>16</xdr:col>
      <xdr:colOff>129540</xdr:colOff>
      <xdr:row>46</xdr:row>
      <xdr:rowOff>228600</xdr:rowOff>
    </xdr:to>
    <xdr:sp macro="" textlink="">
      <xdr:nvSpPr>
        <xdr:cNvPr id="23660" name="Oval 38">
          <a:extLst>
            <a:ext uri="{FF2B5EF4-FFF2-40B4-BE49-F238E27FC236}">
              <a16:creationId xmlns:a16="http://schemas.microsoft.com/office/drawing/2014/main" id="{00000000-0008-0000-0100-00006C5C0000}"/>
            </a:ext>
          </a:extLst>
        </xdr:cNvPr>
        <xdr:cNvSpPr>
          <a:spLocks noChangeArrowheads="1"/>
        </xdr:cNvSpPr>
      </xdr:nvSpPr>
      <xdr:spPr bwMode="auto">
        <a:xfrm>
          <a:off x="4381500" y="7840980"/>
          <a:ext cx="48006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236220</xdr:colOff>
      <xdr:row>50</xdr:row>
      <xdr:rowOff>7620</xdr:rowOff>
    </xdr:from>
    <xdr:to>
      <xdr:col>16</xdr:col>
      <xdr:colOff>114300</xdr:colOff>
      <xdr:row>50</xdr:row>
      <xdr:rowOff>228600</xdr:rowOff>
    </xdr:to>
    <xdr:sp macro="" textlink="">
      <xdr:nvSpPr>
        <xdr:cNvPr id="23661" name="Oval 39">
          <a:extLst>
            <a:ext uri="{FF2B5EF4-FFF2-40B4-BE49-F238E27FC236}">
              <a16:creationId xmlns:a16="http://schemas.microsoft.com/office/drawing/2014/main" id="{00000000-0008-0000-0100-00006D5C0000}"/>
            </a:ext>
          </a:extLst>
        </xdr:cNvPr>
        <xdr:cNvSpPr>
          <a:spLocks noChangeArrowheads="1"/>
        </xdr:cNvSpPr>
      </xdr:nvSpPr>
      <xdr:spPr bwMode="auto">
        <a:xfrm>
          <a:off x="4373880" y="8595360"/>
          <a:ext cx="472440" cy="22098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243840</xdr:colOff>
      <xdr:row>50</xdr:row>
      <xdr:rowOff>0</xdr:rowOff>
    </xdr:from>
    <xdr:to>
      <xdr:col>9</xdr:col>
      <xdr:colOff>68580</xdr:colOff>
      <xdr:row>50</xdr:row>
      <xdr:rowOff>259080</xdr:rowOff>
    </xdr:to>
    <xdr:sp macro="" textlink="">
      <xdr:nvSpPr>
        <xdr:cNvPr id="23662" name="Oval 40">
          <a:extLst>
            <a:ext uri="{FF2B5EF4-FFF2-40B4-BE49-F238E27FC236}">
              <a16:creationId xmlns:a16="http://schemas.microsoft.com/office/drawing/2014/main" id="{00000000-0008-0000-0100-00006E5C0000}"/>
            </a:ext>
          </a:extLst>
        </xdr:cNvPr>
        <xdr:cNvSpPr>
          <a:spLocks noChangeArrowheads="1"/>
        </xdr:cNvSpPr>
      </xdr:nvSpPr>
      <xdr:spPr bwMode="auto">
        <a:xfrm>
          <a:off x="2377440" y="8587740"/>
          <a:ext cx="464820" cy="25908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4</xdr:row>
      <xdr:rowOff>160020</xdr:rowOff>
    </xdr:from>
    <xdr:to>
      <xdr:col>13</xdr:col>
      <xdr:colOff>289560</xdr:colOff>
      <xdr:row>4</xdr:row>
      <xdr:rowOff>160020</xdr:rowOff>
    </xdr:to>
    <xdr:sp macro="" textlink="">
      <xdr:nvSpPr>
        <xdr:cNvPr id="17487" name="Line 1">
          <a:extLst>
            <a:ext uri="{FF2B5EF4-FFF2-40B4-BE49-F238E27FC236}">
              <a16:creationId xmlns:a16="http://schemas.microsoft.com/office/drawing/2014/main" id="{00000000-0008-0000-0200-00004F440000}"/>
            </a:ext>
          </a:extLst>
        </xdr:cNvPr>
        <xdr:cNvSpPr>
          <a:spLocks noChangeShapeType="1"/>
        </xdr:cNvSpPr>
      </xdr:nvSpPr>
      <xdr:spPr bwMode="auto">
        <a:xfrm>
          <a:off x="2392680" y="975360"/>
          <a:ext cx="207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8</xdr:row>
      <xdr:rowOff>175260</xdr:rowOff>
    </xdr:from>
    <xdr:to>
      <xdr:col>14</xdr:col>
      <xdr:colOff>0</xdr:colOff>
      <xdr:row>8</xdr:row>
      <xdr:rowOff>175260</xdr:rowOff>
    </xdr:to>
    <xdr:sp macro="" textlink="">
      <xdr:nvSpPr>
        <xdr:cNvPr id="17488" name="Line 2">
          <a:extLst>
            <a:ext uri="{FF2B5EF4-FFF2-40B4-BE49-F238E27FC236}">
              <a16:creationId xmlns:a16="http://schemas.microsoft.com/office/drawing/2014/main" id="{00000000-0008-0000-0200-000050440000}"/>
            </a:ext>
          </a:extLst>
        </xdr:cNvPr>
        <xdr:cNvSpPr>
          <a:spLocks noChangeShapeType="1"/>
        </xdr:cNvSpPr>
      </xdr:nvSpPr>
      <xdr:spPr bwMode="auto">
        <a:xfrm>
          <a:off x="2964180" y="2011680"/>
          <a:ext cx="15316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12</xdr:row>
      <xdr:rowOff>175260</xdr:rowOff>
    </xdr:from>
    <xdr:to>
      <xdr:col>13</xdr:col>
      <xdr:colOff>274320</xdr:colOff>
      <xdr:row>12</xdr:row>
      <xdr:rowOff>175260</xdr:rowOff>
    </xdr:to>
    <xdr:sp macro="" textlink="">
      <xdr:nvSpPr>
        <xdr:cNvPr id="17489" name="Line 3">
          <a:extLst>
            <a:ext uri="{FF2B5EF4-FFF2-40B4-BE49-F238E27FC236}">
              <a16:creationId xmlns:a16="http://schemas.microsoft.com/office/drawing/2014/main" id="{00000000-0008-0000-0200-000051440000}"/>
            </a:ext>
          </a:extLst>
        </xdr:cNvPr>
        <xdr:cNvSpPr>
          <a:spLocks noChangeShapeType="1"/>
        </xdr:cNvSpPr>
      </xdr:nvSpPr>
      <xdr:spPr bwMode="auto">
        <a:xfrm>
          <a:off x="2956560" y="3032760"/>
          <a:ext cx="1493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14</xdr:row>
      <xdr:rowOff>175260</xdr:rowOff>
    </xdr:from>
    <xdr:to>
      <xdr:col>13</xdr:col>
      <xdr:colOff>274320</xdr:colOff>
      <xdr:row>14</xdr:row>
      <xdr:rowOff>175260</xdr:rowOff>
    </xdr:to>
    <xdr:sp macro="" textlink="">
      <xdr:nvSpPr>
        <xdr:cNvPr id="17490" name="Line 4">
          <a:extLst>
            <a:ext uri="{FF2B5EF4-FFF2-40B4-BE49-F238E27FC236}">
              <a16:creationId xmlns:a16="http://schemas.microsoft.com/office/drawing/2014/main" id="{00000000-0008-0000-0200-000052440000}"/>
            </a:ext>
          </a:extLst>
        </xdr:cNvPr>
        <xdr:cNvSpPr>
          <a:spLocks noChangeShapeType="1"/>
        </xdr:cNvSpPr>
      </xdr:nvSpPr>
      <xdr:spPr bwMode="auto">
        <a:xfrm>
          <a:off x="3550920" y="3543300"/>
          <a:ext cx="899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182880</xdr:rowOff>
    </xdr:from>
    <xdr:to>
      <xdr:col>13</xdr:col>
      <xdr:colOff>297180</xdr:colOff>
      <xdr:row>16</xdr:row>
      <xdr:rowOff>182880</xdr:rowOff>
    </xdr:to>
    <xdr:sp macro="" textlink="">
      <xdr:nvSpPr>
        <xdr:cNvPr id="17491" name="Line 5">
          <a:extLst>
            <a:ext uri="{FF2B5EF4-FFF2-40B4-BE49-F238E27FC236}">
              <a16:creationId xmlns:a16="http://schemas.microsoft.com/office/drawing/2014/main" id="{00000000-0008-0000-0200-000053440000}"/>
            </a:ext>
          </a:extLst>
        </xdr:cNvPr>
        <xdr:cNvSpPr>
          <a:spLocks noChangeShapeType="1"/>
        </xdr:cNvSpPr>
      </xdr:nvSpPr>
      <xdr:spPr bwMode="auto">
        <a:xfrm>
          <a:off x="4175760" y="4061460"/>
          <a:ext cx="297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160020</xdr:rowOff>
    </xdr:from>
    <xdr:to>
      <xdr:col>13</xdr:col>
      <xdr:colOff>274320</xdr:colOff>
      <xdr:row>6</xdr:row>
      <xdr:rowOff>160020</xdr:rowOff>
    </xdr:to>
    <xdr:sp macro="" textlink="">
      <xdr:nvSpPr>
        <xdr:cNvPr id="17492" name="Line 6">
          <a:extLst>
            <a:ext uri="{FF2B5EF4-FFF2-40B4-BE49-F238E27FC236}">
              <a16:creationId xmlns:a16="http://schemas.microsoft.com/office/drawing/2014/main" id="{00000000-0008-0000-0200-000054440000}"/>
            </a:ext>
          </a:extLst>
        </xdr:cNvPr>
        <xdr:cNvSpPr>
          <a:spLocks noChangeShapeType="1"/>
        </xdr:cNvSpPr>
      </xdr:nvSpPr>
      <xdr:spPr bwMode="auto">
        <a:xfrm>
          <a:off x="4175760" y="148590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4</xdr:row>
      <xdr:rowOff>175260</xdr:rowOff>
    </xdr:from>
    <xdr:to>
      <xdr:col>4</xdr:col>
      <xdr:colOff>0</xdr:colOff>
      <xdr:row>4</xdr:row>
      <xdr:rowOff>175260</xdr:rowOff>
    </xdr:to>
    <xdr:sp macro="" textlink="">
      <xdr:nvSpPr>
        <xdr:cNvPr id="17493" name="Line 7">
          <a:extLst>
            <a:ext uri="{FF2B5EF4-FFF2-40B4-BE49-F238E27FC236}">
              <a16:creationId xmlns:a16="http://schemas.microsoft.com/office/drawing/2014/main" id="{00000000-0008-0000-0200-000055440000}"/>
            </a:ext>
          </a:extLst>
        </xdr:cNvPr>
        <xdr:cNvSpPr>
          <a:spLocks noChangeShapeType="1"/>
        </xdr:cNvSpPr>
      </xdr:nvSpPr>
      <xdr:spPr bwMode="auto">
        <a:xfrm>
          <a:off x="1143000" y="99060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175260</xdr:rowOff>
    </xdr:from>
    <xdr:to>
      <xdr:col>6</xdr:col>
      <xdr:colOff>7620</xdr:colOff>
      <xdr:row>4</xdr:row>
      <xdr:rowOff>175260</xdr:rowOff>
    </xdr:to>
    <xdr:sp macro="" textlink="">
      <xdr:nvSpPr>
        <xdr:cNvPr id="17494" name="Line 8">
          <a:extLst>
            <a:ext uri="{FF2B5EF4-FFF2-40B4-BE49-F238E27FC236}">
              <a16:creationId xmlns:a16="http://schemas.microsoft.com/office/drawing/2014/main" id="{00000000-0008-0000-0200-000056440000}"/>
            </a:ext>
          </a:extLst>
        </xdr:cNvPr>
        <xdr:cNvSpPr>
          <a:spLocks noChangeShapeType="1"/>
        </xdr:cNvSpPr>
      </xdr:nvSpPr>
      <xdr:spPr bwMode="auto">
        <a:xfrm>
          <a:off x="1752600" y="99060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8</xdr:row>
      <xdr:rowOff>175260</xdr:rowOff>
    </xdr:from>
    <xdr:to>
      <xdr:col>4</xdr:col>
      <xdr:colOff>0</xdr:colOff>
      <xdr:row>8</xdr:row>
      <xdr:rowOff>175260</xdr:rowOff>
    </xdr:to>
    <xdr:sp macro="" textlink="">
      <xdr:nvSpPr>
        <xdr:cNvPr id="17495" name="Line 9">
          <a:extLst>
            <a:ext uri="{FF2B5EF4-FFF2-40B4-BE49-F238E27FC236}">
              <a16:creationId xmlns:a16="http://schemas.microsoft.com/office/drawing/2014/main" id="{00000000-0008-0000-0200-000057440000}"/>
            </a:ext>
          </a:extLst>
        </xdr:cNvPr>
        <xdr:cNvSpPr>
          <a:spLocks noChangeShapeType="1"/>
        </xdr:cNvSpPr>
      </xdr:nvSpPr>
      <xdr:spPr bwMode="auto">
        <a:xfrm>
          <a:off x="1143000" y="201168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175260</xdr:rowOff>
    </xdr:from>
    <xdr:to>
      <xdr:col>6</xdr:col>
      <xdr:colOff>7620</xdr:colOff>
      <xdr:row>8</xdr:row>
      <xdr:rowOff>175260</xdr:rowOff>
    </xdr:to>
    <xdr:sp macro="" textlink="">
      <xdr:nvSpPr>
        <xdr:cNvPr id="17496" name="Line 10">
          <a:extLst>
            <a:ext uri="{FF2B5EF4-FFF2-40B4-BE49-F238E27FC236}">
              <a16:creationId xmlns:a16="http://schemas.microsoft.com/office/drawing/2014/main" id="{00000000-0008-0000-0200-000058440000}"/>
            </a:ext>
          </a:extLst>
        </xdr:cNvPr>
        <xdr:cNvSpPr>
          <a:spLocks noChangeShapeType="1"/>
        </xdr:cNvSpPr>
      </xdr:nvSpPr>
      <xdr:spPr bwMode="auto">
        <a:xfrm>
          <a:off x="1752600" y="201168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175260</xdr:rowOff>
    </xdr:from>
    <xdr:to>
      <xdr:col>10</xdr:col>
      <xdr:colOff>0</xdr:colOff>
      <xdr:row>6</xdr:row>
      <xdr:rowOff>175260</xdr:rowOff>
    </xdr:to>
    <xdr:sp macro="" textlink="">
      <xdr:nvSpPr>
        <xdr:cNvPr id="17497" name="Line 11">
          <a:extLst>
            <a:ext uri="{FF2B5EF4-FFF2-40B4-BE49-F238E27FC236}">
              <a16:creationId xmlns:a16="http://schemas.microsoft.com/office/drawing/2014/main" id="{00000000-0008-0000-0200-000059440000}"/>
            </a:ext>
          </a:extLst>
        </xdr:cNvPr>
        <xdr:cNvSpPr>
          <a:spLocks noChangeShapeType="1"/>
        </xdr:cNvSpPr>
      </xdr:nvSpPr>
      <xdr:spPr bwMode="auto">
        <a:xfrm>
          <a:off x="2956560" y="150114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</xdr:row>
      <xdr:rowOff>175260</xdr:rowOff>
    </xdr:from>
    <xdr:to>
      <xdr:col>11</xdr:col>
      <xdr:colOff>220980</xdr:colOff>
      <xdr:row>6</xdr:row>
      <xdr:rowOff>175260</xdr:rowOff>
    </xdr:to>
    <xdr:sp macro="" textlink="">
      <xdr:nvSpPr>
        <xdr:cNvPr id="17498" name="Line 12">
          <a:extLst>
            <a:ext uri="{FF2B5EF4-FFF2-40B4-BE49-F238E27FC236}">
              <a16:creationId xmlns:a16="http://schemas.microsoft.com/office/drawing/2014/main" id="{00000000-0008-0000-0200-00005A440000}"/>
            </a:ext>
          </a:extLst>
        </xdr:cNvPr>
        <xdr:cNvSpPr>
          <a:spLocks noChangeShapeType="1"/>
        </xdr:cNvSpPr>
      </xdr:nvSpPr>
      <xdr:spPr bwMode="auto">
        <a:xfrm>
          <a:off x="3558540" y="150114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10</xdr:row>
      <xdr:rowOff>175260</xdr:rowOff>
    </xdr:from>
    <xdr:to>
      <xdr:col>11</xdr:col>
      <xdr:colOff>205740</xdr:colOff>
      <xdr:row>10</xdr:row>
      <xdr:rowOff>175260</xdr:rowOff>
    </xdr:to>
    <xdr:sp macro="" textlink="">
      <xdr:nvSpPr>
        <xdr:cNvPr id="17499" name="Line 13">
          <a:extLst>
            <a:ext uri="{FF2B5EF4-FFF2-40B4-BE49-F238E27FC236}">
              <a16:creationId xmlns:a16="http://schemas.microsoft.com/office/drawing/2014/main" id="{00000000-0008-0000-0200-00005B440000}"/>
            </a:ext>
          </a:extLst>
        </xdr:cNvPr>
        <xdr:cNvSpPr>
          <a:spLocks noChangeShapeType="1"/>
        </xdr:cNvSpPr>
      </xdr:nvSpPr>
      <xdr:spPr bwMode="auto">
        <a:xfrm>
          <a:off x="3550920" y="25222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10</xdr:row>
      <xdr:rowOff>175260</xdr:rowOff>
    </xdr:from>
    <xdr:to>
      <xdr:col>13</xdr:col>
      <xdr:colOff>274320</xdr:colOff>
      <xdr:row>10</xdr:row>
      <xdr:rowOff>175260</xdr:rowOff>
    </xdr:to>
    <xdr:sp macro="" textlink="">
      <xdr:nvSpPr>
        <xdr:cNvPr id="17500" name="Line 14">
          <a:extLst>
            <a:ext uri="{FF2B5EF4-FFF2-40B4-BE49-F238E27FC236}">
              <a16:creationId xmlns:a16="http://schemas.microsoft.com/office/drawing/2014/main" id="{00000000-0008-0000-0200-00005C440000}"/>
            </a:ext>
          </a:extLst>
        </xdr:cNvPr>
        <xdr:cNvSpPr>
          <a:spLocks noChangeShapeType="1"/>
        </xdr:cNvSpPr>
      </xdr:nvSpPr>
      <xdr:spPr bwMode="auto">
        <a:xfrm>
          <a:off x="4175760" y="25222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12</xdr:row>
      <xdr:rowOff>175260</xdr:rowOff>
    </xdr:from>
    <xdr:to>
      <xdr:col>7</xdr:col>
      <xdr:colOff>190500</xdr:colOff>
      <xdr:row>12</xdr:row>
      <xdr:rowOff>175260</xdr:rowOff>
    </xdr:to>
    <xdr:sp macro="" textlink="">
      <xdr:nvSpPr>
        <xdr:cNvPr id="17501" name="Line 15">
          <a:extLst>
            <a:ext uri="{FF2B5EF4-FFF2-40B4-BE49-F238E27FC236}">
              <a16:creationId xmlns:a16="http://schemas.microsoft.com/office/drawing/2014/main" id="{00000000-0008-0000-0200-00005D440000}"/>
            </a:ext>
          </a:extLst>
        </xdr:cNvPr>
        <xdr:cNvSpPr>
          <a:spLocks noChangeShapeType="1"/>
        </xdr:cNvSpPr>
      </xdr:nvSpPr>
      <xdr:spPr bwMode="auto">
        <a:xfrm flipH="1">
          <a:off x="1143000" y="3032760"/>
          <a:ext cx="1417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14</xdr:row>
      <xdr:rowOff>175260</xdr:rowOff>
    </xdr:from>
    <xdr:to>
      <xdr:col>9</xdr:col>
      <xdr:colOff>205740</xdr:colOff>
      <xdr:row>14</xdr:row>
      <xdr:rowOff>175260</xdr:rowOff>
    </xdr:to>
    <xdr:sp macro="" textlink="">
      <xdr:nvSpPr>
        <xdr:cNvPr id="17502" name="Line 16">
          <a:extLst>
            <a:ext uri="{FF2B5EF4-FFF2-40B4-BE49-F238E27FC236}">
              <a16:creationId xmlns:a16="http://schemas.microsoft.com/office/drawing/2014/main" id="{00000000-0008-0000-0200-00005E440000}"/>
            </a:ext>
          </a:extLst>
        </xdr:cNvPr>
        <xdr:cNvSpPr>
          <a:spLocks noChangeShapeType="1"/>
        </xdr:cNvSpPr>
      </xdr:nvSpPr>
      <xdr:spPr bwMode="auto">
        <a:xfrm flipH="1">
          <a:off x="1752600" y="354330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175260</xdr:rowOff>
    </xdr:from>
    <xdr:to>
      <xdr:col>11</xdr:col>
      <xdr:colOff>220980</xdr:colOff>
      <xdr:row>16</xdr:row>
      <xdr:rowOff>175260</xdr:rowOff>
    </xdr:to>
    <xdr:sp macro="" textlink="">
      <xdr:nvSpPr>
        <xdr:cNvPr id="17503" name="Line 17">
          <a:extLst>
            <a:ext uri="{FF2B5EF4-FFF2-40B4-BE49-F238E27FC236}">
              <a16:creationId xmlns:a16="http://schemas.microsoft.com/office/drawing/2014/main" id="{00000000-0008-0000-0200-00005F440000}"/>
            </a:ext>
          </a:extLst>
        </xdr:cNvPr>
        <xdr:cNvSpPr>
          <a:spLocks noChangeShapeType="1"/>
        </xdr:cNvSpPr>
      </xdr:nvSpPr>
      <xdr:spPr bwMode="auto">
        <a:xfrm flipH="1">
          <a:off x="2369820" y="405384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175260</xdr:rowOff>
    </xdr:from>
    <xdr:to>
      <xdr:col>8</xdr:col>
      <xdr:colOff>0</xdr:colOff>
      <xdr:row>8</xdr:row>
      <xdr:rowOff>175260</xdr:rowOff>
    </xdr:to>
    <xdr:sp macro="" textlink="">
      <xdr:nvSpPr>
        <xdr:cNvPr id="17504" name="Line 18">
          <a:extLst>
            <a:ext uri="{FF2B5EF4-FFF2-40B4-BE49-F238E27FC236}">
              <a16:creationId xmlns:a16="http://schemas.microsoft.com/office/drawing/2014/main" id="{00000000-0008-0000-0200-000060440000}"/>
            </a:ext>
          </a:extLst>
        </xdr:cNvPr>
        <xdr:cNvSpPr>
          <a:spLocks noChangeShapeType="1"/>
        </xdr:cNvSpPr>
      </xdr:nvSpPr>
      <xdr:spPr bwMode="auto">
        <a:xfrm>
          <a:off x="2369820" y="2011680"/>
          <a:ext cx="1981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9</xdr:row>
      <xdr:rowOff>0</xdr:rowOff>
    </xdr:from>
    <xdr:to>
      <xdr:col>2</xdr:col>
      <xdr:colOff>205740</xdr:colOff>
      <xdr:row>11</xdr:row>
      <xdr:rowOff>99060</xdr:rowOff>
    </xdr:to>
    <xdr:sp macro="" textlink="">
      <xdr:nvSpPr>
        <xdr:cNvPr id="17505" name="Line 19">
          <a:extLst>
            <a:ext uri="{FF2B5EF4-FFF2-40B4-BE49-F238E27FC236}">
              <a16:creationId xmlns:a16="http://schemas.microsoft.com/office/drawing/2014/main" id="{00000000-0008-0000-0200-000061440000}"/>
            </a:ext>
          </a:extLst>
        </xdr:cNvPr>
        <xdr:cNvSpPr>
          <a:spLocks noChangeShapeType="1"/>
        </xdr:cNvSpPr>
      </xdr:nvSpPr>
      <xdr:spPr bwMode="auto">
        <a:xfrm>
          <a:off x="952500" y="2179320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2</xdr:row>
      <xdr:rowOff>312420</xdr:rowOff>
    </xdr:from>
    <xdr:to>
      <xdr:col>2</xdr:col>
      <xdr:colOff>205740</xdr:colOff>
      <xdr:row>3</xdr:row>
      <xdr:rowOff>160020</xdr:rowOff>
    </xdr:to>
    <xdr:sp macro="" textlink="">
      <xdr:nvSpPr>
        <xdr:cNvPr id="17506" name="Line 20">
          <a:extLst>
            <a:ext uri="{FF2B5EF4-FFF2-40B4-BE49-F238E27FC236}">
              <a16:creationId xmlns:a16="http://schemas.microsoft.com/office/drawing/2014/main" id="{00000000-0008-0000-0200-000062440000}"/>
            </a:ext>
          </a:extLst>
        </xdr:cNvPr>
        <xdr:cNvSpPr>
          <a:spLocks noChangeShapeType="1"/>
        </xdr:cNvSpPr>
      </xdr:nvSpPr>
      <xdr:spPr bwMode="auto">
        <a:xfrm>
          <a:off x="952500" y="6400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5</xdr:row>
      <xdr:rowOff>0</xdr:rowOff>
    </xdr:from>
    <xdr:to>
      <xdr:col>2</xdr:col>
      <xdr:colOff>205740</xdr:colOff>
      <xdr:row>7</xdr:row>
      <xdr:rowOff>144780</xdr:rowOff>
    </xdr:to>
    <xdr:sp macro="" textlink="">
      <xdr:nvSpPr>
        <xdr:cNvPr id="17507" name="Line 21">
          <a:extLst>
            <a:ext uri="{FF2B5EF4-FFF2-40B4-BE49-F238E27FC236}">
              <a16:creationId xmlns:a16="http://schemas.microsoft.com/office/drawing/2014/main" id="{00000000-0008-0000-0200-000063440000}"/>
            </a:ext>
          </a:extLst>
        </xdr:cNvPr>
        <xdr:cNvSpPr>
          <a:spLocks noChangeShapeType="1"/>
        </xdr:cNvSpPr>
      </xdr:nvSpPr>
      <xdr:spPr bwMode="auto">
        <a:xfrm>
          <a:off x="952500" y="115824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182880</xdr:colOff>
      <xdr:row>9</xdr:row>
      <xdr:rowOff>7620</xdr:rowOff>
    </xdr:from>
    <xdr:to>
      <xdr:col>4</xdr:col>
      <xdr:colOff>182880</xdr:colOff>
      <xdr:row>13</xdr:row>
      <xdr:rowOff>91440</xdr:rowOff>
    </xdr:to>
    <xdr:sp macro="" textlink="">
      <xdr:nvSpPr>
        <xdr:cNvPr id="17508" name="Line 22">
          <a:extLst>
            <a:ext uri="{FF2B5EF4-FFF2-40B4-BE49-F238E27FC236}">
              <a16:creationId xmlns:a16="http://schemas.microsoft.com/office/drawing/2014/main" id="{00000000-0008-0000-0200-000064440000}"/>
            </a:ext>
          </a:extLst>
        </xdr:cNvPr>
        <xdr:cNvSpPr>
          <a:spLocks noChangeShapeType="1"/>
        </xdr:cNvSpPr>
      </xdr:nvSpPr>
      <xdr:spPr bwMode="auto">
        <a:xfrm>
          <a:off x="1546860" y="2186940"/>
          <a:ext cx="0" cy="1104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5</xdr:row>
      <xdr:rowOff>22860</xdr:rowOff>
    </xdr:from>
    <xdr:to>
      <xdr:col>4</xdr:col>
      <xdr:colOff>205740</xdr:colOff>
      <xdr:row>8</xdr:row>
      <xdr:rowOff>0</xdr:rowOff>
    </xdr:to>
    <xdr:sp macro="" textlink="">
      <xdr:nvSpPr>
        <xdr:cNvPr id="17509" name="Line 23">
          <a:extLst>
            <a:ext uri="{FF2B5EF4-FFF2-40B4-BE49-F238E27FC236}">
              <a16:creationId xmlns:a16="http://schemas.microsoft.com/office/drawing/2014/main" id="{00000000-0008-0000-0200-000065440000}"/>
            </a:ext>
          </a:extLst>
        </xdr:cNvPr>
        <xdr:cNvSpPr>
          <a:spLocks noChangeShapeType="1"/>
        </xdr:cNvSpPr>
      </xdr:nvSpPr>
      <xdr:spPr bwMode="auto">
        <a:xfrm>
          <a:off x="1569720" y="118110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5</xdr:row>
      <xdr:rowOff>0</xdr:rowOff>
    </xdr:from>
    <xdr:to>
      <xdr:col>6</xdr:col>
      <xdr:colOff>213360</xdr:colOff>
      <xdr:row>7</xdr:row>
      <xdr:rowOff>144780</xdr:rowOff>
    </xdr:to>
    <xdr:sp macro="" textlink="">
      <xdr:nvSpPr>
        <xdr:cNvPr id="17510" name="Line 24">
          <a:extLst>
            <a:ext uri="{FF2B5EF4-FFF2-40B4-BE49-F238E27FC236}">
              <a16:creationId xmlns:a16="http://schemas.microsoft.com/office/drawing/2014/main" id="{00000000-0008-0000-0200-000066440000}"/>
            </a:ext>
          </a:extLst>
        </xdr:cNvPr>
        <xdr:cNvSpPr>
          <a:spLocks noChangeShapeType="1"/>
        </xdr:cNvSpPr>
      </xdr:nvSpPr>
      <xdr:spPr bwMode="auto">
        <a:xfrm>
          <a:off x="2171700" y="115824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3</xdr:row>
      <xdr:rowOff>7620</xdr:rowOff>
    </xdr:from>
    <xdr:to>
      <xdr:col>4</xdr:col>
      <xdr:colOff>198120</xdr:colOff>
      <xdr:row>4</xdr:row>
      <xdr:rowOff>7620</xdr:rowOff>
    </xdr:to>
    <xdr:sp macro="" textlink="">
      <xdr:nvSpPr>
        <xdr:cNvPr id="17511" name="Line 25">
          <a:extLst>
            <a:ext uri="{FF2B5EF4-FFF2-40B4-BE49-F238E27FC236}">
              <a16:creationId xmlns:a16="http://schemas.microsoft.com/office/drawing/2014/main" id="{00000000-0008-0000-0200-000067440000}"/>
            </a:ext>
          </a:extLst>
        </xdr:cNvPr>
        <xdr:cNvSpPr>
          <a:spLocks noChangeShapeType="1"/>
        </xdr:cNvSpPr>
      </xdr:nvSpPr>
      <xdr:spPr bwMode="auto">
        <a:xfrm>
          <a:off x="1562100" y="65532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3</xdr:row>
      <xdr:rowOff>0</xdr:rowOff>
    </xdr:from>
    <xdr:to>
      <xdr:col>6</xdr:col>
      <xdr:colOff>198120</xdr:colOff>
      <xdr:row>4</xdr:row>
      <xdr:rowOff>0</xdr:rowOff>
    </xdr:to>
    <xdr:sp macro="" textlink="">
      <xdr:nvSpPr>
        <xdr:cNvPr id="17512" name="Line 26">
          <a:extLst>
            <a:ext uri="{FF2B5EF4-FFF2-40B4-BE49-F238E27FC236}">
              <a16:creationId xmlns:a16="http://schemas.microsoft.com/office/drawing/2014/main" id="{00000000-0008-0000-0200-000068440000}"/>
            </a:ext>
          </a:extLst>
        </xdr:cNvPr>
        <xdr:cNvSpPr>
          <a:spLocks noChangeShapeType="1"/>
        </xdr:cNvSpPr>
      </xdr:nvSpPr>
      <xdr:spPr bwMode="auto">
        <a:xfrm>
          <a:off x="2156460" y="64770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182880</xdr:colOff>
      <xdr:row>2</xdr:row>
      <xdr:rowOff>312420</xdr:rowOff>
    </xdr:from>
    <xdr:to>
      <xdr:col>8</xdr:col>
      <xdr:colOff>182880</xdr:colOff>
      <xdr:row>5</xdr:row>
      <xdr:rowOff>160020</xdr:rowOff>
    </xdr:to>
    <xdr:sp macro="" textlink="">
      <xdr:nvSpPr>
        <xdr:cNvPr id="17513" name="Line 27">
          <a:extLst>
            <a:ext uri="{FF2B5EF4-FFF2-40B4-BE49-F238E27FC236}">
              <a16:creationId xmlns:a16="http://schemas.microsoft.com/office/drawing/2014/main" id="{00000000-0008-0000-0200-000069440000}"/>
            </a:ext>
          </a:extLst>
        </xdr:cNvPr>
        <xdr:cNvSpPr>
          <a:spLocks noChangeShapeType="1"/>
        </xdr:cNvSpPr>
      </xdr:nvSpPr>
      <xdr:spPr bwMode="auto">
        <a:xfrm>
          <a:off x="2750820" y="64008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3</xdr:row>
      <xdr:rowOff>0</xdr:rowOff>
    </xdr:from>
    <xdr:to>
      <xdr:col>10</xdr:col>
      <xdr:colOff>198120</xdr:colOff>
      <xdr:row>6</xdr:row>
      <xdr:rowOff>0</xdr:rowOff>
    </xdr:to>
    <xdr:sp macro="" textlink="">
      <xdr:nvSpPr>
        <xdr:cNvPr id="17514" name="Line 28">
          <a:extLst>
            <a:ext uri="{FF2B5EF4-FFF2-40B4-BE49-F238E27FC236}">
              <a16:creationId xmlns:a16="http://schemas.microsoft.com/office/drawing/2014/main" id="{00000000-0008-0000-0200-00006A440000}"/>
            </a:ext>
          </a:extLst>
        </xdr:cNvPr>
        <xdr:cNvSpPr>
          <a:spLocks noChangeShapeType="1"/>
        </xdr:cNvSpPr>
      </xdr:nvSpPr>
      <xdr:spPr bwMode="auto">
        <a:xfrm>
          <a:off x="3368040" y="64770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205740</xdr:colOff>
      <xdr:row>3</xdr:row>
      <xdr:rowOff>0</xdr:rowOff>
    </xdr:from>
    <xdr:to>
      <xdr:col>12</xdr:col>
      <xdr:colOff>205740</xdr:colOff>
      <xdr:row>6</xdr:row>
      <xdr:rowOff>0</xdr:rowOff>
    </xdr:to>
    <xdr:sp macro="" textlink="">
      <xdr:nvSpPr>
        <xdr:cNvPr id="17515" name="Line 29">
          <a:extLst>
            <a:ext uri="{FF2B5EF4-FFF2-40B4-BE49-F238E27FC236}">
              <a16:creationId xmlns:a16="http://schemas.microsoft.com/office/drawing/2014/main" id="{00000000-0008-0000-0200-00006B440000}"/>
            </a:ext>
          </a:extLst>
        </xdr:cNvPr>
        <xdr:cNvSpPr>
          <a:spLocks noChangeShapeType="1"/>
        </xdr:cNvSpPr>
      </xdr:nvSpPr>
      <xdr:spPr bwMode="auto">
        <a:xfrm>
          <a:off x="3992880" y="64770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7</xdr:row>
      <xdr:rowOff>7620</xdr:rowOff>
    </xdr:from>
    <xdr:to>
      <xdr:col>8</xdr:col>
      <xdr:colOff>205740</xdr:colOff>
      <xdr:row>8</xdr:row>
      <xdr:rowOff>7620</xdr:rowOff>
    </xdr:to>
    <xdr:sp macro="" textlink="">
      <xdr:nvSpPr>
        <xdr:cNvPr id="17516" name="Line 30">
          <a:extLst>
            <a:ext uri="{FF2B5EF4-FFF2-40B4-BE49-F238E27FC236}">
              <a16:creationId xmlns:a16="http://schemas.microsoft.com/office/drawing/2014/main" id="{00000000-0008-0000-0200-00006C440000}"/>
            </a:ext>
          </a:extLst>
        </xdr:cNvPr>
        <xdr:cNvSpPr>
          <a:spLocks noChangeShapeType="1"/>
        </xdr:cNvSpPr>
      </xdr:nvSpPr>
      <xdr:spPr bwMode="auto">
        <a:xfrm>
          <a:off x="2773680" y="167640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7</xdr:row>
      <xdr:rowOff>0</xdr:rowOff>
    </xdr:from>
    <xdr:to>
      <xdr:col>10</xdr:col>
      <xdr:colOff>205740</xdr:colOff>
      <xdr:row>10</xdr:row>
      <xdr:rowOff>0</xdr:rowOff>
    </xdr:to>
    <xdr:sp macro="" textlink="">
      <xdr:nvSpPr>
        <xdr:cNvPr id="17517" name="Line 31">
          <a:extLst>
            <a:ext uri="{FF2B5EF4-FFF2-40B4-BE49-F238E27FC236}">
              <a16:creationId xmlns:a16="http://schemas.microsoft.com/office/drawing/2014/main" id="{00000000-0008-0000-0200-00006D440000}"/>
            </a:ext>
          </a:extLst>
        </xdr:cNvPr>
        <xdr:cNvSpPr>
          <a:spLocks noChangeShapeType="1"/>
        </xdr:cNvSpPr>
      </xdr:nvSpPr>
      <xdr:spPr bwMode="auto">
        <a:xfrm>
          <a:off x="3375660" y="166878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7</xdr:row>
      <xdr:rowOff>7620</xdr:rowOff>
    </xdr:from>
    <xdr:to>
      <xdr:col>12</xdr:col>
      <xdr:colOff>198120</xdr:colOff>
      <xdr:row>10</xdr:row>
      <xdr:rowOff>7620</xdr:rowOff>
    </xdr:to>
    <xdr:sp macro="" textlink="">
      <xdr:nvSpPr>
        <xdr:cNvPr id="17518" name="Line 32">
          <a:extLst>
            <a:ext uri="{FF2B5EF4-FFF2-40B4-BE49-F238E27FC236}">
              <a16:creationId xmlns:a16="http://schemas.microsoft.com/office/drawing/2014/main" id="{00000000-0008-0000-0200-00006E440000}"/>
            </a:ext>
          </a:extLst>
        </xdr:cNvPr>
        <xdr:cNvSpPr>
          <a:spLocks noChangeShapeType="1"/>
        </xdr:cNvSpPr>
      </xdr:nvSpPr>
      <xdr:spPr bwMode="auto">
        <a:xfrm>
          <a:off x="3985260" y="167640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11</xdr:row>
      <xdr:rowOff>7620</xdr:rowOff>
    </xdr:from>
    <xdr:to>
      <xdr:col>10</xdr:col>
      <xdr:colOff>198120</xdr:colOff>
      <xdr:row>13</xdr:row>
      <xdr:rowOff>106680</xdr:rowOff>
    </xdr:to>
    <xdr:sp macro="" textlink="">
      <xdr:nvSpPr>
        <xdr:cNvPr id="17519" name="Line 33">
          <a:extLst>
            <a:ext uri="{FF2B5EF4-FFF2-40B4-BE49-F238E27FC236}">
              <a16:creationId xmlns:a16="http://schemas.microsoft.com/office/drawing/2014/main" id="{00000000-0008-0000-0200-00006F440000}"/>
            </a:ext>
          </a:extLst>
        </xdr:cNvPr>
        <xdr:cNvSpPr>
          <a:spLocks noChangeShapeType="1"/>
        </xdr:cNvSpPr>
      </xdr:nvSpPr>
      <xdr:spPr bwMode="auto">
        <a:xfrm>
          <a:off x="3368040" y="2697480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11</xdr:row>
      <xdr:rowOff>7620</xdr:rowOff>
    </xdr:from>
    <xdr:to>
      <xdr:col>12</xdr:col>
      <xdr:colOff>198120</xdr:colOff>
      <xdr:row>15</xdr:row>
      <xdr:rowOff>106680</xdr:rowOff>
    </xdr:to>
    <xdr:sp macro="" textlink="">
      <xdr:nvSpPr>
        <xdr:cNvPr id="17520" name="Line 34">
          <a:extLst>
            <a:ext uri="{FF2B5EF4-FFF2-40B4-BE49-F238E27FC236}">
              <a16:creationId xmlns:a16="http://schemas.microsoft.com/office/drawing/2014/main" id="{00000000-0008-0000-0200-000070440000}"/>
            </a:ext>
          </a:extLst>
        </xdr:cNvPr>
        <xdr:cNvSpPr>
          <a:spLocks noChangeShapeType="1"/>
        </xdr:cNvSpPr>
      </xdr:nvSpPr>
      <xdr:spPr bwMode="auto">
        <a:xfrm>
          <a:off x="3985260" y="2697480"/>
          <a:ext cx="0" cy="11201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9</xdr:row>
      <xdr:rowOff>7620</xdr:rowOff>
    </xdr:from>
    <xdr:to>
      <xdr:col>8</xdr:col>
      <xdr:colOff>205740</xdr:colOff>
      <xdr:row>11</xdr:row>
      <xdr:rowOff>99060</xdr:rowOff>
    </xdr:to>
    <xdr:sp macro="" textlink="">
      <xdr:nvSpPr>
        <xdr:cNvPr id="17521" name="Line 35">
          <a:extLst>
            <a:ext uri="{FF2B5EF4-FFF2-40B4-BE49-F238E27FC236}">
              <a16:creationId xmlns:a16="http://schemas.microsoft.com/office/drawing/2014/main" id="{00000000-0008-0000-0200-000071440000}"/>
            </a:ext>
          </a:extLst>
        </xdr:cNvPr>
        <xdr:cNvSpPr>
          <a:spLocks noChangeShapeType="1"/>
        </xdr:cNvSpPr>
      </xdr:nvSpPr>
      <xdr:spPr bwMode="auto">
        <a:xfrm>
          <a:off x="2773680" y="2186940"/>
          <a:ext cx="0" cy="6019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9</xdr:row>
      <xdr:rowOff>0</xdr:rowOff>
    </xdr:from>
    <xdr:to>
      <xdr:col>6</xdr:col>
      <xdr:colOff>213360</xdr:colOff>
      <xdr:row>15</xdr:row>
      <xdr:rowOff>91440</xdr:rowOff>
    </xdr:to>
    <xdr:sp macro="" textlink="">
      <xdr:nvSpPr>
        <xdr:cNvPr id="17522" name="Line 36">
          <a:extLst>
            <a:ext uri="{FF2B5EF4-FFF2-40B4-BE49-F238E27FC236}">
              <a16:creationId xmlns:a16="http://schemas.microsoft.com/office/drawing/2014/main" id="{00000000-0008-0000-0200-000072440000}"/>
            </a:ext>
          </a:extLst>
        </xdr:cNvPr>
        <xdr:cNvSpPr>
          <a:spLocks noChangeShapeType="1"/>
        </xdr:cNvSpPr>
      </xdr:nvSpPr>
      <xdr:spPr bwMode="auto">
        <a:xfrm>
          <a:off x="2171700" y="2179320"/>
          <a:ext cx="0" cy="16230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4</xdr:row>
      <xdr:rowOff>15240</xdr:rowOff>
    </xdr:from>
    <xdr:to>
      <xdr:col>1</xdr:col>
      <xdr:colOff>45720</xdr:colOff>
      <xdr:row>7</xdr:row>
      <xdr:rowOff>7620</xdr:rowOff>
    </xdr:to>
    <xdr:sp macro="" textlink="">
      <xdr:nvSpPr>
        <xdr:cNvPr id="17523" name="AutoShape 37">
          <a:extLst>
            <a:ext uri="{FF2B5EF4-FFF2-40B4-BE49-F238E27FC236}">
              <a16:creationId xmlns:a16="http://schemas.microsoft.com/office/drawing/2014/main" id="{00000000-0008-0000-0200-000073440000}"/>
            </a:ext>
          </a:extLst>
        </xdr:cNvPr>
        <xdr:cNvSpPr>
          <a:spLocks/>
        </xdr:cNvSpPr>
      </xdr:nvSpPr>
      <xdr:spPr bwMode="auto">
        <a:xfrm>
          <a:off x="259080" y="830580"/>
          <a:ext cx="91440" cy="845820"/>
        </a:xfrm>
        <a:prstGeom prst="leftBrace">
          <a:avLst>
            <a:gd name="adj1" fmla="val 770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243840</xdr:colOff>
      <xdr:row>8</xdr:row>
      <xdr:rowOff>38100</xdr:rowOff>
    </xdr:from>
    <xdr:to>
      <xdr:col>1</xdr:col>
      <xdr:colOff>38100</xdr:colOff>
      <xdr:row>11</xdr:row>
      <xdr:rowOff>30480</xdr:rowOff>
    </xdr:to>
    <xdr:sp macro="" textlink="">
      <xdr:nvSpPr>
        <xdr:cNvPr id="17524" name="AutoShape 38">
          <a:extLst>
            <a:ext uri="{FF2B5EF4-FFF2-40B4-BE49-F238E27FC236}">
              <a16:creationId xmlns:a16="http://schemas.microsoft.com/office/drawing/2014/main" id="{00000000-0008-0000-0200-000074440000}"/>
            </a:ext>
          </a:extLst>
        </xdr:cNvPr>
        <xdr:cNvSpPr>
          <a:spLocks/>
        </xdr:cNvSpPr>
      </xdr:nvSpPr>
      <xdr:spPr bwMode="auto">
        <a:xfrm>
          <a:off x="243840" y="1874520"/>
          <a:ext cx="99060" cy="845820"/>
        </a:xfrm>
        <a:prstGeom prst="leftBrace">
          <a:avLst>
            <a:gd name="adj1" fmla="val 7115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259080</xdr:colOff>
      <xdr:row>12</xdr:row>
      <xdr:rowOff>15240</xdr:rowOff>
    </xdr:from>
    <xdr:to>
      <xdr:col>1</xdr:col>
      <xdr:colOff>45720</xdr:colOff>
      <xdr:row>16</xdr:row>
      <xdr:rowOff>327660</xdr:rowOff>
    </xdr:to>
    <xdr:sp macro="" textlink="">
      <xdr:nvSpPr>
        <xdr:cNvPr id="17525" name="AutoShape 39">
          <a:extLst>
            <a:ext uri="{FF2B5EF4-FFF2-40B4-BE49-F238E27FC236}">
              <a16:creationId xmlns:a16="http://schemas.microsoft.com/office/drawing/2014/main" id="{00000000-0008-0000-0200-000075440000}"/>
            </a:ext>
          </a:extLst>
        </xdr:cNvPr>
        <xdr:cNvSpPr>
          <a:spLocks/>
        </xdr:cNvSpPr>
      </xdr:nvSpPr>
      <xdr:spPr bwMode="auto">
        <a:xfrm>
          <a:off x="259080" y="2872740"/>
          <a:ext cx="91440" cy="1333500"/>
        </a:xfrm>
        <a:prstGeom prst="leftBrace">
          <a:avLst>
            <a:gd name="adj1" fmla="val 12152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4</xdr:row>
      <xdr:rowOff>160020</xdr:rowOff>
    </xdr:from>
    <xdr:to>
      <xdr:col>13</xdr:col>
      <xdr:colOff>289560</xdr:colOff>
      <xdr:row>4</xdr:row>
      <xdr:rowOff>160020</xdr:rowOff>
    </xdr:to>
    <xdr:sp macro="" textlink="">
      <xdr:nvSpPr>
        <xdr:cNvPr id="18527" name="Line 1">
          <a:extLst>
            <a:ext uri="{FF2B5EF4-FFF2-40B4-BE49-F238E27FC236}">
              <a16:creationId xmlns:a16="http://schemas.microsoft.com/office/drawing/2014/main" id="{00000000-0008-0000-0300-00005F480000}"/>
            </a:ext>
          </a:extLst>
        </xdr:cNvPr>
        <xdr:cNvSpPr>
          <a:spLocks noChangeShapeType="1"/>
        </xdr:cNvSpPr>
      </xdr:nvSpPr>
      <xdr:spPr bwMode="auto">
        <a:xfrm>
          <a:off x="2392680" y="1516380"/>
          <a:ext cx="207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8</xdr:row>
      <xdr:rowOff>175260</xdr:rowOff>
    </xdr:from>
    <xdr:to>
      <xdr:col>14</xdr:col>
      <xdr:colOff>0</xdr:colOff>
      <xdr:row>8</xdr:row>
      <xdr:rowOff>175260</xdr:rowOff>
    </xdr:to>
    <xdr:sp macro="" textlink="">
      <xdr:nvSpPr>
        <xdr:cNvPr id="18528" name="Line 2">
          <a:extLst>
            <a:ext uri="{FF2B5EF4-FFF2-40B4-BE49-F238E27FC236}">
              <a16:creationId xmlns:a16="http://schemas.microsoft.com/office/drawing/2014/main" id="{00000000-0008-0000-0300-000060480000}"/>
            </a:ext>
          </a:extLst>
        </xdr:cNvPr>
        <xdr:cNvSpPr>
          <a:spLocks noChangeShapeType="1"/>
        </xdr:cNvSpPr>
      </xdr:nvSpPr>
      <xdr:spPr bwMode="auto">
        <a:xfrm>
          <a:off x="2964180" y="2598420"/>
          <a:ext cx="15316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12</xdr:row>
      <xdr:rowOff>175260</xdr:rowOff>
    </xdr:from>
    <xdr:to>
      <xdr:col>13</xdr:col>
      <xdr:colOff>274320</xdr:colOff>
      <xdr:row>12</xdr:row>
      <xdr:rowOff>175260</xdr:rowOff>
    </xdr:to>
    <xdr:sp macro="" textlink="">
      <xdr:nvSpPr>
        <xdr:cNvPr id="18529" name="Line 3">
          <a:extLst>
            <a:ext uri="{FF2B5EF4-FFF2-40B4-BE49-F238E27FC236}">
              <a16:creationId xmlns:a16="http://schemas.microsoft.com/office/drawing/2014/main" id="{00000000-0008-0000-0300-000061480000}"/>
            </a:ext>
          </a:extLst>
        </xdr:cNvPr>
        <xdr:cNvSpPr>
          <a:spLocks noChangeShapeType="1"/>
        </xdr:cNvSpPr>
      </xdr:nvSpPr>
      <xdr:spPr bwMode="auto">
        <a:xfrm>
          <a:off x="2956560" y="3665220"/>
          <a:ext cx="1493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14</xdr:row>
      <xdr:rowOff>175260</xdr:rowOff>
    </xdr:from>
    <xdr:to>
      <xdr:col>13</xdr:col>
      <xdr:colOff>274320</xdr:colOff>
      <xdr:row>14</xdr:row>
      <xdr:rowOff>175260</xdr:rowOff>
    </xdr:to>
    <xdr:sp macro="" textlink="">
      <xdr:nvSpPr>
        <xdr:cNvPr id="18530" name="Line 4">
          <a:extLst>
            <a:ext uri="{FF2B5EF4-FFF2-40B4-BE49-F238E27FC236}">
              <a16:creationId xmlns:a16="http://schemas.microsoft.com/office/drawing/2014/main" id="{00000000-0008-0000-0300-000062480000}"/>
            </a:ext>
          </a:extLst>
        </xdr:cNvPr>
        <xdr:cNvSpPr>
          <a:spLocks noChangeShapeType="1"/>
        </xdr:cNvSpPr>
      </xdr:nvSpPr>
      <xdr:spPr bwMode="auto">
        <a:xfrm>
          <a:off x="3550920" y="4198620"/>
          <a:ext cx="899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182880</xdr:rowOff>
    </xdr:from>
    <xdr:to>
      <xdr:col>13</xdr:col>
      <xdr:colOff>297180</xdr:colOff>
      <xdr:row>16</xdr:row>
      <xdr:rowOff>182880</xdr:rowOff>
    </xdr:to>
    <xdr:sp macro="" textlink="">
      <xdr:nvSpPr>
        <xdr:cNvPr id="18531" name="Line 5">
          <a:extLst>
            <a:ext uri="{FF2B5EF4-FFF2-40B4-BE49-F238E27FC236}">
              <a16:creationId xmlns:a16="http://schemas.microsoft.com/office/drawing/2014/main" id="{00000000-0008-0000-0300-000063480000}"/>
            </a:ext>
          </a:extLst>
        </xdr:cNvPr>
        <xdr:cNvSpPr>
          <a:spLocks noChangeShapeType="1"/>
        </xdr:cNvSpPr>
      </xdr:nvSpPr>
      <xdr:spPr bwMode="auto">
        <a:xfrm>
          <a:off x="4175760" y="4739640"/>
          <a:ext cx="297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160020</xdr:rowOff>
    </xdr:from>
    <xdr:to>
      <xdr:col>13</xdr:col>
      <xdr:colOff>274320</xdr:colOff>
      <xdr:row>6</xdr:row>
      <xdr:rowOff>160020</xdr:rowOff>
    </xdr:to>
    <xdr:sp macro="" textlink="">
      <xdr:nvSpPr>
        <xdr:cNvPr id="18532" name="Line 6">
          <a:extLst>
            <a:ext uri="{FF2B5EF4-FFF2-40B4-BE49-F238E27FC236}">
              <a16:creationId xmlns:a16="http://schemas.microsoft.com/office/drawing/2014/main" id="{00000000-0008-0000-0300-000064480000}"/>
            </a:ext>
          </a:extLst>
        </xdr:cNvPr>
        <xdr:cNvSpPr>
          <a:spLocks noChangeShapeType="1"/>
        </xdr:cNvSpPr>
      </xdr:nvSpPr>
      <xdr:spPr bwMode="auto">
        <a:xfrm>
          <a:off x="4175760" y="20497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4</xdr:row>
      <xdr:rowOff>175260</xdr:rowOff>
    </xdr:from>
    <xdr:to>
      <xdr:col>4</xdr:col>
      <xdr:colOff>0</xdr:colOff>
      <xdr:row>4</xdr:row>
      <xdr:rowOff>175260</xdr:rowOff>
    </xdr:to>
    <xdr:sp macro="" textlink="">
      <xdr:nvSpPr>
        <xdr:cNvPr id="18533" name="Line 7">
          <a:extLst>
            <a:ext uri="{FF2B5EF4-FFF2-40B4-BE49-F238E27FC236}">
              <a16:creationId xmlns:a16="http://schemas.microsoft.com/office/drawing/2014/main" id="{00000000-0008-0000-0300-000065480000}"/>
            </a:ext>
          </a:extLst>
        </xdr:cNvPr>
        <xdr:cNvSpPr>
          <a:spLocks noChangeShapeType="1"/>
        </xdr:cNvSpPr>
      </xdr:nvSpPr>
      <xdr:spPr bwMode="auto">
        <a:xfrm>
          <a:off x="1143000" y="153162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175260</xdr:rowOff>
    </xdr:from>
    <xdr:to>
      <xdr:col>6</xdr:col>
      <xdr:colOff>7620</xdr:colOff>
      <xdr:row>4</xdr:row>
      <xdr:rowOff>175260</xdr:rowOff>
    </xdr:to>
    <xdr:sp macro="" textlink="">
      <xdr:nvSpPr>
        <xdr:cNvPr id="18534" name="Line 8">
          <a:extLst>
            <a:ext uri="{FF2B5EF4-FFF2-40B4-BE49-F238E27FC236}">
              <a16:creationId xmlns:a16="http://schemas.microsoft.com/office/drawing/2014/main" id="{00000000-0008-0000-0300-000066480000}"/>
            </a:ext>
          </a:extLst>
        </xdr:cNvPr>
        <xdr:cNvSpPr>
          <a:spLocks noChangeShapeType="1"/>
        </xdr:cNvSpPr>
      </xdr:nvSpPr>
      <xdr:spPr bwMode="auto">
        <a:xfrm>
          <a:off x="1752600" y="15316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8</xdr:row>
      <xdr:rowOff>175260</xdr:rowOff>
    </xdr:from>
    <xdr:to>
      <xdr:col>4</xdr:col>
      <xdr:colOff>0</xdr:colOff>
      <xdr:row>8</xdr:row>
      <xdr:rowOff>175260</xdr:rowOff>
    </xdr:to>
    <xdr:sp macro="" textlink="">
      <xdr:nvSpPr>
        <xdr:cNvPr id="18535" name="Line 9">
          <a:extLst>
            <a:ext uri="{FF2B5EF4-FFF2-40B4-BE49-F238E27FC236}">
              <a16:creationId xmlns:a16="http://schemas.microsoft.com/office/drawing/2014/main" id="{00000000-0008-0000-0300-000067480000}"/>
            </a:ext>
          </a:extLst>
        </xdr:cNvPr>
        <xdr:cNvSpPr>
          <a:spLocks noChangeShapeType="1"/>
        </xdr:cNvSpPr>
      </xdr:nvSpPr>
      <xdr:spPr bwMode="auto">
        <a:xfrm>
          <a:off x="1143000" y="259842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175260</xdr:rowOff>
    </xdr:from>
    <xdr:to>
      <xdr:col>6</xdr:col>
      <xdr:colOff>7620</xdr:colOff>
      <xdr:row>8</xdr:row>
      <xdr:rowOff>175260</xdr:rowOff>
    </xdr:to>
    <xdr:sp macro="" textlink="">
      <xdr:nvSpPr>
        <xdr:cNvPr id="18536" name="Line 10">
          <a:extLst>
            <a:ext uri="{FF2B5EF4-FFF2-40B4-BE49-F238E27FC236}">
              <a16:creationId xmlns:a16="http://schemas.microsoft.com/office/drawing/2014/main" id="{00000000-0008-0000-0300-000068480000}"/>
            </a:ext>
          </a:extLst>
        </xdr:cNvPr>
        <xdr:cNvSpPr>
          <a:spLocks noChangeShapeType="1"/>
        </xdr:cNvSpPr>
      </xdr:nvSpPr>
      <xdr:spPr bwMode="auto">
        <a:xfrm>
          <a:off x="1752600" y="25984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175260</xdr:rowOff>
    </xdr:from>
    <xdr:to>
      <xdr:col>10</xdr:col>
      <xdr:colOff>0</xdr:colOff>
      <xdr:row>6</xdr:row>
      <xdr:rowOff>175260</xdr:rowOff>
    </xdr:to>
    <xdr:sp macro="" textlink="">
      <xdr:nvSpPr>
        <xdr:cNvPr id="18537" name="Line 11">
          <a:extLst>
            <a:ext uri="{FF2B5EF4-FFF2-40B4-BE49-F238E27FC236}">
              <a16:creationId xmlns:a16="http://schemas.microsoft.com/office/drawing/2014/main" id="{00000000-0008-0000-0300-000069480000}"/>
            </a:ext>
          </a:extLst>
        </xdr:cNvPr>
        <xdr:cNvSpPr>
          <a:spLocks noChangeShapeType="1"/>
        </xdr:cNvSpPr>
      </xdr:nvSpPr>
      <xdr:spPr bwMode="auto">
        <a:xfrm>
          <a:off x="2956560" y="20650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</xdr:row>
      <xdr:rowOff>175260</xdr:rowOff>
    </xdr:from>
    <xdr:to>
      <xdr:col>11</xdr:col>
      <xdr:colOff>220980</xdr:colOff>
      <xdr:row>6</xdr:row>
      <xdr:rowOff>175260</xdr:rowOff>
    </xdr:to>
    <xdr:sp macro="" textlink="">
      <xdr:nvSpPr>
        <xdr:cNvPr id="18538" name="Line 12">
          <a:extLst>
            <a:ext uri="{FF2B5EF4-FFF2-40B4-BE49-F238E27FC236}">
              <a16:creationId xmlns:a16="http://schemas.microsoft.com/office/drawing/2014/main" id="{00000000-0008-0000-0300-00006A480000}"/>
            </a:ext>
          </a:extLst>
        </xdr:cNvPr>
        <xdr:cNvSpPr>
          <a:spLocks noChangeShapeType="1"/>
        </xdr:cNvSpPr>
      </xdr:nvSpPr>
      <xdr:spPr bwMode="auto">
        <a:xfrm>
          <a:off x="3558540" y="206502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10</xdr:row>
      <xdr:rowOff>175260</xdr:rowOff>
    </xdr:from>
    <xdr:to>
      <xdr:col>11</xdr:col>
      <xdr:colOff>205740</xdr:colOff>
      <xdr:row>10</xdr:row>
      <xdr:rowOff>175260</xdr:rowOff>
    </xdr:to>
    <xdr:sp macro="" textlink="">
      <xdr:nvSpPr>
        <xdr:cNvPr id="18539" name="Line 13">
          <a:extLst>
            <a:ext uri="{FF2B5EF4-FFF2-40B4-BE49-F238E27FC236}">
              <a16:creationId xmlns:a16="http://schemas.microsoft.com/office/drawing/2014/main" id="{00000000-0008-0000-0300-00006B480000}"/>
            </a:ext>
          </a:extLst>
        </xdr:cNvPr>
        <xdr:cNvSpPr>
          <a:spLocks noChangeShapeType="1"/>
        </xdr:cNvSpPr>
      </xdr:nvSpPr>
      <xdr:spPr bwMode="auto">
        <a:xfrm>
          <a:off x="3550920" y="31318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10</xdr:row>
      <xdr:rowOff>175260</xdr:rowOff>
    </xdr:from>
    <xdr:to>
      <xdr:col>13</xdr:col>
      <xdr:colOff>274320</xdr:colOff>
      <xdr:row>10</xdr:row>
      <xdr:rowOff>175260</xdr:rowOff>
    </xdr:to>
    <xdr:sp macro="" textlink="">
      <xdr:nvSpPr>
        <xdr:cNvPr id="18540" name="Line 14">
          <a:extLst>
            <a:ext uri="{FF2B5EF4-FFF2-40B4-BE49-F238E27FC236}">
              <a16:creationId xmlns:a16="http://schemas.microsoft.com/office/drawing/2014/main" id="{00000000-0008-0000-0300-00006C480000}"/>
            </a:ext>
          </a:extLst>
        </xdr:cNvPr>
        <xdr:cNvSpPr>
          <a:spLocks noChangeShapeType="1"/>
        </xdr:cNvSpPr>
      </xdr:nvSpPr>
      <xdr:spPr bwMode="auto">
        <a:xfrm>
          <a:off x="4175760" y="31318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12</xdr:row>
      <xdr:rowOff>175260</xdr:rowOff>
    </xdr:from>
    <xdr:to>
      <xdr:col>7</xdr:col>
      <xdr:colOff>190500</xdr:colOff>
      <xdr:row>12</xdr:row>
      <xdr:rowOff>175260</xdr:rowOff>
    </xdr:to>
    <xdr:sp macro="" textlink="">
      <xdr:nvSpPr>
        <xdr:cNvPr id="18541" name="Line 15">
          <a:extLst>
            <a:ext uri="{FF2B5EF4-FFF2-40B4-BE49-F238E27FC236}">
              <a16:creationId xmlns:a16="http://schemas.microsoft.com/office/drawing/2014/main" id="{00000000-0008-0000-0300-00006D480000}"/>
            </a:ext>
          </a:extLst>
        </xdr:cNvPr>
        <xdr:cNvSpPr>
          <a:spLocks noChangeShapeType="1"/>
        </xdr:cNvSpPr>
      </xdr:nvSpPr>
      <xdr:spPr bwMode="auto">
        <a:xfrm flipH="1">
          <a:off x="1143000" y="3665220"/>
          <a:ext cx="1417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14</xdr:row>
      <xdr:rowOff>175260</xdr:rowOff>
    </xdr:from>
    <xdr:to>
      <xdr:col>9</xdr:col>
      <xdr:colOff>205740</xdr:colOff>
      <xdr:row>14</xdr:row>
      <xdr:rowOff>175260</xdr:rowOff>
    </xdr:to>
    <xdr:sp macro="" textlink="">
      <xdr:nvSpPr>
        <xdr:cNvPr id="18542" name="Line 16">
          <a:extLst>
            <a:ext uri="{FF2B5EF4-FFF2-40B4-BE49-F238E27FC236}">
              <a16:creationId xmlns:a16="http://schemas.microsoft.com/office/drawing/2014/main" id="{00000000-0008-0000-0300-00006E480000}"/>
            </a:ext>
          </a:extLst>
        </xdr:cNvPr>
        <xdr:cNvSpPr>
          <a:spLocks noChangeShapeType="1"/>
        </xdr:cNvSpPr>
      </xdr:nvSpPr>
      <xdr:spPr bwMode="auto">
        <a:xfrm flipH="1">
          <a:off x="1752600" y="419862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175260</xdr:rowOff>
    </xdr:from>
    <xdr:to>
      <xdr:col>11</xdr:col>
      <xdr:colOff>220980</xdr:colOff>
      <xdr:row>16</xdr:row>
      <xdr:rowOff>175260</xdr:rowOff>
    </xdr:to>
    <xdr:sp macro="" textlink="">
      <xdr:nvSpPr>
        <xdr:cNvPr id="18543" name="Line 17">
          <a:extLst>
            <a:ext uri="{FF2B5EF4-FFF2-40B4-BE49-F238E27FC236}">
              <a16:creationId xmlns:a16="http://schemas.microsoft.com/office/drawing/2014/main" id="{00000000-0008-0000-0300-00006F480000}"/>
            </a:ext>
          </a:extLst>
        </xdr:cNvPr>
        <xdr:cNvSpPr>
          <a:spLocks noChangeShapeType="1"/>
        </xdr:cNvSpPr>
      </xdr:nvSpPr>
      <xdr:spPr bwMode="auto">
        <a:xfrm flipH="1">
          <a:off x="2369820" y="473202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175260</xdr:rowOff>
    </xdr:from>
    <xdr:to>
      <xdr:col>8</xdr:col>
      <xdr:colOff>0</xdr:colOff>
      <xdr:row>8</xdr:row>
      <xdr:rowOff>175260</xdr:rowOff>
    </xdr:to>
    <xdr:sp macro="" textlink="">
      <xdr:nvSpPr>
        <xdr:cNvPr id="18544" name="Line 18">
          <a:extLst>
            <a:ext uri="{FF2B5EF4-FFF2-40B4-BE49-F238E27FC236}">
              <a16:creationId xmlns:a16="http://schemas.microsoft.com/office/drawing/2014/main" id="{00000000-0008-0000-0300-000070480000}"/>
            </a:ext>
          </a:extLst>
        </xdr:cNvPr>
        <xdr:cNvSpPr>
          <a:spLocks noChangeShapeType="1"/>
        </xdr:cNvSpPr>
      </xdr:nvSpPr>
      <xdr:spPr bwMode="auto">
        <a:xfrm>
          <a:off x="2369820" y="2598420"/>
          <a:ext cx="1981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9</xdr:row>
      <xdr:rowOff>0</xdr:rowOff>
    </xdr:from>
    <xdr:to>
      <xdr:col>2</xdr:col>
      <xdr:colOff>205740</xdr:colOff>
      <xdr:row>11</xdr:row>
      <xdr:rowOff>99060</xdr:rowOff>
    </xdr:to>
    <xdr:sp macro="" textlink="">
      <xdr:nvSpPr>
        <xdr:cNvPr id="18545" name="Line 19">
          <a:extLst>
            <a:ext uri="{FF2B5EF4-FFF2-40B4-BE49-F238E27FC236}">
              <a16:creationId xmlns:a16="http://schemas.microsoft.com/office/drawing/2014/main" id="{00000000-0008-0000-0300-000071480000}"/>
            </a:ext>
          </a:extLst>
        </xdr:cNvPr>
        <xdr:cNvSpPr>
          <a:spLocks noChangeShapeType="1"/>
        </xdr:cNvSpPr>
      </xdr:nvSpPr>
      <xdr:spPr bwMode="auto">
        <a:xfrm>
          <a:off x="952500" y="2766060"/>
          <a:ext cx="0" cy="6324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2</xdr:row>
      <xdr:rowOff>312420</xdr:rowOff>
    </xdr:from>
    <xdr:to>
      <xdr:col>2</xdr:col>
      <xdr:colOff>205740</xdr:colOff>
      <xdr:row>3</xdr:row>
      <xdr:rowOff>152400</xdr:rowOff>
    </xdr:to>
    <xdr:sp macro="" textlink="">
      <xdr:nvSpPr>
        <xdr:cNvPr id="18546" name="Line 20">
          <a:extLst>
            <a:ext uri="{FF2B5EF4-FFF2-40B4-BE49-F238E27FC236}">
              <a16:creationId xmlns:a16="http://schemas.microsoft.com/office/drawing/2014/main" id="{00000000-0008-0000-0300-000072480000}"/>
            </a:ext>
          </a:extLst>
        </xdr:cNvPr>
        <xdr:cNvSpPr>
          <a:spLocks noChangeShapeType="1"/>
        </xdr:cNvSpPr>
      </xdr:nvSpPr>
      <xdr:spPr bwMode="auto">
        <a:xfrm>
          <a:off x="952500" y="1158240"/>
          <a:ext cx="0" cy="1600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5</xdr:row>
      <xdr:rowOff>0</xdr:rowOff>
    </xdr:from>
    <xdr:to>
      <xdr:col>2</xdr:col>
      <xdr:colOff>205740</xdr:colOff>
      <xdr:row>7</xdr:row>
      <xdr:rowOff>144780</xdr:rowOff>
    </xdr:to>
    <xdr:sp macro="" textlink="">
      <xdr:nvSpPr>
        <xdr:cNvPr id="18547" name="Line 21">
          <a:extLst>
            <a:ext uri="{FF2B5EF4-FFF2-40B4-BE49-F238E27FC236}">
              <a16:creationId xmlns:a16="http://schemas.microsoft.com/office/drawing/2014/main" id="{00000000-0008-0000-0300-000073480000}"/>
            </a:ext>
          </a:extLst>
        </xdr:cNvPr>
        <xdr:cNvSpPr>
          <a:spLocks noChangeShapeType="1"/>
        </xdr:cNvSpPr>
      </xdr:nvSpPr>
      <xdr:spPr bwMode="auto">
        <a:xfrm>
          <a:off x="952500" y="169926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182880</xdr:colOff>
      <xdr:row>9</xdr:row>
      <xdr:rowOff>7620</xdr:rowOff>
    </xdr:from>
    <xdr:to>
      <xdr:col>4</xdr:col>
      <xdr:colOff>182880</xdr:colOff>
      <xdr:row>13</xdr:row>
      <xdr:rowOff>83820</xdr:rowOff>
    </xdr:to>
    <xdr:sp macro="" textlink="">
      <xdr:nvSpPr>
        <xdr:cNvPr id="18548" name="Line 22">
          <a:extLst>
            <a:ext uri="{FF2B5EF4-FFF2-40B4-BE49-F238E27FC236}">
              <a16:creationId xmlns:a16="http://schemas.microsoft.com/office/drawing/2014/main" id="{00000000-0008-0000-0300-000074480000}"/>
            </a:ext>
          </a:extLst>
        </xdr:cNvPr>
        <xdr:cNvSpPr>
          <a:spLocks noChangeShapeType="1"/>
        </xdr:cNvSpPr>
      </xdr:nvSpPr>
      <xdr:spPr bwMode="auto">
        <a:xfrm>
          <a:off x="1546860" y="2773680"/>
          <a:ext cx="0" cy="11430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5</xdr:row>
      <xdr:rowOff>22860</xdr:rowOff>
    </xdr:from>
    <xdr:to>
      <xdr:col>4</xdr:col>
      <xdr:colOff>205740</xdr:colOff>
      <xdr:row>8</xdr:row>
      <xdr:rowOff>0</xdr:rowOff>
    </xdr:to>
    <xdr:sp macro="" textlink="">
      <xdr:nvSpPr>
        <xdr:cNvPr id="18549" name="Line 23">
          <a:extLst>
            <a:ext uri="{FF2B5EF4-FFF2-40B4-BE49-F238E27FC236}">
              <a16:creationId xmlns:a16="http://schemas.microsoft.com/office/drawing/2014/main" id="{00000000-0008-0000-0300-000075480000}"/>
            </a:ext>
          </a:extLst>
        </xdr:cNvPr>
        <xdr:cNvSpPr>
          <a:spLocks noChangeShapeType="1"/>
        </xdr:cNvSpPr>
      </xdr:nvSpPr>
      <xdr:spPr bwMode="auto">
        <a:xfrm>
          <a:off x="1569720" y="1722120"/>
          <a:ext cx="0" cy="7010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5</xdr:row>
      <xdr:rowOff>0</xdr:rowOff>
    </xdr:from>
    <xdr:to>
      <xdr:col>6</xdr:col>
      <xdr:colOff>213360</xdr:colOff>
      <xdr:row>7</xdr:row>
      <xdr:rowOff>144780</xdr:rowOff>
    </xdr:to>
    <xdr:sp macro="" textlink="">
      <xdr:nvSpPr>
        <xdr:cNvPr id="18550" name="Line 24">
          <a:extLst>
            <a:ext uri="{FF2B5EF4-FFF2-40B4-BE49-F238E27FC236}">
              <a16:creationId xmlns:a16="http://schemas.microsoft.com/office/drawing/2014/main" id="{00000000-0008-0000-0300-000076480000}"/>
            </a:ext>
          </a:extLst>
        </xdr:cNvPr>
        <xdr:cNvSpPr>
          <a:spLocks noChangeShapeType="1"/>
        </xdr:cNvSpPr>
      </xdr:nvSpPr>
      <xdr:spPr bwMode="auto">
        <a:xfrm>
          <a:off x="2171700" y="169926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3</xdr:row>
      <xdr:rowOff>7620</xdr:rowOff>
    </xdr:from>
    <xdr:to>
      <xdr:col>4</xdr:col>
      <xdr:colOff>198120</xdr:colOff>
      <xdr:row>4</xdr:row>
      <xdr:rowOff>7620</xdr:rowOff>
    </xdr:to>
    <xdr:sp macro="" textlink="">
      <xdr:nvSpPr>
        <xdr:cNvPr id="18551" name="Line 25">
          <a:extLst>
            <a:ext uri="{FF2B5EF4-FFF2-40B4-BE49-F238E27FC236}">
              <a16:creationId xmlns:a16="http://schemas.microsoft.com/office/drawing/2014/main" id="{00000000-0008-0000-0300-000077480000}"/>
            </a:ext>
          </a:extLst>
        </xdr:cNvPr>
        <xdr:cNvSpPr>
          <a:spLocks noChangeShapeType="1"/>
        </xdr:cNvSpPr>
      </xdr:nvSpPr>
      <xdr:spPr bwMode="auto">
        <a:xfrm>
          <a:off x="1562100" y="117348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3</xdr:row>
      <xdr:rowOff>0</xdr:rowOff>
    </xdr:from>
    <xdr:to>
      <xdr:col>6</xdr:col>
      <xdr:colOff>198120</xdr:colOff>
      <xdr:row>4</xdr:row>
      <xdr:rowOff>0</xdr:rowOff>
    </xdr:to>
    <xdr:sp macro="" textlink="">
      <xdr:nvSpPr>
        <xdr:cNvPr id="18552" name="Line 26">
          <a:extLst>
            <a:ext uri="{FF2B5EF4-FFF2-40B4-BE49-F238E27FC236}">
              <a16:creationId xmlns:a16="http://schemas.microsoft.com/office/drawing/2014/main" id="{00000000-0008-0000-0300-000078480000}"/>
            </a:ext>
          </a:extLst>
        </xdr:cNvPr>
        <xdr:cNvSpPr>
          <a:spLocks noChangeShapeType="1"/>
        </xdr:cNvSpPr>
      </xdr:nvSpPr>
      <xdr:spPr bwMode="auto">
        <a:xfrm>
          <a:off x="2156460" y="11658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182880</xdr:colOff>
      <xdr:row>2</xdr:row>
      <xdr:rowOff>312420</xdr:rowOff>
    </xdr:from>
    <xdr:to>
      <xdr:col>8</xdr:col>
      <xdr:colOff>182880</xdr:colOff>
      <xdr:row>5</xdr:row>
      <xdr:rowOff>152400</xdr:rowOff>
    </xdr:to>
    <xdr:sp macro="" textlink="">
      <xdr:nvSpPr>
        <xdr:cNvPr id="18553" name="Line 27">
          <a:extLst>
            <a:ext uri="{FF2B5EF4-FFF2-40B4-BE49-F238E27FC236}">
              <a16:creationId xmlns:a16="http://schemas.microsoft.com/office/drawing/2014/main" id="{00000000-0008-0000-0300-000079480000}"/>
            </a:ext>
          </a:extLst>
        </xdr:cNvPr>
        <xdr:cNvSpPr>
          <a:spLocks noChangeShapeType="1"/>
        </xdr:cNvSpPr>
      </xdr:nvSpPr>
      <xdr:spPr bwMode="auto">
        <a:xfrm>
          <a:off x="2750820" y="1158240"/>
          <a:ext cx="0" cy="6934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3</xdr:row>
      <xdr:rowOff>0</xdr:rowOff>
    </xdr:from>
    <xdr:to>
      <xdr:col>10</xdr:col>
      <xdr:colOff>198120</xdr:colOff>
      <xdr:row>6</xdr:row>
      <xdr:rowOff>0</xdr:rowOff>
    </xdr:to>
    <xdr:sp macro="" textlink="">
      <xdr:nvSpPr>
        <xdr:cNvPr id="18554" name="Line 28">
          <a:extLst>
            <a:ext uri="{FF2B5EF4-FFF2-40B4-BE49-F238E27FC236}">
              <a16:creationId xmlns:a16="http://schemas.microsoft.com/office/drawing/2014/main" id="{00000000-0008-0000-0300-00007A480000}"/>
            </a:ext>
          </a:extLst>
        </xdr:cNvPr>
        <xdr:cNvSpPr>
          <a:spLocks noChangeShapeType="1"/>
        </xdr:cNvSpPr>
      </xdr:nvSpPr>
      <xdr:spPr bwMode="auto">
        <a:xfrm>
          <a:off x="3368040" y="116586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205740</xdr:colOff>
      <xdr:row>3</xdr:row>
      <xdr:rowOff>0</xdr:rowOff>
    </xdr:from>
    <xdr:to>
      <xdr:col>12</xdr:col>
      <xdr:colOff>205740</xdr:colOff>
      <xdr:row>6</xdr:row>
      <xdr:rowOff>0</xdr:rowOff>
    </xdr:to>
    <xdr:sp macro="" textlink="">
      <xdr:nvSpPr>
        <xdr:cNvPr id="18555" name="Line 29">
          <a:extLst>
            <a:ext uri="{FF2B5EF4-FFF2-40B4-BE49-F238E27FC236}">
              <a16:creationId xmlns:a16="http://schemas.microsoft.com/office/drawing/2014/main" id="{00000000-0008-0000-0300-00007B480000}"/>
            </a:ext>
          </a:extLst>
        </xdr:cNvPr>
        <xdr:cNvSpPr>
          <a:spLocks noChangeShapeType="1"/>
        </xdr:cNvSpPr>
      </xdr:nvSpPr>
      <xdr:spPr bwMode="auto">
        <a:xfrm>
          <a:off x="3992880" y="116586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7</xdr:row>
      <xdr:rowOff>7620</xdr:rowOff>
    </xdr:from>
    <xdr:to>
      <xdr:col>8</xdr:col>
      <xdr:colOff>205740</xdr:colOff>
      <xdr:row>8</xdr:row>
      <xdr:rowOff>7620</xdr:rowOff>
    </xdr:to>
    <xdr:sp macro="" textlink="">
      <xdr:nvSpPr>
        <xdr:cNvPr id="18556" name="Line 30">
          <a:extLst>
            <a:ext uri="{FF2B5EF4-FFF2-40B4-BE49-F238E27FC236}">
              <a16:creationId xmlns:a16="http://schemas.microsoft.com/office/drawing/2014/main" id="{00000000-0008-0000-0300-00007C480000}"/>
            </a:ext>
          </a:extLst>
        </xdr:cNvPr>
        <xdr:cNvSpPr>
          <a:spLocks noChangeShapeType="1"/>
        </xdr:cNvSpPr>
      </xdr:nvSpPr>
      <xdr:spPr bwMode="auto">
        <a:xfrm>
          <a:off x="2773680" y="224028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7</xdr:row>
      <xdr:rowOff>0</xdr:rowOff>
    </xdr:from>
    <xdr:to>
      <xdr:col>10</xdr:col>
      <xdr:colOff>205740</xdr:colOff>
      <xdr:row>10</xdr:row>
      <xdr:rowOff>0</xdr:rowOff>
    </xdr:to>
    <xdr:sp macro="" textlink="">
      <xdr:nvSpPr>
        <xdr:cNvPr id="18557" name="Line 31">
          <a:extLst>
            <a:ext uri="{FF2B5EF4-FFF2-40B4-BE49-F238E27FC236}">
              <a16:creationId xmlns:a16="http://schemas.microsoft.com/office/drawing/2014/main" id="{00000000-0008-0000-0300-00007D480000}"/>
            </a:ext>
          </a:extLst>
        </xdr:cNvPr>
        <xdr:cNvSpPr>
          <a:spLocks noChangeShapeType="1"/>
        </xdr:cNvSpPr>
      </xdr:nvSpPr>
      <xdr:spPr bwMode="auto">
        <a:xfrm>
          <a:off x="3375660" y="223266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7</xdr:row>
      <xdr:rowOff>7620</xdr:rowOff>
    </xdr:from>
    <xdr:to>
      <xdr:col>12</xdr:col>
      <xdr:colOff>198120</xdr:colOff>
      <xdr:row>10</xdr:row>
      <xdr:rowOff>7620</xdr:rowOff>
    </xdr:to>
    <xdr:sp macro="" textlink="">
      <xdr:nvSpPr>
        <xdr:cNvPr id="18558" name="Line 32">
          <a:extLst>
            <a:ext uri="{FF2B5EF4-FFF2-40B4-BE49-F238E27FC236}">
              <a16:creationId xmlns:a16="http://schemas.microsoft.com/office/drawing/2014/main" id="{00000000-0008-0000-0300-00007E480000}"/>
            </a:ext>
          </a:extLst>
        </xdr:cNvPr>
        <xdr:cNvSpPr>
          <a:spLocks noChangeShapeType="1"/>
        </xdr:cNvSpPr>
      </xdr:nvSpPr>
      <xdr:spPr bwMode="auto">
        <a:xfrm>
          <a:off x="3985260" y="224028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11</xdr:row>
      <xdr:rowOff>7620</xdr:rowOff>
    </xdr:from>
    <xdr:to>
      <xdr:col>10</xdr:col>
      <xdr:colOff>198120</xdr:colOff>
      <xdr:row>13</xdr:row>
      <xdr:rowOff>106680</xdr:rowOff>
    </xdr:to>
    <xdr:sp macro="" textlink="">
      <xdr:nvSpPr>
        <xdr:cNvPr id="18559" name="Line 33">
          <a:extLst>
            <a:ext uri="{FF2B5EF4-FFF2-40B4-BE49-F238E27FC236}">
              <a16:creationId xmlns:a16="http://schemas.microsoft.com/office/drawing/2014/main" id="{00000000-0008-0000-0300-00007F480000}"/>
            </a:ext>
          </a:extLst>
        </xdr:cNvPr>
        <xdr:cNvSpPr>
          <a:spLocks noChangeShapeType="1"/>
        </xdr:cNvSpPr>
      </xdr:nvSpPr>
      <xdr:spPr bwMode="auto">
        <a:xfrm>
          <a:off x="3368040" y="3307080"/>
          <a:ext cx="0" cy="6324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11</xdr:row>
      <xdr:rowOff>7620</xdr:rowOff>
    </xdr:from>
    <xdr:to>
      <xdr:col>12</xdr:col>
      <xdr:colOff>198120</xdr:colOff>
      <xdr:row>15</xdr:row>
      <xdr:rowOff>106680</xdr:rowOff>
    </xdr:to>
    <xdr:sp macro="" textlink="">
      <xdr:nvSpPr>
        <xdr:cNvPr id="18560" name="Line 34">
          <a:extLst>
            <a:ext uri="{FF2B5EF4-FFF2-40B4-BE49-F238E27FC236}">
              <a16:creationId xmlns:a16="http://schemas.microsoft.com/office/drawing/2014/main" id="{00000000-0008-0000-0300-000080480000}"/>
            </a:ext>
          </a:extLst>
        </xdr:cNvPr>
        <xdr:cNvSpPr>
          <a:spLocks noChangeShapeType="1"/>
        </xdr:cNvSpPr>
      </xdr:nvSpPr>
      <xdr:spPr bwMode="auto">
        <a:xfrm>
          <a:off x="3985260" y="3307080"/>
          <a:ext cx="0" cy="11658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9</xdr:row>
      <xdr:rowOff>7620</xdr:rowOff>
    </xdr:from>
    <xdr:to>
      <xdr:col>8</xdr:col>
      <xdr:colOff>205740</xdr:colOff>
      <xdr:row>11</xdr:row>
      <xdr:rowOff>99060</xdr:rowOff>
    </xdr:to>
    <xdr:sp macro="" textlink="">
      <xdr:nvSpPr>
        <xdr:cNvPr id="18561" name="Line 35">
          <a:extLst>
            <a:ext uri="{FF2B5EF4-FFF2-40B4-BE49-F238E27FC236}">
              <a16:creationId xmlns:a16="http://schemas.microsoft.com/office/drawing/2014/main" id="{00000000-0008-0000-0300-000081480000}"/>
            </a:ext>
          </a:extLst>
        </xdr:cNvPr>
        <xdr:cNvSpPr>
          <a:spLocks noChangeShapeType="1"/>
        </xdr:cNvSpPr>
      </xdr:nvSpPr>
      <xdr:spPr bwMode="auto">
        <a:xfrm>
          <a:off x="2773680" y="2773680"/>
          <a:ext cx="0" cy="6248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9</xdr:row>
      <xdr:rowOff>0</xdr:rowOff>
    </xdr:from>
    <xdr:to>
      <xdr:col>6</xdr:col>
      <xdr:colOff>213360</xdr:colOff>
      <xdr:row>15</xdr:row>
      <xdr:rowOff>83820</xdr:rowOff>
    </xdr:to>
    <xdr:sp macro="" textlink="">
      <xdr:nvSpPr>
        <xdr:cNvPr id="18562" name="Line 36">
          <a:extLst>
            <a:ext uri="{FF2B5EF4-FFF2-40B4-BE49-F238E27FC236}">
              <a16:creationId xmlns:a16="http://schemas.microsoft.com/office/drawing/2014/main" id="{00000000-0008-0000-0300-000082480000}"/>
            </a:ext>
          </a:extLst>
        </xdr:cNvPr>
        <xdr:cNvSpPr>
          <a:spLocks noChangeShapeType="1"/>
        </xdr:cNvSpPr>
      </xdr:nvSpPr>
      <xdr:spPr bwMode="auto">
        <a:xfrm>
          <a:off x="2171700" y="2766060"/>
          <a:ext cx="0" cy="16840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4</xdr:row>
      <xdr:rowOff>15240</xdr:rowOff>
    </xdr:from>
    <xdr:to>
      <xdr:col>1</xdr:col>
      <xdr:colOff>45720</xdr:colOff>
      <xdr:row>7</xdr:row>
      <xdr:rowOff>7620</xdr:rowOff>
    </xdr:to>
    <xdr:sp macro="" textlink="">
      <xdr:nvSpPr>
        <xdr:cNvPr id="18563" name="AutoShape 37">
          <a:extLst>
            <a:ext uri="{FF2B5EF4-FFF2-40B4-BE49-F238E27FC236}">
              <a16:creationId xmlns:a16="http://schemas.microsoft.com/office/drawing/2014/main" id="{00000000-0008-0000-0300-000083480000}"/>
            </a:ext>
          </a:extLst>
        </xdr:cNvPr>
        <xdr:cNvSpPr>
          <a:spLocks/>
        </xdr:cNvSpPr>
      </xdr:nvSpPr>
      <xdr:spPr bwMode="auto">
        <a:xfrm>
          <a:off x="259080" y="1371600"/>
          <a:ext cx="91440" cy="868680"/>
        </a:xfrm>
        <a:prstGeom prst="leftBrace">
          <a:avLst>
            <a:gd name="adj1" fmla="val 7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243840</xdr:colOff>
      <xdr:row>8</xdr:row>
      <xdr:rowOff>38100</xdr:rowOff>
    </xdr:from>
    <xdr:to>
      <xdr:col>1</xdr:col>
      <xdr:colOff>38100</xdr:colOff>
      <xdr:row>11</xdr:row>
      <xdr:rowOff>30480</xdr:rowOff>
    </xdr:to>
    <xdr:sp macro="" textlink="">
      <xdr:nvSpPr>
        <xdr:cNvPr id="18564" name="AutoShape 38">
          <a:extLst>
            <a:ext uri="{FF2B5EF4-FFF2-40B4-BE49-F238E27FC236}">
              <a16:creationId xmlns:a16="http://schemas.microsoft.com/office/drawing/2014/main" id="{00000000-0008-0000-0300-000084480000}"/>
            </a:ext>
          </a:extLst>
        </xdr:cNvPr>
        <xdr:cNvSpPr>
          <a:spLocks/>
        </xdr:cNvSpPr>
      </xdr:nvSpPr>
      <xdr:spPr bwMode="auto">
        <a:xfrm>
          <a:off x="243840" y="2461260"/>
          <a:ext cx="99060" cy="868680"/>
        </a:xfrm>
        <a:prstGeom prst="leftBrace">
          <a:avLst>
            <a:gd name="adj1" fmla="val 7307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259080</xdr:colOff>
      <xdr:row>12</xdr:row>
      <xdr:rowOff>15240</xdr:rowOff>
    </xdr:from>
    <xdr:to>
      <xdr:col>1</xdr:col>
      <xdr:colOff>45720</xdr:colOff>
      <xdr:row>16</xdr:row>
      <xdr:rowOff>327660</xdr:rowOff>
    </xdr:to>
    <xdr:sp macro="" textlink="">
      <xdr:nvSpPr>
        <xdr:cNvPr id="18565" name="AutoShape 39">
          <a:extLst>
            <a:ext uri="{FF2B5EF4-FFF2-40B4-BE49-F238E27FC236}">
              <a16:creationId xmlns:a16="http://schemas.microsoft.com/office/drawing/2014/main" id="{00000000-0008-0000-0300-000085480000}"/>
            </a:ext>
          </a:extLst>
        </xdr:cNvPr>
        <xdr:cNvSpPr>
          <a:spLocks/>
        </xdr:cNvSpPr>
      </xdr:nvSpPr>
      <xdr:spPr bwMode="auto">
        <a:xfrm>
          <a:off x="259080" y="3505200"/>
          <a:ext cx="91440" cy="1379220"/>
        </a:xfrm>
        <a:prstGeom prst="leftBrace">
          <a:avLst>
            <a:gd name="adj1" fmla="val 12569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198120</xdr:colOff>
      <xdr:row>3</xdr:row>
      <xdr:rowOff>7620</xdr:rowOff>
    </xdr:from>
    <xdr:to>
      <xdr:col>6</xdr:col>
      <xdr:colOff>198120</xdr:colOff>
      <xdr:row>4</xdr:row>
      <xdr:rowOff>7620</xdr:rowOff>
    </xdr:to>
    <xdr:sp macro="" textlink="">
      <xdr:nvSpPr>
        <xdr:cNvPr id="18566" name="Line 40">
          <a:extLst>
            <a:ext uri="{FF2B5EF4-FFF2-40B4-BE49-F238E27FC236}">
              <a16:creationId xmlns:a16="http://schemas.microsoft.com/office/drawing/2014/main" id="{00000000-0008-0000-0300-000086480000}"/>
            </a:ext>
          </a:extLst>
        </xdr:cNvPr>
        <xdr:cNvSpPr>
          <a:spLocks noChangeShapeType="1"/>
        </xdr:cNvSpPr>
      </xdr:nvSpPr>
      <xdr:spPr bwMode="auto">
        <a:xfrm>
          <a:off x="2156460" y="117348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175260</xdr:rowOff>
    </xdr:from>
    <xdr:to>
      <xdr:col>8</xdr:col>
      <xdr:colOff>7620</xdr:colOff>
      <xdr:row>8</xdr:row>
      <xdr:rowOff>175260</xdr:rowOff>
    </xdr:to>
    <xdr:sp macro="" textlink="">
      <xdr:nvSpPr>
        <xdr:cNvPr id="18567" name="Line 41">
          <a:extLst>
            <a:ext uri="{FF2B5EF4-FFF2-40B4-BE49-F238E27FC236}">
              <a16:creationId xmlns:a16="http://schemas.microsoft.com/office/drawing/2014/main" id="{00000000-0008-0000-0300-000087480000}"/>
            </a:ext>
          </a:extLst>
        </xdr:cNvPr>
        <xdr:cNvSpPr>
          <a:spLocks noChangeShapeType="1"/>
        </xdr:cNvSpPr>
      </xdr:nvSpPr>
      <xdr:spPr bwMode="auto">
        <a:xfrm>
          <a:off x="2369820" y="2598420"/>
          <a:ext cx="2057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381000</xdr:colOff>
      <xdr:row>10</xdr:row>
      <xdr:rowOff>175260</xdr:rowOff>
    </xdr:from>
    <xdr:to>
      <xdr:col>13</xdr:col>
      <xdr:colOff>205740</xdr:colOff>
      <xdr:row>10</xdr:row>
      <xdr:rowOff>175260</xdr:rowOff>
    </xdr:to>
    <xdr:sp macro="" textlink="">
      <xdr:nvSpPr>
        <xdr:cNvPr id="18568" name="Line 42">
          <a:extLst>
            <a:ext uri="{FF2B5EF4-FFF2-40B4-BE49-F238E27FC236}">
              <a16:creationId xmlns:a16="http://schemas.microsoft.com/office/drawing/2014/main" id="{00000000-0008-0000-0300-000088480000}"/>
            </a:ext>
          </a:extLst>
        </xdr:cNvPr>
        <xdr:cNvSpPr>
          <a:spLocks noChangeShapeType="1"/>
        </xdr:cNvSpPr>
      </xdr:nvSpPr>
      <xdr:spPr bwMode="auto">
        <a:xfrm>
          <a:off x="4168140" y="31318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198121</xdr:colOff>
      <xdr:row>0</xdr:row>
      <xdr:rowOff>85725</xdr:rowOff>
    </xdr:from>
    <xdr:to>
      <xdr:col>11</xdr:col>
      <xdr:colOff>89648</xdr:colOff>
      <xdr:row>0</xdr:row>
      <xdr:rowOff>571500</xdr:rowOff>
    </xdr:to>
    <xdr:sp macro="" textlink="">
      <xdr:nvSpPr>
        <xdr:cNvPr id="18475" name="Rectangle 43">
          <a:extLst>
            <a:ext uri="{FF2B5EF4-FFF2-40B4-BE49-F238E27FC236}">
              <a16:creationId xmlns:a16="http://schemas.microsoft.com/office/drawing/2014/main" id="{00000000-0008-0000-0300-00002B480000}"/>
            </a:ext>
          </a:extLst>
        </xdr:cNvPr>
        <xdr:cNvSpPr>
          <a:spLocks noChangeArrowheads="1"/>
        </xdr:cNvSpPr>
      </xdr:nvSpPr>
      <xdr:spPr bwMode="auto">
        <a:xfrm>
          <a:off x="1560756" y="85725"/>
          <a:ext cx="2078916" cy="48577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1. Notez ici votre programme de production de produits finis</a:t>
          </a: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104775</xdr:colOff>
      <xdr:row>5</xdr:row>
      <xdr:rowOff>102870</xdr:rowOff>
    </xdr:from>
    <xdr:to>
      <xdr:col>4</xdr:col>
      <xdr:colOff>169565</xdr:colOff>
      <xdr:row>8</xdr:row>
      <xdr:rowOff>2012</xdr:rowOff>
    </xdr:to>
    <xdr:sp macro="" textlink="">
      <xdr:nvSpPr>
        <xdr:cNvPr id="18476" name="AutoShape 44">
          <a:extLst>
            <a:ext uri="{FF2B5EF4-FFF2-40B4-BE49-F238E27FC236}">
              <a16:creationId xmlns:a16="http://schemas.microsoft.com/office/drawing/2014/main" id="{00000000-0008-0000-0300-00002C480000}"/>
            </a:ext>
          </a:extLst>
        </xdr:cNvPr>
        <xdr:cNvSpPr>
          <a:spLocks/>
        </xdr:cNvSpPr>
      </xdr:nvSpPr>
      <xdr:spPr bwMode="auto">
        <a:xfrm>
          <a:off x="104775" y="1809750"/>
          <a:ext cx="1381125" cy="638175"/>
        </a:xfrm>
        <a:prstGeom prst="borderCallout2">
          <a:avLst>
            <a:gd name="adj1" fmla="val 17912"/>
            <a:gd name="adj2" fmla="val 105519"/>
            <a:gd name="adj3" fmla="val 17912"/>
            <a:gd name="adj4" fmla="val 107588"/>
            <a:gd name="adj5" fmla="val -32838"/>
            <a:gd name="adj6" fmla="val 10965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200"/>
            </a:lnSpc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2. Reportez ici les besoins de pièces qui en résultent</a:t>
          </a:r>
        </a:p>
        <a:p>
          <a:pPr algn="l" rtl="0">
            <a:lnSpc>
              <a:spcPts val="1000"/>
            </a:lnSpc>
            <a:defRPr sz="1000"/>
          </a:pPr>
          <a:endParaRPr lang="fr-FR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121920</xdr:colOff>
      <xdr:row>2</xdr:row>
      <xdr:rowOff>78105</xdr:rowOff>
    </xdr:from>
    <xdr:to>
      <xdr:col>13</xdr:col>
      <xdr:colOff>171457</xdr:colOff>
      <xdr:row>4</xdr:row>
      <xdr:rowOff>38190</xdr:rowOff>
    </xdr:to>
    <xdr:sp macro="" textlink="">
      <xdr:nvSpPr>
        <xdr:cNvPr id="18478" name="AutoShape 46">
          <a:extLst>
            <a:ext uri="{FF2B5EF4-FFF2-40B4-BE49-F238E27FC236}">
              <a16:creationId xmlns:a16="http://schemas.microsoft.com/office/drawing/2014/main" id="{00000000-0008-0000-0300-00002E480000}"/>
            </a:ext>
          </a:extLst>
        </xdr:cNvPr>
        <xdr:cNvSpPr>
          <a:spLocks/>
        </xdr:cNvSpPr>
      </xdr:nvSpPr>
      <xdr:spPr bwMode="auto">
        <a:xfrm>
          <a:off x="2419350" y="942975"/>
          <a:ext cx="1819275" cy="466725"/>
        </a:xfrm>
        <a:prstGeom prst="borderCallout2">
          <a:avLst>
            <a:gd name="adj1" fmla="val 24491"/>
            <a:gd name="adj2" fmla="val 104190"/>
            <a:gd name="adj3" fmla="val 24491"/>
            <a:gd name="adj4" fmla="val 104190"/>
            <a:gd name="adj5" fmla="val 118366"/>
            <a:gd name="adj6" fmla="val 117278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200"/>
            </a:lnSpc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3. Faîtes le total des besoins par type de pièce</a:t>
          </a:r>
        </a:p>
        <a:p>
          <a:pPr algn="l" rtl="0">
            <a:lnSpc>
              <a:spcPts val="1000"/>
            </a:lnSpc>
            <a:defRPr sz="1000"/>
          </a:pPr>
          <a:endParaRPr lang="fr-FR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36755</xdr:colOff>
      <xdr:row>18</xdr:row>
      <xdr:rowOff>148478</xdr:rowOff>
    </xdr:from>
    <xdr:to>
      <xdr:col>14</xdr:col>
      <xdr:colOff>385482</xdr:colOff>
      <xdr:row>20</xdr:row>
      <xdr:rowOff>385482</xdr:rowOff>
    </xdr:to>
    <xdr:sp macro="" textlink="">
      <xdr:nvSpPr>
        <xdr:cNvPr id="49" name="Rectangle 43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Arrowheads="1"/>
        </xdr:cNvSpPr>
      </xdr:nvSpPr>
      <xdr:spPr bwMode="auto">
        <a:xfrm>
          <a:off x="2600661" y="5195607"/>
          <a:ext cx="2276139" cy="74799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1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Complétez le calcul des couronnes phase A </a:t>
          </a:r>
          <a:r>
            <a:rPr lang="fr-FR" sz="11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blanches</a:t>
          </a:r>
          <a:r>
            <a:rPr lang="fr-FR" sz="11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ajoutant les besoins en pièces détachées</a:t>
          </a:r>
          <a:endParaRPr lang="fr-FR" sz="14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12</xdr:row>
      <xdr:rowOff>38100</xdr:rowOff>
    </xdr:from>
    <xdr:to>
      <xdr:col>11</xdr:col>
      <xdr:colOff>358140</xdr:colOff>
      <xdr:row>12</xdr:row>
      <xdr:rowOff>220980</xdr:rowOff>
    </xdr:to>
    <xdr:sp macro="" textlink="">
      <xdr:nvSpPr>
        <xdr:cNvPr id="16397" name="AutoShape 1">
          <a:extLst>
            <a:ext uri="{FF2B5EF4-FFF2-40B4-BE49-F238E27FC236}">
              <a16:creationId xmlns:a16="http://schemas.microsoft.com/office/drawing/2014/main" id="{00000000-0008-0000-0400-00000D400000}"/>
            </a:ext>
          </a:extLst>
        </xdr:cNvPr>
        <xdr:cNvSpPr>
          <a:spLocks/>
        </xdr:cNvSpPr>
      </xdr:nvSpPr>
      <xdr:spPr bwMode="auto">
        <a:xfrm rot="5400000">
          <a:off x="3227070" y="1969770"/>
          <a:ext cx="182880" cy="2766060"/>
        </a:xfrm>
        <a:prstGeom prst="rightBrace">
          <a:avLst>
            <a:gd name="adj1" fmla="val 126042"/>
            <a:gd name="adj2" fmla="val 31764"/>
          </a:avLst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449580</xdr:colOff>
      <xdr:row>12</xdr:row>
      <xdr:rowOff>259080</xdr:rowOff>
    </xdr:from>
    <xdr:to>
      <xdr:col>10</xdr:col>
      <xdr:colOff>144780</xdr:colOff>
      <xdr:row>12</xdr:row>
      <xdr:rowOff>419100</xdr:rowOff>
    </xdr:to>
    <xdr:sp macro="" textlink="">
      <xdr:nvSpPr>
        <xdr:cNvPr id="16398" name="Line 2">
          <a:extLst>
            <a:ext uri="{FF2B5EF4-FFF2-40B4-BE49-F238E27FC236}">
              <a16:creationId xmlns:a16="http://schemas.microsoft.com/office/drawing/2014/main" id="{00000000-0008-0000-0400-00000E400000}"/>
            </a:ext>
          </a:extLst>
        </xdr:cNvPr>
        <xdr:cNvSpPr>
          <a:spLocks noChangeShapeType="1"/>
        </xdr:cNvSpPr>
      </xdr:nvSpPr>
      <xdr:spPr bwMode="auto">
        <a:xfrm>
          <a:off x="3848100" y="3482340"/>
          <a:ext cx="167640" cy="16002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60960</xdr:colOff>
      <xdr:row>15</xdr:row>
      <xdr:rowOff>137160</xdr:rowOff>
    </xdr:from>
    <xdr:to>
      <xdr:col>8</xdr:col>
      <xdr:colOff>388620</xdr:colOff>
      <xdr:row>15</xdr:row>
      <xdr:rowOff>137160</xdr:rowOff>
    </xdr:to>
    <xdr:sp macro="" textlink="">
      <xdr:nvSpPr>
        <xdr:cNvPr id="16399" name="Line 3">
          <a:extLst>
            <a:ext uri="{FF2B5EF4-FFF2-40B4-BE49-F238E27FC236}">
              <a16:creationId xmlns:a16="http://schemas.microsoft.com/office/drawing/2014/main" id="{00000000-0008-0000-0400-00000F400000}"/>
            </a:ext>
          </a:extLst>
        </xdr:cNvPr>
        <xdr:cNvSpPr>
          <a:spLocks noChangeShapeType="1"/>
        </xdr:cNvSpPr>
      </xdr:nvSpPr>
      <xdr:spPr bwMode="auto">
        <a:xfrm>
          <a:off x="2987040" y="419100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16</xdr:row>
      <xdr:rowOff>144780</xdr:rowOff>
    </xdr:from>
    <xdr:to>
      <xdr:col>8</xdr:col>
      <xdr:colOff>403860</xdr:colOff>
      <xdr:row>16</xdr:row>
      <xdr:rowOff>144780</xdr:rowOff>
    </xdr:to>
    <xdr:sp macro="" textlink="">
      <xdr:nvSpPr>
        <xdr:cNvPr id="16400" name="Line 4">
          <a:extLst>
            <a:ext uri="{FF2B5EF4-FFF2-40B4-BE49-F238E27FC236}">
              <a16:creationId xmlns:a16="http://schemas.microsoft.com/office/drawing/2014/main" id="{00000000-0008-0000-0400-000010400000}"/>
            </a:ext>
          </a:extLst>
        </xdr:cNvPr>
        <xdr:cNvSpPr>
          <a:spLocks noChangeShapeType="1"/>
        </xdr:cNvSpPr>
      </xdr:nvSpPr>
      <xdr:spPr bwMode="auto">
        <a:xfrm>
          <a:off x="3002280" y="44500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91440</xdr:colOff>
      <xdr:row>17</xdr:row>
      <xdr:rowOff>152400</xdr:rowOff>
    </xdr:from>
    <xdr:to>
      <xdr:col>8</xdr:col>
      <xdr:colOff>419100</xdr:colOff>
      <xdr:row>17</xdr:row>
      <xdr:rowOff>152400</xdr:rowOff>
    </xdr:to>
    <xdr:sp macro="" textlink="">
      <xdr:nvSpPr>
        <xdr:cNvPr id="16401" name="Line 5">
          <a:extLst>
            <a:ext uri="{FF2B5EF4-FFF2-40B4-BE49-F238E27FC236}">
              <a16:creationId xmlns:a16="http://schemas.microsoft.com/office/drawing/2014/main" id="{00000000-0008-0000-0400-000011400000}"/>
            </a:ext>
          </a:extLst>
        </xdr:cNvPr>
        <xdr:cNvSpPr>
          <a:spLocks noChangeShapeType="1"/>
        </xdr:cNvSpPr>
      </xdr:nvSpPr>
      <xdr:spPr bwMode="auto">
        <a:xfrm>
          <a:off x="3017520" y="470916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99060</xdr:colOff>
      <xdr:row>18</xdr:row>
      <xdr:rowOff>137160</xdr:rowOff>
    </xdr:from>
    <xdr:to>
      <xdr:col>8</xdr:col>
      <xdr:colOff>426720</xdr:colOff>
      <xdr:row>18</xdr:row>
      <xdr:rowOff>137160</xdr:rowOff>
    </xdr:to>
    <xdr:sp macro="" textlink="">
      <xdr:nvSpPr>
        <xdr:cNvPr id="16402" name="Line 6">
          <a:extLst>
            <a:ext uri="{FF2B5EF4-FFF2-40B4-BE49-F238E27FC236}">
              <a16:creationId xmlns:a16="http://schemas.microsoft.com/office/drawing/2014/main" id="{00000000-0008-0000-0400-000012400000}"/>
            </a:ext>
          </a:extLst>
        </xdr:cNvPr>
        <xdr:cNvSpPr>
          <a:spLocks noChangeShapeType="1"/>
        </xdr:cNvSpPr>
      </xdr:nvSpPr>
      <xdr:spPr bwMode="auto">
        <a:xfrm>
          <a:off x="3025140" y="49453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12</xdr:row>
      <xdr:rowOff>38100</xdr:rowOff>
    </xdr:from>
    <xdr:to>
      <xdr:col>11</xdr:col>
      <xdr:colOff>358140</xdr:colOff>
      <xdr:row>12</xdr:row>
      <xdr:rowOff>220980</xdr:rowOff>
    </xdr:to>
    <xdr:sp macro="" textlink="">
      <xdr:nvSpPr>
        <xdr:cNvPr id="25651" name="AutoShape 1">
          <a:extLst>
            <a:ext uri="{FF2B5EF4-FFF2-40B4-BE49-F238E27FC236}">
              <a16:creationId xmlns:a16="http://schemas.microsoft.com/office/drawing/2014/main" id="{00000000-0008-0000-0500-000033640000}"/>
            </a:ext>
          </a:extLst>
        </xdr:cNvPr>
        <xdr:cNvSpPr>
          <a:spLocks/>
        </xdr:cNvSpPr>
      </xdr:nvSpPr>
      <xdr:spPr bwMode="auto">
        <a:xfrm rot="5400000">
          <a:off x="3261360" y="1935480"/>
          <a:ext cx="182880" cy="2834640"/>
        </a:xfrm>
        <a:prstGeom prst="rightBrace">
          <a:avLst>
            <a:gd name="adj1" fmla="val 129167"/>
            <a:gd name="adj2" fmla="val 31764"/>
          </a:avLst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449580</xdr:colOff>
      <xdr:row>12</xdr:row>
      <xdr:rowOff>259080</xdr:rowOff>
    </xdr:from>
    <xdr:to>
      <xdr:col>10</xdr:col>
      <xdr:colOff>144780</xdr:colOff>
      <xdr:row>12</xdr:row>
      <xdr:rowOff>419100</xdr:rowOff>
    </xdr:to>
    <xdr:sp macro="" textlink="">
      <xdr:nvSpPr>
        <xdr:cNvPr id="25652" name="Line 2">
          <a:extLst>
            <a:ext uri="{FF2B5EF4-FFF2-40B4-BE49-F238E27FC236}">
              <a16:creationId xmlns:a16="http://schemas.microsoft.com/office/drawing/2014/main" id="{00000000-0008-0000-0500-000034640000}"/>
            </a:ext>
          </a:extLst>
        </xdr:cNvPr>
        <xdr:cNvSpPr>
          <a:spLocks noChangeShapeType="1"/>
        </xdr:cNvSpPr>
      </xdr:nvSpPr>
      <xdr:spPr bwMode="auto">
        <a:xfrm>
          <a:off x="3916680" y="3482340"/>
          <a:ext cx="167640" cy="16002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60960</xdr:colOff>
      <xdr:row>15</xdr:row>
      <xdr:rowOff>137160</xdr:rowOff>
    </xdr:from>
    <xdr:to>
      <xdr:col>8</xdr:col>
      <xdr:colOff>388620</xdr:colOff>
      <xdr:row>15</xdr:row>
      <xdr:rowOff>137160</xdr:rowOff>
    </xdr:to>
    <xdr:sp macro="" textlink="">
      <xdr:nvSpPr>
        <xdr:cNvPr id="25653" name="Line 3">
          <a:extLst>
            <a:ext uri="{FF2B5EF4-FFF2-40B4-BE49-F238E27FC236}">
              <a16:creationId xmlns:a16="http://schemas.microsoft.com/office/drawing/2014/main" id="{00000000-0008-0000-0500-000035640000}"/>
            </a:ext>
          </a:extLst>
        </xdr:cNvPr>
        <xdr:cNvSpPr>
          <a:spLocks noChangeShapeType="1"/>
        </xdr:cNvSpPr>
      </xdr:nvSpPr>
      <xdr:spPr bwMode="auto">
        <a:xfrm>
          <a:off x="3055620" y="419100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16</xdr:row>
      <xdr:rowOff>144780</xdr:rowOff>
    </xdr:from>
    <xdr:to>
      <xdr:col>8</xdr:col>
      <xdr:colOff>403860</xdr:colOff>
      <xdr:row>16</xdr:row>
      <xdr:rowOff>144780</xdr:rowOff>
    </xdr:to>
    <xdr:sp macro="" textlink="">
      <xdr:nvSpPr>
        <xdr:cNvPr id="25654" name="Line 4">
          <a:extLst>
            <a:ext uri="{FF2B5EF4-FFF2-40B4-BE49-F238E27FC236}">
              <a16:creationId xmlns:a16="http://schemas.microsoft.com/office/drawing/2014/main" id="{00000000-0008-0000-0500-000036640000}"/>
            </a:ext>
          </a:extLst>
        </xdr:cNvPr>
        <xdr:cNvSpPr>
          <a:spLocks noChangeShapeType="1"/>
        </xdr:cNvSpPr>
      </xdr:nvSpPr>
      <xdr:spPr bwMode="auto">
        <a:xfrm>
          <a:off x="3070860" y="44500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91440</xdr:colOff>
      <xdr:row>17</xdr:row>
      <xdr:rowOff>152400</xdr:rowOff>
    </xdr:from>
    <xdr:to>
      <xdr:col>8</xdr:col>
      <xdr:colOff>419100</xdr:colOff>
      <xdr:row>17</xdr:row>
      <xdr:rowOff>152400</xdr:rowOff>
    </xdr:to>
    <xdr:sp macro="" textlink="">
      <xdr:nvSpPr>
        <xdr:cNvPr id="25655" name="Line 5">
          <a:extLst>
            <a:ext uri="{FF2B5EF4-FFF2-40B4-BE49-F238E27FC236}">
              <a16:creationId xmlns:a16="http://schemas.microsoft.com/office/drawing/2014/main" id="{00000000-0008-0000-0500-000037640000}"/>
            </a:ext>
          </a:extLst>
        </xdr:cNvPr>
        <xdr:cNvSpPr>
          <a:spLocks noChangeShapeType="1"/>
        </xdr:cNvSpPr>
      </xdr:nvSpPr>
      <xdr:spPr bwMode="auto">
        <a:xfrm>
          <a:off x="3086100" y="470916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99060</xdr:colOff>
      <xdr:row>18</xdr:row>
      <xdr:rowOff>137160</xdr:rowOff>
    </xdr:from>
    <xdr:to>
      <xdr:col>8</xdr:col>
      <xdr:colOff>426720</xdr:colOff>
      <xdr:row>18</xdr:row>
      <xdr:rowOff>137160</xdr:rowOff>
    </xdr:to>
    <xdr:sp macro="" textlink="">
      <xdr:nvSpPr>
        <xdr:cNvPr id="25656" name="Line 6">
          <a:extLst>
            <a:ext uri="{FF2B5EF4-FFF2-40B4-BE49-F238E27FC236}">
              <a16:creationId xmlns:a16="http://schemas.microsoft.com/office/drawing/2014/main" id="{00000000-0008-0000-0500-000038640000}"/>
            </a:ext>
          </a:extLst>
        </xdr:cNvPr>
        <xdr:cNvSpPr>
          <a:spLocks noChangeShapeType="1"/>
        </xdr:cNvSpPr>
      </xdr:nvSpPr>
      <xdr:spPr bwMode="auto">
        <a:xfrm>
          <a:off x="3093720" y="49453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137160</xdr:colOff>
      <xdr:row>0</xdr:row>
      <xdr:rowOff>15240</xdr:rowOff>
    </xdr:from>
    <xdr:to>
      <xdr:col>3</xdr:col>
      <xdr:colOff>335280</xdr:colOff>
      <xdr:row>1</xdr:row>
      <xdr:rowOff>15240</xdr:rowOff>
    </xdr:to>
    <xdr:sp macro="" textlink="">
      <xdr:nvSpPr>
        <xdr:cNvPr id="25657" name="Oval 7">
          <a:extLst>
            <a:ext uri="{FF2B5EF4-FFF2-40B4-BE49-F238E27FC236}">
              <a16:creationId xmlns:a16="http://schemas.microsoft.com/office/drawing/2014/main" id="{00000000-0008-0000-0500-000039640000}"/>
            </a:ext>
          </a:extLst>
        </xdr:cNvPr>
        <xdr:cNvSpPr>
          <a:spLocks noChangeArrowheads="1"/>
        </xdr:cNvSpPr>
      </xdr:nvSpPr>
      <xdr:spPr bwMode="auto">
        <a:xfrm>
          <a:off x="662940" y="15240"/>
          <a:ext cx="42672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321945</xdr:colOff>
      <xdr:row>0</xdr:row>
      <xdr:rowOff>76200</xdr:rowOff>
    </xdr:from>
    <xdr:to>
      <xdr:col>7</xdr:col>
      <xdr:colOff>398145</xdr:colOff>
      <xdr:row>2</xdr:row>
      <xdr:rowOff>47625</xdr:rowOff>
    </xdr:to>
    <xdr:sp macro="" textlink="">
      <xdr:nvSpPr>
        <xdr:cNvPr id="25608" name="AutoShape 8">
          <a:extLst>
            <a:ext uri="{FF2B5EF4-FFF2-40B4-BE49-F238E27FC236}">
              <a16:creationId xmlns:a16="http://schemas.microsoft.com/office/drawing/2014/main" id="{00000000-0008-0000-0500-000008640000}"/>
            </a:ext>
          </a:extLst>
        </xdr:cNvPr>
        <xdr:cNvSpPr>
          <a:spLocks/>
        </xdr:cNvSpPr>
      </xdr:nvSpPr>
      <xdr:spPr bwMode="auto">
        <a:xfrm>
          <a:off x="1466850" y="76200"/>
          <a:ext cx="1400175" cy="342900"/>
        </a:xfrm>
        <a:prstGeom prst="borderCallout2">
          <a:avLst>
            <a:gd name="adj1" fmla="val 33333"/>
            <a:gd name="adj2" fmla="val -5713"/>
            <a:gd name="adj3" fmla="val 33333"/>
            <a:gd name="adj4" fmla="val -5713"/>
            <a:gd name="adj5" fmla="val 0"/>
            <a:gd name="adj6" fmla="val -20713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la lettre de votre équipe (A, B, C)</a:t>
          </a:r>
        </a:p>
      </xdr:txBody>
    </xdr:sp>
    <xdr:clientData/>
  </xdr:twoCellAnchor>
  <xdr:twoCellAnchor>
    <xdr:from>
      <xdr:col>6</xdr:col>
      <xdr:colOff>238125</xdr:colOff>
      <xdr:row>7</xdr:row>
      <xdr:rowOff>64770</xdr:rowOff>
    </xdr:from>
    <xdr:to>
      <xdr:col>9</xdr:col>
      <xdr:colOff>0</xdr:colOff>
      <xdr:row>8</xdr:row>
      <xdr:rowOff>115</xdr:rowOff>
    </xdr:to>
    <xdr:sp macro="" textlink="">
      <xdr:nvSpPr>
        <xdr:cNvPr id="25609" name="AutoShape 9">
          <a:extLst>
            <a:ext uri="{FF2B5EF4-FFF2-40B4-BE49-F238E27FC236}">
              <a16:creationId xmlns:a16="http://schemas.microsoft.com/office/drawing/2014/main" id="{00000000-0008-0000-0500-000009640000}"/>
            </a:ext>
          </a:extLst>
        </xdr:cNvPr>
        <xdr:cNvSpPr>
          <a:spLocks/>
        </xdr:cNvSpPr>
      </xdr:nvSpPr>
      <xdr:spPr bwMode="auto">
        <a:xfrm>
          <a:off x="2295525" y="1838325"/>
          <a:ext cx="1057275" cy="247650"/>
        </a:xfrm>
        <a:prstGeom prst="borderCallout2">
          <a:avLst>
            <a:gd name="adj1" fmla="val 46153"/>
            <a:gd name="adj2" fmla="val -7208"/>
            <a:gd name="adj3" fmla="val 46153"/>
            <a:gd name="adj4" fmla="val -7208"/>
            <a:gd name="adj5" fmla="val -34616"/>
            <a:gd name="adj6" fmla="val -3603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Faîtes l'inventaire</a:t>
          </a:r>
        </a:p>
      </xdr:txBody>
    </xdr:sp>
    <xdr:clientData/>
  </xdr:twoCellAnchor>
  <xdr:twoCellAnchor>
    <xdr:from>
      <xdr:col>4</xdr:col>
      <xdr:colOff>38100</xdr:colOff>
      <xdr:row>6</xdr:row>
      <xdr:rowOff>60960</xdr:rowOff>
    </xdr:from>
    <xdr:to>
      <xdr:col>6</xdr:col>
      <xdr:colOff>30480</xdr:colOff>
      <xdr:row>6</xdr:row>
      <xdr:rowOff>266700</xdr:rowOff>
    </xdr:to>
    <xdr:sp macro="" textlink="">
      <xdr:nvSpPr>
        <xdr:cNvPr id="25660" name="Oval 10">
          <a:extLst>
            <a:ext uri="{FF2B5EF4-FFF2-40B4-BE49-F238E27FC236}">
              <a16:creationId xmlns:a16="http://schemas.microsoft.com/office/drawing/2014/main" id="{00000000-0008-0000-0500-00003C640000}"/>
            </a:ext>
          </a:extLst>
        </xdr:cNvPr>
        <xdr:cNvSpPr>
          <a:spLocks noChangeArrowheads="1"/>
        </xdr:cNvSpPr>
      </xdr:nvSpPr>
      <xdr:spPr bwMode="auto">
        <a:xfrm>
          <a:off x="1226820" y="1516380"/>
          <a:ext cx="92964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66675</xdr:colOff>
      <xdr:row>10</xdr:row>
      <xdr:rowOff>38100</xdr:rowOff>
    </xdr:from>
    <xdr:to>
      <xdr:col>7</xdr:col>
      <xdr:colOff>369544</xdr:colOff>
      <xdr:row>10</xdr:row>
      <xdr:rowOff>295275</xdr:rowOff>
    </xdr:to>
    <xdr:sp macro="" textlink="">
      <xdr:nvSpPr>
        <xdr:cNvPr id="25611" name="AutoShape 11">
          <a:extLst>
            <a:ext uri="{FF2B5EF4-FFF2-40B4-BE49-F238E27FC236}">
              <a16:creationId xmlns:a16="http://schemas.microsoft.com/office/drawing/2014/main" id="{00000000-0008-0000-0500-00000B640000}"/>
            </a:ext>
          </a:extLst>
        </xdr:cNvPr>
        <xdr:cNvSpPr>
          <a:spLocks/>
        </xdr:cNvSpPr>
      </xdr:nvSpPr>
      <xdr:spPr bwMode="auto">
        <a:xfrm>
          <a:off x="2124075" y="2733675"/>
          <a:ext cx="714375" cy="257175"/>
        </a:xfrm>
        <a:prstGeom prst="borderCallout2">
          <a:avLst>
            <a:gd name="adj1" fmla="val 44444"/>
            <a:gd name="adj2" fmla="val -10667"/>
            <a:gd name="adj3" fmla="val 44444"/>
            <a:gd name="adj4" fmla="val -10667"/>
            <a:gd name="adj5" fmla="val 100000"/>
            <a:gd name="adj6" fmla="val -1466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Stock total</a:t>
          </a:r>
        </a:p>
      </xdr:txBody>
    </xdr:sp>
    <xdr:clientData/>
  </xdr:twoCellAnchor>
  <xdr:twoCellAnchor>
    <xdr:from>
      <xdr:col>4</xdr:col>
      <xdr:colOff>335280</xdr:colOff>
      <xdr:row>11</xdr:row>
      <xdr:rowOff>0</xdr:rowOff>
    </xdr:from>
    <xdr:to>
      <xdr:col>6</xdr:col>
      <xdr:colOff>68580</xdr:colOff>
      <xdr:row>12</xdr:row>
      <xdr:rowOff>30480</xdr:rowOff>
    </xdr:to>
    <xdr:sp macro="" textlink="">
      <xdr:nvSpPr>
        <xdr:cNvPr id="25662" name="Oval 12">
          <a:extLst>
            <a:ext uri="{FF2B5EF4-FFF2-40B4-BE49-F238E27FC236}">
              <a16:creationId xmlns:a16="http://schemas.microsoft.com/office/drawing/2014/main" id="{00000000-0008-0000-0500-00003E640000}"/>
            </a:ext>
          </a:extLst>
        </xdr:cNvPr>
        <xdr:cNvSpPr>
          <a:spLocks noChangeArrowheads="1"/>
        </xdr:cNvSpPr>
      </xdr:nvSpPr>
      <xdr:spPr bwMode="auto">
        <a:xfrm>
          <a:off x="1524000" y="2979420"/>
          <a:ext cx="670560" cy="2743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16</xdr:row>
      <xdr:rowOff>142875</xdr:rowOff>
    </xdr:from>
    <xdr:to>
      <xdr:col>7</xdr:col>
      <xdr:colOff>38100</xdr:colOff>
      <xdr:row>17</xdr:row>
      <xdr:rowOff>228600</xdr:rowOff>
    </xdr:to>
    <xdr:sp macro="" textlink="">
      <xdr:nvSpPr>
        <xdr:cNvPr id="25613" name="AutoShape 13">
          <a:extLst>
            <a:ext uri="{FF2B5EF4-FFF2-40B4-BE49-F238E27FC236}">
              <a16:creationId xmlns:a16="http://schemas.microsoft.com/office/drawing/2014/main" id="{00000000-0008-0000-0500-00000D640000}"/>
            </a:ext>
          </a:extLst>
        </xdr:cNvPr>
        <xdr:cNvSpPr>
          <a:spLocks/>
        </xdr:cNvSpPr>
      </xdr:nvSpPr>
      <xdr:spPr bwMode="auto">
        <a:xfrm>
          <a:off x="1247775" y="4619625"/>
          <a:ext cx="1266825" cy="342900"/>
        </a:xfrm>
        <a:prstGeom prst="borderCallout2">
          <a:avLst>
            <a:gd name="adj1" fmla="val 33333"/>
            <a:gd name="adj2" fmla="val -6014"/>
            <a:gd name="adj3" fmla="val 33333"/>
            <a:gd name="adj4" fmla="val -6014"/>
            <a:gd name="adj5" fmla="val -33333"/>
            <a:gd name="adj6" fmla="val -1654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Reportez l'efficience de chaque poste</a:t>
          </a:r>
        </a:p>
      </xdr:txBody>
    </xdr:sp>
    <xdr:clientData/>
  </xdr:twoCellAnchor>
  <xdr:twoCellAnchor>
    <xdr:from>
      <xdr:col>5</xdr:col>
      <xdr:colOff>264795</xdr:colOff>
      <xdr:row>18</xdr:row>
      <xdr:rowOff>150495</xdr:rowOff>
    </xdr:from>
    <xdr:to>
      <xdr:col>8</xdr:col>
      <xdr:colOff>200047</xdr:colOff>
      <xdr:row>20</xdr:row>
      <xdr:rowOff>28705</xdr:rowOff>
    </xdr:to>
    <xdr:sp macro="" textlink="">
      <xdr:nvSpPr>
        <xdr:cNvPr id="25614" name="AutoShape 14">
          <a:extLst>
            <a:ext uri="{FF2B5EF4-FFF2-40B4-BE49-F238E27FC236}">
              <a16:creationId xmlns:a16="http://schemas.microsoft.com/office/drawing/2014/main" id="{00000000-0008-0000-0500-00000E640000}"/>
            </a:ext>
          </a:extLst>
        </xdr:cNvPr>
        <xdr:cNvSpPr>
          <a:spLocks/>
        </xdr:cNvSpPr>
      </xdr:nvSpPr>
      <xdr:spPr bwMode="auto">
        <a:xfrm>
          <a:off x="1828800" y="5133975"/>
          <a:ext cx="1266825" cy="342900"/>
        </a:xfrm>
        <a:prstGeom prst="borderCallout2">
          <a:avLst>
            <a:gd name="adj1" fmla="val 33333"/>
            <a:gd name="adj2" fmla="val 106014"/>
            <a:gd name="adj3" fmla="val 33333"/>
            <a:gd name="adj4" fmla="val 106014"/>
            <a:gd name="adj5" fmla="val -213889"/>
            <a:gd name="adj6" fmla="val 132329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Calculez l'efficience moyenne de l'usine</a:t>
          </a:r>
        </a:p>
      </xdr:txBody>
    </xdr:sp>
    <xdr:clientData/>
  </xdr:twoCellAnchor>
  <xdr:twoCellAnchor>
    <xdr:from>
      <xdr:col>10</xdr:col>
      <xdr:colOff>379095</xdr:colOff>
      <xdr:row>18</xdr:row>
      <xdr:rowOff>217170</xdr:rowOff>
    </xdr:from>
    <xdr:to>
      <xdr:col>13</xdr:col>
      <xdr:colOff>358158</xdr:colOff>
      <xdr:row>20</xdr:row>
      <xdr:rowOff>95210</xdr:rowOff>
    </xdr:to>
    <xdr:sp macro="" textlink="">
      <xdr:nvSpPr>
        <xdr:cNvPr id="25615" name="AutoShape 15">
          <a:extLst>
            <a:ext uri="{FF2B5EF4-FFF2-40B4-BE49-F238E27FC236}">
              <a16:creationId xmlns:a16="http://schemas.microsoft.com/office/drawing/2014/main" id="{00000000-0008-0000-0500-00000F640000}"/>
            </a:ext>
          </a:extLst>
        </xdr:cNvPr>
        <xdr:cNvSpPr>
          <a:spLocks/>
        </xdr:cNvSpPr>
      </xdr:nvSpPr>
      <xdr:spPr bwMode="auto">
        <a:xfrm>
          <a:off x="4181475" y="5200650"/>
          <a:ext cx="1266825" cy="342900"/>
        </a:xfrm>
        <a:prstGeom prst="borderCallout2">
          <a:avLst>
            <a:gd name="adj1" fmla="val 33333"/>
            <a:gd name="adj2" fmla="val -6014"/>
            <a:gd name="adj3" fmla="val 33333"/>
            <a:gd name="adj4" fmla="val -6014"/>
            <a:gd name="adj5" fmla="val -241667"/>
            <a:gd name="adj6" fmla="val -18046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Reportez le stock total </a:t>
          </a:r>
        </a:p>
      </xdr:txBody>
    </xdr:sp>
    <xdr:clientData/>
  </xdr:twoCellAnchor>
  <xdr:twoCellAnchor>
    <xdr:from>
      <xdr:col>11</xdr:col>
      <xdr:colOff>367665</xdr:colOff>
      <xdr:row>16</xdr:row>
      <xdr:rowOff>66675</xdr:rowOff>
    </xdr:from>
    <xdr:to>
      <xdr:col>14</xdr:col>
      <xdr:colOff>76254</xdr:colOff>
      <xdr:row>17</xdr:row>
      <xdr:rowOff>152400</xdr:rowOff>
    </xdr:to>
    <xdr:sp macro="" textlink="">
      <xdr:nvSpPr>
        <xdr:cNvPr id="25616" name="AutoShape 16">
          <a:extLst>
            <a:ext uri="{FF2B5EF4-FFF2-40B4-BE49-F238E27FC236}">
              <a16:creationId xmlns:a16="http://schemas.microsoft.com/office/drawing/2014/main" id="{00000000-0008-0000-0500-000010640000}"/>
            </a:ext>
          </a:extLst>
        </xdr:cNvPr>
        <xdr:cNvSpPr>
          <a:spLocks/>
        </xdr:cNvSpPr>
      </xdr:nvSpPr>
      <xdr:spPr bwMode="auto">
        <a:xfrm>
          <a:off x="4619625" y="4543425"/>
          <a:ext cx="981075" cy="342900"/>
        </a:xfrm>
        <a:prstGeom prst="borderCallout2">
          <a:avLst>
            <a:gd name="adj1" fmla="val 33333"/>
            <a:gd name="adj2" fmla="val -7769"/>
            <a:gd name="adj3" fmla="val 33333"/>
            <a:gd name="adj4" fmla="val -7769"/>
            <a:gd name="adj5" fmla="val -41667"/>
            <a:gd name="adj6" fmla="val -14565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Reportez le taux de service</a:t>
          </a:r>
        </a:p>
      </xdr:txBody>
    </xdr:sp>
    <xdr:clientData/>
  </xdr:twoCellAnchor>
  <xdr:twoCellAnchor>
    <xdr:from>
      <xdr:col>2</xdr:col>
      <xdr:colOff>160020</xdr:colOff>
      <xdr:row>15</xdr:row>
      <xdr:rowOff>30480</xdr:rowOff>
    </xdr:from>
    <xdr:to>
      <xdr:col>4</xdr:col>
      <xdr:colOff>68580</xdr:colOff>
      <xdr:row>15</xdr:row>
      <xdr:rowOff>236220</xdr:rowOff>
    </xdr:to>
    <xdr:sp macro="" textlink="">
      <xdr:nvSpPr>
        <xdr:cNvPr id="25667" name="Oval 17">
          <a:extLst>
            <a:ext uri="{FF2B5EF4-FFF2-40B4-BE49-F238E27FC236}">
              <a16:creationId xmlns:a16="http://schemas.microsoft.com/office/drawing/2014/main" id="{00000000-0008-0000-0500-000043640000}"/>
            </a:ext>
          </a:extLst>
        </xdr:cNvPr>
        <xdr:cNvSpPr>
          <a:spLocks noChangeArrowheads="1"/>
        </xdr:cNvSpPr>
      </xdr:nvSpPr>
      <xdr:spPr bwMode="auto">
        <a:xfrm>
          <a:off x="685800" y="4084320"/>
          <a:ext cx="57150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464820</xdr:colOff>
      <xdr:row>15</xdr:row>
      <xdr:rowOff>7620</xdr:rowOff>
    </xdr:from>
    <xdr:to>
      <xdr:col>9</xdr:col>
      <xdr:colOff>441960</xdr:colOff>
      <xdr:row>16</xdr:row>
      <xdr:rowOff>0</xdr:rowOff>
    </xdr:to>
    <xdr:sp macro="" textlink="">
      <xdr:nvSpPr>
        <xdr:cNvPr id="25668" name="Oval 18">
          <a:extLst>
            <a:ext uri="{FF2B5EF4-FFF2-40B4-BE49-F238E27FC236}">
              <a16:creationId xmlns:a16="http://schemas.microsoft.com/office/drawing/2014/main" id="{00000000-0008-0000-0500-000044640000}"/>
            </a:ext>
          </a:extLst>
        </xdr:cNvPr>
        <xdr:cNvSpPr>
          <a:spLocks noChangeArrowheads="1"/>
        </xdr:cNvSpPr>
      </xdr:nvSpPr>
      <xdr:spPr bwMode="auto">
        <a:xfrm>
          <a:off x="3459480" y="4061460"/>
          <a:ext cx="449580" cy="2438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449580</xdr:colOff>
      <xdr:row>15</xdr:row>
      <xdr:rowOff>7620</xdr:rowOff>
    </xdr:from>
    <xdr:to>
      <xdr:col>11</xdr:col>
      <xdr:colOff>38100</xdr:colOff>
      <xdr:row>16</xdr:row>
      <xdr:rowOff>0</xdr:rowOff>
    </xdr:to>
    <xdr:sp macro="" textlink="">
      <xdr:nvSpPr>
        <xdr:cNvPr id="25669" name="Oval 19">
          <a:extLst>
            <a:ext uri="{FF2B5EF4-FFF2-40B4-BE49-F238E27FC236}">
              <a16:creationId xmlns:a16="http://schemas.microsoft.com/office/drawing/2014/main" id="{00000000-0008-0000-0500-000045640000}"/>
            </a:ext>
          </a:extLst>
        </xdr:cNvPr>
        <xdr:cNvSpPr>
          <a:spLocks noChangeArrowheads="1"/>
        </xdr:cNvSpPr>
      </xdr:nvSpPr>
      <xdr:spPr bwMode="auto">
        <a:xfrm>
          <a:off x="3916680" y="4061460"/>
          <a:ext cx="533400" cy="2438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45720</xdr:colOff>
      <xdr:row>15</xdr:row>
      <xdr:rowOff>7620</xdr:rowOff>
    </xdr:from>
    <xdr:to>
      <xdr:col>11</xdr:col>
      <xdr:colOff>396240</xdr:colOff>
      <xdr:row>16</xdr:row>
      <xdr:rowOff>0</xdr:rowOff>
    </xdr:to>
    <xdr:sp macro="" textlink="">
      <xdr:nvSpPr>
        <xdr:cNvPr id="25670" name="Oval 20">
          <a:extLst>
            <a:ext uri="{FF2B5EF4-FFF2-40B4-BE49-F238E27FC236}">
              <a16:creationId xmlns:a16="http://schemas.microsoft.com/office/drawing/2014/main" id="{00000000-0008-0000-0500-000046640000}"/>
            </a:ext>
          </a:extLst>
        </xdr:cNvPr>
        <xdr:cNvSpPr>
          <a:spLocks noChangeArrowheads="1"/>
        </xdr:cNvSpPr>
      </xdr:nvSpPr>
      <xdr:spPr bwMode="auto">
        <a:xfrm>
          <a:off x="4457700" y="4061460"/>
          <a:ext cx="350520" cy="2438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171450</xdr:colOff>
      <xdr:row>27</xdr:row>
      <xdr:rowOff>125730</xdr:rowOff>
    </xdr:from>
    <xdr:to>
      <xdr:col>8</xdr:col>
      <xdr:colOff>302905</xdr:colOff>
      <xdr:row>29</xdr:row>
      <xdr:rowOff>219053</xdr:rowOff>
    </xdr:to>
    <xdr:sp macro="" textlink="">
      <xdr:nvSpPr>
        <xdr:cNvPr id="25622" name="AutoShape 22">
          <a:extLst>
            <a:ext uri="{FF2B5EF4-FFF2-40B4-BE49-F238E27FC236}">
              <a16:creationId xmlns:a16="http://schemas.microsoft.com/office/drawing/2014/main" id="{00000000-0008-0000-0500-000016640000}"/>
            </a:ext>
          </a:extLst>
        </xdr:cNvPr>
        <xdr:cNvSpPr>
          <a:spLocks/>
        </xdr:cNvSpPr>
      </xdr:nvSpPr>
      <xdr:spPr bwMode="auto">
        <a:xfrm>
          <a:off x="1743075" y="7524750"/>
          <a:ext cx="1447800" cy="561975"/>
        </a:xfrm>
        <a:prstGeom prst="borderCallout2">
          <a:avLst>
            <a:gd name="adj1" fmla="val 20338"/>
            <a:gd name="adj2" fmla="val -5264"/>
            <a:gd name="adj3" fmla="val 20338"/>
            <a:gd name="adj4" fmla="val -5264"/>
            <a:gd name="adj5" fmla="val -81356"/>
            <a:gd name="adj6" fmla="val -4342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les points que vous affectez au progrès sur ce poste</a:t>
          </a:r>
        </a:p>
      </xdr:txBody>
    </xdr:sp>
    <xdr:clientData/>
  </xdr:twoCellAnchor>
  <xdr:twoCellAnchor>
    <xdr:from>
      <xdr:col>9</xdr:col>
      <xdr:colOff>217170</xdr:colOff>
      <xdr:row>28</xdr:row>
      <xdr:rowOff>87630</xdr:rowOff>
    </xdr:from>
    <xdr:to>
      <xdr:col>11</xdr:col>
      <xdr:colOff>255270</xdr:colOff>
      <xdr:row>30</xdr:row>
      <xdr:rowOff>171508</xdr:rowOff>
    </xdr:to>
    <xdr:sp macro="" textlink="">
      <xdr:nvSpPr>
        <xdr:cNvPr id="25623" name="AutoShape 23">
          <a:extLst>
            <a:ext uri="{FF2B5EF4-FFF2-40B4-BE49-F238E27FC236}">
              <a16:creationId xmlns:a16="http://schemas.microsoft.com/office/drawing/2014/main" id="{00000000-0008-0000-0500-000017640000}"/>
            </a:ext>
          </a:extLst>
        </xdr:cNvPr>
        <xdr:cNvSpPr>
          <a:spLocks/>
        </xdr:cNvSpPr>
      </xdr:nvSpPr>
      <xdr:spPr bwMode="auto">
        <a:xfrm>
          <a:off x="3562350" y="7724775"/>
          <a:ext cx="952500" cy="552450"/>
        </a:xfrm>
        <a:prstGeom prst="borderCallout2">
          <a:avLst>
            <a:gd name="adj1" fmla="val 20690"/>
            <a:gd name="adj2" fmla="val 108000"/>
            <a:gd name="adj3" fmla="val 20690"/>
            <a:gd name="adj4" fmla="val 108000"/>
            <a:gd name="adj5" fmla="val -103449"/>
            <a:gd name="adj6" fmla="val 159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Le total des points auxquels vous avez droit</a:t>
          </a:r>
        </a:p>
      </xdr:txBody>
    </xdr:sp>
    <xdr:clientData/>
  </xdr:twoCellAnchor>
  <xdr:twoCellAnchor>
    <xdr:from>
      <xdr:col>2</xdr:col>
      <xdr:colOff>175260</xdr:colOff>
      <xdr:row>25</xdr:row>
      <xdr:rowOff>38100</xdr:rowOff>
    </xdr:from>
    <xdr:to>
      <xdr:col>4</xdr:col>
      <xdr:colOff>30480</xdr:colOff>
      <xdr:row>26</xdr:row>
      <xdr:rowOff>7620</xdr:rowOff>
    </xdr:to>
    <xdr:sp macro="" textlink="">
      <xdr:nvSpPr>
        <xdr:cNvPr id="25674" name="Oval 24">
          <a:extLst>
            <a:ext uri="{FF2B5EF4-FFF2-40B4-BE49-F238E27FC236}">
              <a16:creationId xmlns:a16="http://schemas.microsoft.com/office/drawing/2014/main" id="{00000000-0008-0000-0500-00004A640000}"/>
            </a:ext>
          </a:extLst>
        </xdr:cNvPr>
        <xdr:cNvSpPr>
          <a:spLocks noChangeArrowheads="1"/>
        </xdr:cNvSpPr>
      </xdr:nvSpPr>
      <xdr:spPr bwMode="auto">
        <a:xfrm>
          <a:off x="701040" y="6743700"/>
          <a:ext cx="51816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25</xdr:row>
      <xdr:rowOff>15240</xdr:rowOff>
    </xdr:from>
    <xdr:to>
      <xdr:col>14</xdr:col>
      <xdr:colOff>76200</xdr:colOff>
      <xdr:row>25</xdr:row>
      <xdr:rowOff>228600</xdr:rowOff>
    </xdr:to>
    <xdr:sp macro="" textlink="">
      <xdr:nvSpPr>
        <xdr:cNvPr id="25675" name="Oval 25">
          <a:extLst>
            <a:ext uri="{FF2B5EF4-FFF2-40B4-BE49-F238E27FC236}">
              <a16:creationId xmlns:a16="http://schemas.microsoft.com/office/drawing/2014/main" id="{00000000-0008-0000-0500-00004B640000}"/>
            </a:ext>
          </a:extLst>
        </xdr:cNvPr>
        <xdr:cNvSpPr>
          <a:spLocks noChangeArrowheads="1"/>
        </xdr:cNvSpPr>
      </xdr:nvSpPr>
      <xdr:spPr bwMode="auto">
        <a:xfrm>
          <a:off x="5280660" y="6720840"/>
          <a:ext cx="510540" cy="2133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0</xdr:rowOff>
    </xdr:from>
    <xdr:to>
      <xdr:col>8</xdr:col>
      <xdr:colOff>228600</xdr:colOff>
      <xdr:row>1</xdr:row>
      <xdr:rowOff>0</xdr:rowOff>
    </xdr:to>
    <xdr:sp macro="" textlink="">
      <xdr:nvSpPr>
        <xdr:cNvPr id="28675" name="Line 1">
          <a:extLst>
            <a:ext uri="{FF2B5EF4-FFF2-40B4-BE49-F238E27FC236}">
              <a16:creationId xmlns:a16="http://schemas.microsoft.com/office/drawing/2014/main" id="{00000000-0008-0000-0600-000003700000}"/>
            </a:ext>
          </a:extLst>
        </xdr:cNvPr>
        <xdr:cNvSpPr>
          <a:spLocks noChangeShapeType="1"/>
        </xdr:cNvSpPr>
      </xdr:nvSpPr>
      <xdr:spPr bwMode="auto">
        <a:xfrm>
          <a:off x="3474720" y="205740"/>
          <a:ext cx="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152400</xdr:rowOff>
    </xdr:from>
    <xdr:to>
      <xdr:col>4</xdr:col>
      <xdr:colOff>335280</xdr:colOff>
      <xdr:row>3</xdr:row>
      <xdr:rowOff>152400</xdr:rowOff>
    </xdr:to>
    <xdr:sp macro="" textlink="">
      <xdr:nvSpPr>
        <xdr:cNvPr id="19496" name="Line 6">
          <a:extLst>
            <a:ext uri="{FF2B5EF4-FFF2-40B4-BE49-F238E27FC236}">
              <a16:creationId xmlns:a16="http://schemas.microsoft.com/office/drawing/2014/main" id="{00000000-0008-0000-0700-0000284C0000}"/>
            </a:ext>
          </a:extLst>
        </xdr:cNvPr>
        <xdr:cNvSpPr>
          <a:spLocks noChangeShapeType="1"/>
        </xdr:cNvSpPr>
      </xdr:nvSpPr>
      <xdr:spPr bwMode="auto">
        <a:xfrm>
          <a:off x="3246120" y="9067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7</xdr:row>
      <xdr:rowOff>121920</xdr:rowOff>
    </xdr:from>
    <xdr:to>
      <xdr:col>4</xdr:col>
      <xdr:colOff>320040</xdr:colOff>
      <xdr:row>7</xdr:row>
      <xdr:rowOff>121920</xdr:rowOff>
    </xdr:to>
    <xdr:sp macro="" textlink="">
      <xdr:nvSpPr>
        <xdr:cNvPr id="19497" name="Line 7">
          <a:extLst>
            <a:ext uri="{FF2B5EF4-FFF2-40B4-BE49-F238E27FC236}">
              <a16:creationId xmlns:a16="http://schemas.microsoft.com/office/drawing/2014/main" id="{00000000-0008-0000-0700-0000294C0000}"/>
            </a:ext>
          </a:extLst>
        </xdr:cNvPr>
        <xdr:cNvSpPr>
          <a:spLocks noChangeShapeType="1"/>
        </xdr:cNvSpPr>
      </xdr:nvSpPr>
      <xdr:spPr bwMode="auto">
        <a:xfrm>
          <a:off x="3230880" y="17678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68580</xdr:colOff>
      <xdr:row>11</xdr:row>
      <xdr:rowOff>144780</xdr:rowOff>
    </xdr:from>
    <xdr:to>
      <xdr:col>4</xdr:col>
      <xdr:colOff>342900</xdr:colOff>
      <xdr:row>11</xdr:row>
      <xdr:rowOff>144780</xdr:rowOff>
    </xdr:to>
    <xdr:sp macro="" textlink="">
      <xdr:nvSpPr>
        <xdr:cNvPr id="19498" name="Line 8">
          <a:extLst>
            <a:ext uri="{FF2B5EF4-FFF2-40B4-BE49-F238E27FC236}">
              <a16:creationId xmlns:a16="http://schemas.microsoft.com/office/drawing/2014/main" id="{00000000-0008-0000-0700-00002A4C0000}"/>
            </a:ext>
          </a:extLst>
        </xdr:cNvPr>
        <xdr:cNvSpPr>
          <a:spLocks noChangeShapeType="1"/>
        </xdr:cNvSpPr>
      </xdr:nvSpPr>
      <xdr:spPr bwMode="auto">
        <a:xfrm>
          <a:off x="3253740" y="26441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60960</xdr:colOff>
      <xdr:row>15</xdr:row>
      <xdr:rowOff>121920</xdr:rowOff>
    </xdr:from>
    <xdr:to>
      <xdr:col>4</xdr:col>
      <xdr:colOff>335280</xdr:colOff>
      <xdr:row>15</xdr:row>
      <xdr:rowOff>121920</xdr:rowOff>
    </xdr:to>
    <xdr:sp macro="" textlink="">
      <xdr:nvSpPr>
        <xdr:cNvPr id="19499" name="Line 9">
          <a:extLst>
            <a:ext uri="{FF2B5EF4-FFF2-40B4-BE49-F238E27FC236}">
              <a16:creationId xmlns:a16="http://schemas.microsoft.com/office/drawing/2014/main" id="{00000000-0008-0000-0700-00002B4C0000}"/>
            </a:ext>
          </a:extLst>
        </xdr:cNvPr>
        <xdr:cNvSpPr>
          <a:spLocks noChangeShapeType="1"/>
        </xdr:cNvSpPr>
      </xdr:nvSpPr>
      <xdr:spPr bwMode="auto">
        <a:xfrm>
          <a:off x="3246120" y="35128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19</xdr:row>
      <xdr:rowOff>121920</xdr:rowOff>
    </xdr:from>
    <xdr:to>
      <xdr:col>4</xdr:col>
      <xdr:colOff>320040</xdr:colOff>
      <xdr:row>19</xdr:row>
      <xdr:rowOff>121920</xdr:rowOff>
    </xdr:to>
    <xdr:sp macro="" textlink="">
      <xdr:nvSpPr>
        <xdr:cNvPr id="19500" name="Line 10">
          <a:extLst>
            <a:ext uri="{FF2B5EF4-FFF2-40B4-BE49-F238E27FC236}">
              <a16:creationId xmlns:a16="http://schemas.microsoft.com/office/drawing/2014/main" id="{00000000-0008-0000-0700-00002C4C0000}"/>
            </a:ext>
          </a:extLst>
        </xdr:cNvPr>
        <xdr:cNvSpPr>
          <a:spLocks noChangeShapeType="1"/>
        </xdr:cNvSpPr>
      </xdr:nvSpPr>
      <xdr:spPr bwMode="auto">
        <a:xfrm>
          <a:off x="3230880" y="43738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23</xdr:row>
      <xdr:rowOff>121920</xdr:rowOff>
    </xdr:from>
    <xdr:to>
      <xdr:col>4</xdr:col>
      <xdr:colOff>350520</xdr:colOff>
      <xdr:row>23</xdr:row>
      <xdr:rowOff>121920</xdr:rowOff>
    </xdr:to>
    <xdr:sp macro="" textlink="">
      <xdr:nvSpPr>
        <xdr:cNvPr id="19501" name="Line 11">
          <a:extLst>
            <a:ext uri="{FF2B5EF4-FFF2-40B4-BE49-F238E27FC236}">
              <a16:creationId xmlns:a16="http://schemas.microsoft.com/office/drawing/2014/main" id="{00000000-0008-0000-0700-00002D4C0000}"/>
            </a:ext>
          </a:extLst>
        </xdr:cNvPr>
        <xdr:cNvSpPr>
          <a:spLocks noChangeShapeType="1"/>
        </xdr:cNvSpPr>
      </xdr:nvSpPr>
      <xdr:spPr bwMode="auto">
        <a:xfrm>
          <a:off x="3261360" y="52882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152400</xdr:rowOff>
    </xdr:from>
    <xdr:to>
      <xdr:col>4</xdr:col>
      <xdr:colOff>335280</xdr:colOff>
      <xdr:row>3</xdr:row>
      <xdr:rowOff>152400</xdr:rowOff>
    </xdr:to>
    <xdr:sp macro="" textlink="">
      <xdr:nvSpPr>
        <xdr:cNvPr id="21517" name="Line 1">
          <a:extLst>
            <a:ext uri="{FF2B5EF4-FFF2-40B4-BE49-F238E27FC236}">
              <a16:creationId xmlns:a16="http://schemas.microsoft.com/office/drawing/2014/main" id="{00000000-0008-0000-0800-00000D540000}"/>
            </a:ext>
          </a:extLst>
        </xdr:cNvPr>
        <xdr:cNvSpPr>
          <a:spLocks noChangeShapeType="1"/>
        </xdr:cNvSpPr>
      </xdr:nvSpPr>
      <xdr:spPr bwMode="auto">
        <a:xfrm>
          <a:off x="3246120" y="9067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7</xdr:row>
      <xdr:rowOff>121920</xdr:rowOff>
    </xdr:from>
    <xdr:to>
      <xdr:col>4</xdr:col>
      <xdr:colOff>320040</xdr:colOff>
      <xdr:row>7</xdr:row>
      <xdr:rowOff>121920</xdr:rowOff>
    </xdr:to>
    <xdr:sp macro="" textlink="">
      <xdr:nvSpPr>
        <xdr:cNvPr id="21518" name="Line 2">
          <a:extLst>
            <a:ext uri="{FF2B5EF4-FFF2-40B4-BE49-F238E27FC236}">
              <a16:creationId xmlns:a16="http://schemas.microsoft.com/office/drawing/2014/main" id="{00000000-0008-0000-0800-00000E540000}"/>
            </a:ext>
          </a:extLst>
        </xdr:cNvPr>
        <xdr:cNvSpPr>
          <a:spLocks noChangeShapeType="1"/>
        </xdr:cNvSpPr>
      </xdr:nvSpPr>
      <xdr:spPr bwMode="auto">
        <a:xfrm>
          <a:off x="3230880" y="17678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68580</xdr:colOff>
      <xdr:row>11</xdr:row>
      <xdr:rowOff>144780</xdr:rowOff>
    </xdr:from>
    <xdr:to>
      <xdr:col>4</xdr:col>
      <xdr:colOff>342900</xdr:colOff>
      <xdr:row>11</xdr:row>
      <xdr:rowOff>144780</xdr:rowOff>
    </xdr:to>
    <xdr:sp macro="" textlink="">
      <xdr:nvSpPr>
        <xdr:cNvPr id="21519" name="Line 3">
          <a:extLst>
            <a:ext uri="{FF2B5EF4-FFF2-40B4-BE49-F238E27FC236}">
              <a16:creationId xmlns:a16="http://schemas.microsoft.com/office/drawing/2014/main" id="{00000000-0008-0000-0800-00000F540000}"/>
            </a:ext>
          </a:extLst>
        </xdr:cNvPr>
        <xdr:cNvSpPr>
          <a:spLocks noChangeShapeType="1"/>
        </xdr:cNvSpPr>
      </xdr:nvSpPr>
      <xdr:spPr bwMode="auto">
        <a:xfrm>
          <a:off x="3253740" y="26441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60960</xdr:colOff>
      <xdr:row>15</xdr:row>
      <xdr:rowOff>121920</xdr:rowOff>
    </xdr:from>
    <xdr:to>
      <xdr:col>4</xdr:col>
      <xdr:colOff>335280</xdr:colOff>
      <xdr:row>15</xdr:row>
      <xdr:rowOff>121920</xdr:rowOff>
    </xdr:to>
    <xdr:sp macro="" textlink="">
      <xdr:nvSpPr>
        <xdr:cNvPr id="21520" name="Line 4">
          <a:extLst>
            <a:ext uri="{FF2B5EF4-FFF2-40B4-BE49-F238E27FC236}">
              <a16:creationId xmlns:a16="http://schemas.microsoft.com/office/drawing/2014/main" id="{00000000-0008-0000-0800-000010540000}"/>
            </a:ext>
          </a:extLst>
        </xdr:cNvPr>
        <xdr:cNvSpPr>
          <a:spLocks noChangeShapeType="1"/>
        </xdr:cNvSpPr>
      </xdr:nvSpPr>
      <xdr:spPr bwMode="auto">
        <a:xfrm>
          <a:off x="3246120" y="35128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19</xdr:row>
      <xdr:rowOff>121920</xdr:rowOff>
    </xdr:from>
    <xdr:to>
      <xdr:col>4</xdr:col>
      <xdr:colOff>320040</xdr:colOff>
      <xdr:row>19</xdr:row>
      <xdr:rowOff>121920</xdr:rowOff>
    </xdr:to>
    <xdr:sp macro="" textlink="">
      <xdr:nvSpPr>
        <xdr:cNvPr id="21521" name="Line 5">
          <a:extLst>
            <a:ext uri="{FF2B5EF4-FFF2-40B4-BE49-F238E27FC236}">
              <a16:creationId xmlns:a16="http://schemas.microsoft.com/office/drawing/2014/main" id="{00000000-0008-0000-0800-000011540000}"/>
            </a:ext>
          </a:extLst>
        </xdr:cNvPr>
        <xdr:cNvSpPr>
          <a:spLocks noChangeShapeType="1"/>
        </xdr:cNvSpPr>
      </xdr:nvSpPr>
      <xdr:spPr bwMode="auto">
        <a:xfrm>
          <a:off x="3230880" y="43738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23</xdr:row>
      <xdr:rowOff>121920</xdr:rowOff>
    </xdr:from>
    <xdr:to>
      <xdr:col>4</xdr:col>
      <xdr:colOff>350520</xdr:colOff>
      <xdr:row>23</xdr:row>
      <xdr:rowOff>121920</xdr:rowOff>
    </xdr:to>
    <xdr:sp macro="" textlink="">
      <xdr:nvSpPr>
        <xdr:cNvPr id="21522" name="Line 6">
          <a:extLst>
            <a:ext uri="{FF2B5EF4-FFF2-40B4-BE49-F238E27FC236}">
              <a16:creationId xmlns:a16="http://schemas.microsoft.com/office/drawing/2014/main" id="{00000000-0008-0000-0800-000012540000}"/>
            </a:ext>
          </a:extLst>
        </xdr:cNvPr>
        <xdr:cNvSpPr>
          <a:spLocks noChangeShapeType="1"/>
        </xdr:cNvSpPr>
      </xdr:nvSpPr>
      <xdr:spPr bwMode="auto">
        <a:xfrm>
          <a:off x="3261360" y="52882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showGridLines="0" tabSelected="1" zoomScale="85" zoomScaleNormal="85" workbookViewId="0">
      <pane ySplit="12" topLeftCell="A19" activePane="bottomLeft" state="frozen"/>
      <selection pane="bottomLeft" activeCell="R49" sqref="R49:S49"/>
    </sheetView>
  </sheetViews>
  <sheetFormatPr baseColWidth="10" defaultColWidth="11.42578125" defaultRowHeight="12.75"/>
  <cols>
    <col min="1" max="1" width="3.140625" style="2" customWidth="1"/>
    <col min="2" max="10" width="4.7109375" style="2" customWidth="1"/>
    <col min="11" max="11" width="3.85546875" style="1" customWidth="1"/>
    <col min="12" max="12" width="3.140625" style="1" customWidth="1"/>
    <col min="13" max="16" width="4.28515625" style="1" customWidth="1"/>
    <col min="17" max="17" width="6" style="1" customWidth="1"/>
    <col min="18" max="19" width="4.28515625" style="1" customWidth="1"/>
    <col min="20" max="20" width="10" style="1" customWidth="1"/>
    <col min="21" max="16384" width="11.42578125" style="1"/>
  </cols>
  <sheetData>
    <row r="1" spans="1:19" ht="5.25" customHeight="1" thickBot="1">
      <c r="H1" s="1"/>
      <c r="I1" s="1"/>
      <c r="J1" s="1"/>
    </row>
    <row r="2" spans="1:19" ht="19.5" customHeight="1" thickBot="1">
      <c r="A2" s="167" t="s">
        <v>2</v>
      </c>
      <c r="B2" s="189"/>
      <c r="C2" s="165"/>
      <c r="D2" s="165"/>
      <c r="E2" s="166"/>
      <c r="G2" s="6" t="s">
        <v>92</v>
      </c>
      <c r="H2" s="25"/>
      <c r="J2" s="170" t="s">
        <v>93</v>
      </c>
      <c r="K2" s="165"/>
      <c r="L2" s="165"/>
      <c r="M2" s="166"/>
      <c r="P2" s="20" t="s">
        <v>3</v>
      </c>
      <c r="Q2" s="21" t="s">
        <v>4</v>
      </c>
      <c r="R2" s="21" t="s">
        <v>5</v>
      </c>
      <c r="S2" s="22" t="s">
        <v>6</v>
      </c>
    </row>
    <row r="3" spans="1:19" ht="14.25" customHeight="1">
      <c r="O3" s="175" t="s">
        <v>19</v>
      </c>
      <c r="P3" s="4"/>
      <c r="Q3" s="3"/>
      <c r="R3" s="3"/>
      <c r="S3" s="5"/>
    </row>
    <row r="4" spans="1:19" ht="14.25" customHeight="1" thickBot="1">
      <c r="O4" s="175"/>
      <c r="P4" s="4"/>
      <c r="Q4" s="3"/>
      <c r="R4" s="3"/>
      <c r="S4" s="5"/>
    </row>
    <row r="5" spans="1:19" ht="14.25" customHeight="1" thickBot="1">
      <c r="H5" s="167" t="s">
        <v>89</v>
      </c>
      <c r="I5" s="168"/>
      <c r="J5" s="169"/>
      <c r="O5" s="175"/>
      <c r="P5" s="4"/>
      <c r="Q5" s="3"/>
      <c r="R5" s="3"/>
      <c r="S5" s="5"/>
    </row>
    <row r="6" spans="1:19" ht="14.25" customHeight="1">
      <c r="H6" s="183" t="s">
        <v>7</v>
      </c>
      <c r="I6" s="186" t="s">
        <v>87</v>
      </c>
      <c r="J6" s="180" t="s">
        <v>1</v>
      </c>
      <c r="K6" s="171" t="s">
        <v>88</v>
      </c>
      <c r="O6" s="175"/>
      <c r="P6" s="4"/>
      <c r="Q6" s="3"/>
      <c r="R6" s="3"/>
      <c r="S6" s="5"/>
    </row>
    <row r="7" spans="1:19" ht="14.25" customHeight="1">
      <c r="H7" s="184"/>
      <c r="I7" s="187"/>
      <c r="J7" s="181"/>
      <c r="K7" s="171"/>
      <c r="O7" s="175"/>
      <c r="P7" s="4"/>
      <c r="Q7" s="3"/>
      <c r="R7" s="3"/>
      <c r="S7" s="5"/>
    </row>
    <row r="8" spans="1:19" ht="14.25" customHeight="1">
      <c r="H8" s="184"/>
      <c r="I8" s="187"/>
      <c r="J8" s="181"/>
      <c r="K8" s="171"/>
      <c r="O8" s="175"/>
      <c r="P8" s="4"/>
      <c r="Q8" s="3"/>
      <c r="R8" s="3"/>
      <c r="S8" s="5"/>
    </row>
    <row r="9" spans="1:19" ht="14.25" customHeight="1">
      <c r="H9" s="184"/>
      <c r="I9" s="187"/>
      <c r="J9" s="181"/>
      <c r="K9" s="171"/>
      <c r="M9" s="173" t="s">
        <v>18</v>
      </c>
      <c r="N9" s="173"/>
      <c r="O9" s="173"/>
      <c r="P9" s="4"/>
      <c r="Q9" s="3"/>
      <c r="R9" s="3"/>
      <c r="S9" s="5"/>
    </row>
    <row r="10" spans="1:19" ht="14.25" customHeight="1" thickBot="1">
      <c r="B10" s="190" t="s">
        <v>94</v>
      </c>
      <c r="C10" s="190"/>
      <c r="D10" s="190"/>
      <c r="E10" s="190"/>
      <c r="F10" s="190"/>
      <c r="G10" s="190"/>
      <c r="H10" s="184"/>
      <c r="I10" s="187"/>
      <c r="J10" s="181"/>
      <c r="K10" s="171"/>
      <c r="M10" s="173"/>
      <c r="N10" s="173"/>
      <c r="O10" s="173"/>
      <c r="P10" s="8"/>
      <c r="Q10" s="9"/>
      <c r="R10" s="9"/>
      <c r="S10" s="10"/>
    </row>
    <row r="11" spans="1:19" ht="6" customHeight="1" thickBot="1">
      <c r="B11" s="190"/>
      <c r="C11" s="190"/>
      <c r="D11" s="190"/>
      <c r="E11" s="190"/>
      <c r="F11" s="190"/>
      <c r="G11" s="190"/>
      <c r="H11" s="184"/>
      <c r="I11" s="187"/>
      <c r="J11" s="181"/>
      <c r="K11" s="171"/>
      <c r="M11" s="174"/>
      <c r="N11" s="174"/>
      <c r="O11" s="174"/>
    </row>
    <row r="12" spans="1:19" ht="18" customHeight="1" thickBot="1">
      <c r="A12" s="19" t="s">
        <v>25</v>
      </c>
      <c r="B12" s="119"/>
      <c r="C12" s="120"/>
      <c r="D12" s="120"/>
      <c r="E12" s="120"/>
      <c r="F12" s="120"/>
      <c r="G12" s="122"/>
      <c r="H12" s="185"/>
      <c r="I12" s="188"/>
      <c r="J12" s="182"/>
      <c r="K12" s="171"/>
      <c r="L12" s="12"/>
      <c r="M12" s="30" t="s">
        <v>8</v>
      </c>
      <c r="N12" s="31" t="s">
        <v>9</v>
      </c>
      <c r="O12" s="31" t="s">
        <v>10</v>
      </c>
      <c r="P12" s="31" t="s">
        <v>11</v>
      </c>
      <c r="Q12" s="31" t="s">
        <v>12</v>
      </c>
      <c r="R12" s="31" t="s">
        <v>13</v>
      </c>
      <c r="S12" s="32" t="s">
        <v>14</v>
      </c>
    </row>
    <row r="13" spans="1:19" ht="13.35" customHeight="1">
      <c r="A13" s="18">
        <v>1</v>
      </c>
      <c r="B13" s="115"/>
      <c r="C13" s="115"/>
      <c r="D13" s="115"/>
      <c r="E13" s="115"/>
      <c r="F13" s="115"/>
      <c r="G13" s="123"/>
      <c r="H13" s="127"/>
      <c r="I13" s="27"/>
      <c r="J13" s="128"/>
      <c r="K13" s="125"/>
      <c r="L13" s="164">
        <v>1</v>
      </c>
      <c r="M13" s="28"/>
      <c r="N13" s="29"/>
      <c r="O13" s="29"/>
      <c r="P13" s="29"/>
      <c r="Q13" s="29"/>
      <c r="R13" s="29"/>
      <c r="S13" s="29"/>
    </row>
    <row r="14" spans="1:19" ht="13.35" customHeight="1">
      <c r="A14" s="18">
        <v>2</v>
      </c>
      <c r="B14" s="18"/>
      <c r="C14" s="18"/>
      <c r="D14" s="18"/>
      <c r="E14" s="18"/>
      <c r="F14" s="18"/>
      <c r="G14" s="124"/>
      <c r="H14" s="4"/>
      <c r="I14" s="3"/>
      <c r="J14" s="5"/>
      <c r="K14" s="24"/>
      <c r="L14" s="164">
        <v>2</v>
      </c>
      <c r="M14" s="13"/>
      <c r="N14" s="14"/>
      <c r="O14" s="14"/>
      <c r="P14" s="14"/>
      <c r="Q14" s="14"/>
      <c r="R14" s="14"/>
      <c r="S14" s="14"/>
    </row>
    <row r="15" spans="1:19" ht="13.35" customHeight="1">
      <c r="A15" s="18">
        <v>3</v>
      </c>
      <c r="B15" s="18"/>
      <c r="C15" s="18"/>
      <c r="D15" s="18"/>
      <c r="E15" s="18"/>
      <c r="F15" s="18"/>
      <c r="G15" s="124"/>
      <c r="H15" s="4"/>
      <c r="I15" s="3"/>
      <c r="J15" s="5"/>
      <c r="K15" s="24"/>
      <c r="L15" s="164">
        <v>3</v>
      </c>
      <c r="M15" s="13"/>
      <c r="N15" s="14"/>
      <c r="O15" s="14"/>
      <c r="P15" s="14"/>
      <c r="Q15" s="14"/>
      <c r="R15" s="14"/>
      <c r="S15" s="14"/>
    </row>
    <row r="16" spans="1:19" ht="13.35" customHeight="1">
      <c r="A16" s="18">
        <v>4</v>
      </c>
      <c r="B16" s="18"/>
      <c r="C16" s="18"/>
      <c r="D16" s="18"/>
      <c r="E16" s="18"/>
      <c r="F16" s="18"/>
      <c r="G16" s="124"/>
      <c r="H16" s="4"/>
      <c r="I16" s="3"/>
      <c r="J16" s="5"/>
      <c r="K16" s="24"/>
      <c r="L16" s="164">
        <v>4</v>
      </c>
      <c r="M16" s="13"/>
      <c r="N16" s="14"/>
      <c r="O16" s="14"/>
      <c r="P16" s="14"/>
      <c r="Q16" s="14"/>
      <c r="R16" s="14"/>
      <c r="S16" s="14"/>
    </row>
    <row r="17" spans="1:19" ht="13.35" customHeight="1">
      <c r="A17" s="18">
        <v>5</v>
      </c>
      <c r="B17" s="18"/>
      <c r="C17" s="18"/>
      <c r="D17" s="18"/>
      <c r="E17" s="18"/>
      <c r="F17" s="18"/>
      <c r="G17" s="124"/>
      <c r="H17" s="4"/>
      <c r="I17" s="3"/>
      <c r="J17" s="5"/>
      <c r="K17" s="13"/>
      <c r="L17" s="164">
        <v>5</v>
      </c>
      <c r="M17" s="13"/>
      <c r="N17" s="14"/>
      <c r="O17" s="14"/>
      <c r="P17" s="14"/>
      <c r="Q17" s="14"/>
      <c r="R17" s="14"/>
      <c r="S17" s="14"/>
    </row>
    <row r="18" spans="1:19" ht="13.35" customHeight="1">
      <c r="A18" s="18">
        <v>6</v>
      </c>
      <c r="B18" s="18"/>
      <c r="C18" s="18"/>
      <c r="D18" s="18"/>
      <c r="E18" s="18"/>
      <c r="F18" s="18"/>
      <c r="G18" s="124"/>
      <c r="H18" s="4"/>
      <c r="I18" s="3"/>
      <c r="J18" s="5"/>
      <c r="K18" s="13"/>
      <c r="L18" s="164">
        <v>6</v>
      </c>
      <c r="M18" s="13"/>
      <c r="N18" s="14"/>
      <c r="O18" s="14"/>
      <c r="P18" s="14"/>
      <c r="Q18" s="14"/>
      <c r="R18" s="14"/>
      <c r="S18" s="14"/>
    </row>
    <row r="19" spans="1:19" ht="13.35" customHeight="1">
      <c r="A19" s="18">
        <v>7</v>
      </c>
      <c r="B19" s="18"/>
      <c r="C19" s="18"/>
      <c r="D19" s="18"/>
      <c r="E19" s="18"/>
      <c r="F19" s="18"/>
      <c r="G19" s="124"/>
      <c r="H19" s="4"/>
      <c r="I19" s="3"/>
      <c r="J19" s="5"/>
      <c r="K19" s="13"/>
      <c r="L19" s="164">
        <v>7</v>
      </c>
      <c r="M19" s="13"/>
      <c r="N19" s="14"/>
      <c r="O19" s="14"/>
      <c r="P19" s="14"/>
      <c r="Q19" s="14"/>
      <c r="R19" s="14"/>
      <c r="S19" s="14"/>
    </row>
    <row r="20" spans="1:19" ht="13.35" customHeight="1">
      <c r="A20" s="18">
        <v>8</v>
      </c>
      <c r="B20" s="18"/>
      <c r="C20" s="18"/>
      <c r="D20" s="18"/>
      <c r="E20" s="18"/>
      <c r="F20" s="18"/>
      <c r="G20" s="124"/>
      <c r="H20" s="4"/>
      <c r="I20" s="3"/>
      <c r="J20" s="5"/>
      <c r="K20" s="13"/>
      <c r="L20" s="164">
        <v>8</v>
      </c>
      <c r="M20" s="13"/>
      <c r="N20" s="14"/>
      <c r="O20" s="14"/>
      <c r="P20" s="14"/>
      <c r="Q20" s="14"/>
      <c r="R20" s="14"/>
      <c r="S20" s="14"/>
    </row>
    <row r="21" spans="1:19" ht="13.35" customHeight="1">
      <c r="A21" s="18">
        <v>9</v>
      </c>
      <c r="B21" s="18"/>
      <c r="C21" s="18"/>
      <c r="D21" s="18"/>
      <c r="E21" s="18"/>
      <c r="F21" s="18"/>
      <c r="G21" s="124"/>
      <c r="H21" s="4"/>
      <c r="I21" s="3"/>
      <c r="J21" s="5"/>
      <c r="K21" s="13"/>
      <c r="L21" s="164">
        <v>9</v>
      </c>
      <c r="M21" s="13"/>
      <c r="N21" s="14"/>
      <c r="O21" s="14"/>
      <c r="P21" s="14"/>
      <c r="Q21" s="14"/>
      <c r="R21" s="14"/>
      <c r="S21" s="14"/>
    </row>
    <row r="22" spans="1:19" ht="13.35" customHeight="1">
      <c r="A22" s="18">
        <v>10</v>
      </c>
      <c r="B22" s="18"/>
      <c r="C22" s="18"/>
      <c r="D22" s="18"/>
      <c r="E22" s="18"/>
      <c r="F22" s="18"/>
      <c r="G22" s="124"/>
      <c r="H22" s="4"/>
      <c r="I22" s="3"/>
      <c r="J22" s="5"/>
      <c r="K22" s="13"/>
      <c r="L22" s="164">
        <v>10</v>
      </c>
      <c r="M22" s="13"/>
      <c r="N22" s="14"/>
      <c r="O22" s="14"/>
      <c r="P22" s="14"/>
      <c r="Q22" s="14"/>
      <c r="R22" s="14"/>
      <c r="S22" s="14"/>
    </row>
    <row r="23" spans="1:19" ht="13.35" customHeight="1">
      <c r="A23" s="18">
        <v>11</v>
      </c>
      <c r="B23" s="18"/>
      <c r="C23" s="18"/>
      <c r="D23" s="18"/>
      <c r="E23" s="18"/>
      <c r="F23" s="18"/>
      <c r="G23" s="124"/>
      <c r="H23" s="4"/>
      <c r="I23" s="3"/>
      <c r="J23" s="5"/>
      <c r="K23" s="13"/>
      <c r="L23" s="164">
        <v>11</v>
      </c>
      <c r="M23" s="13"/>
      <c r="N23" s="14"/>
      <c r="O23" s="14"/>
      <c r="P23" s="14"/>
      <c r="Q23" s="14"/>
      <c r="R23" s="14"/>
      <c r="S23" s="14"/>
    </row>
    <row r="24" spans="1:19" ht="13.35" customHeight="1">
      <c r="A24" s="18">
        <v>12</v>
      </c>
      <c r="B24" s="18"/>
      <c r="C24" s="18"/>
      <c r="D24" s="18"/>
      <c r="E24" s="18"/>
      <c r="F24" s="18"/>
      <c r="G24" s="124"/>
      <c r="H24" s="4"/>
      <c r="I24" s="3"/>
      <c r="J24" s="5"/>
      <c r="K24" s="13"/>
      <c r="L24" s="164">
        <v>12</v>
      </c>
      <c r="M24" s="13"/>
      <c r="N24" s="14"/>
      <c r="O24" s="14"/>
      <c r="P24" s="14"/>
      <c r="Q24" s="14"/>
      <c r="R24" s="14"/>
      <c r="S24" s="14"/>
    </row>
    <row r="25" spans="1:19" ht="13.35" customHeight="1">
      <c r="A25" s="18">
        <v>13</v>
      </c>
      <c r="B25" s="18"/>
      <c r="C25" s="18"/>
      <c r="D25" s="18"/>
      <c r="E25" s="18"/>
      <c r="F25" s="18"/>
      <c r="G25" s="124"/>
      <c r="H25" s="4"/>
      <c r="I25" s="3"/>
      <c r="J25" s="5"/>
      <c r="K25" s="13"/>
      <c r="L25" s="164">
        <v>13</v>
      </c>
      <c r="M25" s="13"/>
      <c r="N25" s="14"/>
      <c r="O25" s="14"/>
      <c r="P25" s="14"/>
      <c r="Q25" s="14"/>
      <c r="R25" s="14"/>
      <c r="S25" s="14"/>
    </row>
    <row r="26" spans="1:19" ht="13.35" customHeight="1">
      <c r="A26" s="18">
        <v>14</v>
      </c>
      <c r="B26" s="18"/>
      <c r="C26" s="18"/>
      <c r="D26" s="18"/>
      <c r="E26" s="18"/>
      <c r="F26" s="18"/>
      <c r="G26" s="124"/>
      <c r="H26" s="4"/>
      <c r="I26" s="3"/>
      <c r="J26" s="5"/>
      <c r="K26" s="13"/>
      <c r="L26" s="164">
        <v>14</v>
      </c>
      <c r="M26" s="13"/>
      <c r="N26" s="14"/>
      <c r="O26" s="14"/>
      <c r="P26" s="14"/>
      <c r="Q26" s="14"/>
      <c r="R26" s="14"/>
      <c r="S26" s="14"/>
    </row>
    <row r="27" spans="1:19" ht="13.35" customHeight="1">
      <c r="A27" s="18">
        <v>15</v>
      </c>
      <c r="B27" s="18"/>
      <c r="C27" s="18"/>
      <c r="D27" s="18"/>
      <c r="E27" s="18"/>
      <c r="F27" s="18"/>
      <c r="G27" s="124"/>
      <c r="H27" s="4"/>
      <c r="I27" s="3"/>
      <c r="J27" s="5"/>
      <c r="K27" s="13"/>
      <c r="L27" s="164">
        <v>15</v>
      </c>
      <c r="M27" s="13"/>
      <c r="N27" s="14"/>
      <c r="O27" s="14"/>
      <c r="P27" s="14"/>
      <c r="Q27" s="14"/>
      <c r="R27" s="14"/>
      <c r="S27" s="14"/>
    </row>
    <row r="28" spans="1:19" ht="13.35" customHeight="1">
      <c r="A28" s="18">
        <v>16</v>
      </c>
      <c r="B28" s="18"/>
      <c r="C28" s="18"/>
      <c r="D28" s="18"/>
      <c r="E28" s="18"/>
      <c r="F28" s="18"/>
      <c r="G28" s="124"/>
      <c r="H28" s="4"/>
      <c r="I28" s="3"/>
      <c r="J28" s="5"/>
      <c r="K28" s="13"/>
      <c r="L28" s="164">
        <v>16</v>
      </c>
      <c r="M28" s="13"/>
      <c r="N28" s="14"/>
      <c r="O28" s="14"/>
      <c r="P28" s="14"/>
      <c r="Q28" s="14"/>
      <c r="R28" s="14"/>
      <c r="S28" s="14"/>
    </row>
    <row r="29" spans="1:19" ht="13.35" customHeight="1">
      <c r="A29" s="18">
        <v>17</v>
      </c>
      <c r="B29" s="18"/>
      <c r="C29" s="18"/>
      <c r="D29" s="18"/>
      <c r="E29" s="18"/>
      <c r="F29" s="18"/>
      <c r="G29" s="124"/>
      <c r="H29" s="4"/>
      <c r="I29" s="3"/>
      <c r="J29" s="5"/>
      <c r="K29" s="13"/>
      <c r="L29" s="164">
        <v>17</v>
      </c>
      <c r="M29" s="13"/>
      <c r="N29" s="14"/>
      <c r="O29" s="14"/>
      <c r="P29" s="14"/>
      <c r="Q29" s="14"/>
      <c r="R29" s="14"/>
      <c r="S29" s="14"/>
    </row>
    <row r="30" spans="1:19" ht="13.35" customHeight="1">
      <c r="A30" s="18">
        <v>18</v>
      </c>
      <c r="B30" s="18"/>
      <c r="C30" s="18"/>
      <c r="D30" s="18"/>
      <c r="E30" s="18"/>
      <c r="F30" s="18"/>
      <c r="G30" s="124"/>
      <c r="H30" s="4"/>
      <c r="I30" s="3"/>
      <c r="J30" s="5"/>
      <c r="K30" s="13"/>
      <c r="L30" s="164">
        <v>18</v>
      </c>
      <c r="M30" s="13"/>
      <c r="N30" s="14"/>
      <c r="O30" s="14"/>
      <c r="P30" s="14"/>
      <c r="Q30" s="14"/>
      <c r="R30" s="14"/>
      <c r="S30" s="14"/>
    </row>
    <row r="31" spans="1:19" ht="13.35" customHeight="1">
      <c r="A31" s="18">
        <v>19</v>
      </c>
      <c r="B31" s="18"/>
      <c r="C31" s="18"/>
      <c r="D31" s="18"/>
      <c r="E31" s="18"/>
      <c r="F31" s="18"/>
      <c r="G31" s="124"/>
      <c r="H31" s="4"/>
      <c r="I31" s="3"/>
      <c r="J31" s="5"/>
      <c r="K31" s="13"/>
      <c r="L31" s="164">
        <v>19</v>
      </c>
      <c r="M31" s="13"/>
      <c r="N31" s="14"/>
      <c r="O31" s="14"/>
      <c r="P31" s="14"/>
      <c r="Q31" s="14"/>
      <c r="R31" s="14"/>
      <c r="S31" s="14"/>
    </row>
    <row r="32" spans="1:19" ht="13.35" customHeight="1">
      <c r="A32" s="18">
        <v>20</v>
      </c>
      <c r="B32" s="18"/>
      <c r="C32" s="18"/>
      <c r="D32" s="18"/>
      <c r="E32" s="18"/>
      <c r="F32" s="18"/>
      <c r="G32" s="124"/>
      <c r="H32" s="4"/>
      <c r="I32" s="3"/>
      <c r="J32" s="5"/>
      <c r="K32" s="13"/>
      <c r="L32" s="164">
        <v>20</v>
      </c>
      <c r="M32" s="13"/>
      <c r="N32" s="14"/>
      <c r="O32" s="14"/>
      <c r="P32" s="14"/>
      <c r="Q32" s="14"/>
      <c r="R32" s="14"/>
      <c r="S32" s="14"/>
    </row>
    <row r="33" spans="1:20" ht="13.35" customHeight="1">
      <c r="A33" s="18">
        <v>21</v>
      </c>
      <c r="B33" s="18"/>
      <c r="C33" s="18"/>
      <c r="D33" s="18"/>
      <c r="E33" s="18"/>
      <c r="F33" s="18"/>
      <c r="G33" s="124"/>
      <c r="H33" s="4"/>
      <c r="I33" s="3"/>
      <c r="J33" s="5"/>
      <c r="K33" s="13"/>
      <c r="L33" s="164">
        <v>21</v>
      </c>
      <c r="M33" s="13"/>
      <c r="N33" s="14"/>
      <c r="O33" s="14"/>
      <c r="P33" s="14"/>
      <c r="Q33" s="14"/>
      <c r="R33" s="14"/>
      <c r="S33" s="14"/>
    </row>
    <row r="34" spans="1:20" ht="13.35" customHeight="1">
      <c r="A34" s="18">
        <v>22</v>
      </c>
      <c r="B34" s="18"/>
      <c r="C34" s="18"/>
      <c r="D34" s="18"/>
      <c r="E34" s="18"/>
      <c r="F34" s="18"/>
      <c r="G34" s="124"/>
      <c r="H34" s="4"/>
      <c r="I34" s="3"/>
      <c r="J34" s="5"/>
      <c r="K34" s="13"/>
      <c r="L34" s="164">
        <v>22</v>
      </c>
      <c r="M34" s="13"/>
      <c r="N34" s="14"/>
      <c r="O34" s="14"/>
      <c r="P34" s="14"/>
      <c r="Q34" s="14"/>
      <c r="R34" s="14"/>
      <c r="S34" s="14"/>
    </row>
    <row r="35" spans="1:20" ht="13.35" customHeight="1">
      <c r="A35" s="18">
        <v>23</v>
      </c>
      <c r="B35" s="18"/>
      <c r="C35" s="18"/>
      <c r="D35" s="18"/>
      <c r="E35" s="18"/>
      <c r="F35" s="18"/>
      <c r="G35" s="124"/>
      <c r="H35" s="4"/>
      <c r="I35" s="3"/>
      <c r="J35" s="5"/>
      <c r="K35" s="13"/>
      <c r="L35" s="164">
        <v>23</v>
      </c>
      <c r="M35" s="13"/>
      <c r="N35" s="14"/>
      <c r="O35" s="14"/>
      <c r="P35" s="14"/>
      <c r="Q35" s="14"/>
      <c r="R35" s="14"/>
      <c r="S35" s="14"/>
    </row>
    <row r="36" spans="1:20" ht="13.35" customHeight="1">
      <c r="A36" s="18">
        <v>24</v>
      </c>
      <c r="B36" s="18"/>
      <c r="C36" s="18"/>
      <c r="D36" s="18"/>
      <c r="E36" s="18"/>
      <c r="F36" s="18"/>
      <c r="G36" s="124"/>
      <c r="H36" s="4"/>
      <c r="I36" s="3"/>
      <c r="J36" s="5"/>
      <c r="K36" s="13"/>
      <c r="L36" s="164">
        <v>24</v>
      </c>
      <c r="M36" s="13"/>
      <c r="N36" s="14"/>
      <c r="O36" s="14"/>
      <c r="P36" s="14"/>
      <c r="Q36" s="14"/>
      <c r="R36" s="14"/>
      <c r="S36" s="14"/>
    </row>
    <row r="37" spans="1:20" ht="13.35" customHeight="1">
      <c r="A37" s="18">
        <v>25</v>
      </c>
      <c r="B37" s="18"/>
      <c r="C37" s="18"/>
      <c r="D37" s="18"/>
      <c r="E37" s="18"/>
      <c r="F37" s="18"/>
      <c r="G37" s="124"/>
      <c r="H37" s="4"/>
      <c r="I37" s="3"/>
      <c r="J37" s="5"/>
      <c r="K37" s="13"/>
      <c r="L37" s="164">
        <v>25</v>
      </c>
      <c r="M37" s="13"/>
      <c r="N37" s="14"/>
      <c r="O37" s="14"/>
      <c r="P37" s="14"/>
      <c r="Q37" s="14"/>
      <c r="R37" s="14"/>
      <c r="S37" s="14"/>
    </row>
    <row r="38" spans="1:20" ht="13.35" customHeight="1">
      <c r="A38" s="18">
        <v>26</v>
      </c>
      <c r="B38" s="18"/>
      <c r="C38" s="18"/>
      <c r="D38" s="18"/>
      <c r="E38" s="18"/>
      <c r="F38" s="18"/>
      <c r="G38" s="124"/>
      <c r="H38" s="4"/>
      <c r="I38" s="3"/>
      <c r="J38" s="5"/>
      <c r="K38" s="13"/>
      <c r="L38" s="164">
        <v>26</v>
      </c>
      <c r="M38" s="13"/>
      <c r="N38" s="14"/>
      <c r="O38" s="14"/>
      <c r="P38" s="14"/>
      <c r="Q38" s="14"/>
      <c r="R38" s="14"/>
      <c r="S38" s="14"/>
    </row>
    <row r="39" spans="1:20" ht="13.35" customHeight="1">
      <c r="A39" s="18">
        <v>27</v>
      </c>
      <c r="B39" s="18"/>
      <c r="C39" s="18"/>
      <c r="D39" s="18"/>
      <c r="E39" s="18"/>
      <c r="F39" s="18"/>
      <c r="G39" s="124"/>
      <c r="H39" s="4"/>
      <c r="I39" s="3"/>
      <c r="J39" s="5"/>
      <c r="K39" s="13"/>
      <c r="L39" s="164">
        <v>27</v>
      </c>
      <c r="M39" s="13"/>
      <c r="N39" s="14"/>
      <c r="O39" s="14"/>
      <c r="P39" s="14"/>
      <c r="Q39" s="14"/>
      <c r="R39" s="14"/>
      <c r="S39" s="14"/>
    </row>
    <row r="40" spans="1:20" ht="13.35" customHeight="1">
      <c r="A40" s="18">
        <v>28</v>
      </c>
      <c r="B40" s="18"/>
      <c r="C40" s="18"/>
      <c r="D40" s="18"/>
      <c r="E40" s="18"/>
      <c r="F40" s="18"/>
      <c r="G40" s="124"/>
      <c r="H40" s="4"/>
      <c r="I40" s="3"/>
      <c r="J40" s="5"/>
      <c r="K40" s="13"/>
      <c r="L40" s="164">
        <v>28</v>
      </c>
      <c r="M40" s="13"/>
      <c r="N40" s="14"/>
      <c r="O40" s="14"/>
      <c r="P40" s="14"/>
      <c r="Q40" s="14"/>
      <c r="R40" s="14"/>
      <c r="S40" s="14"/>
    </row>
    <row r="41" spans="1:20" ht="13.35" customHeight="1">
      <c r="A41" s="18">
        <v>29</v>
      </c>
      <c r="B41" s="18"/>
      <c r="C41" s="18"/>
      <c r="D41" s="18"/>
      <c r="E41" s="18"/>
      <c r="F41" s="18"/>
      <c r="G41" s="124"/>
      <c r="H41" s="4"/>
      <c r="I41" s="3"/>
      <c r="J41" s="5"/>
      <c r="K41" s="13"/>
      <c r="L41" s="164">
        <v>29</v>
      </c>
      <c r="M41" s="13"/>
      <c r="N41" s="14"/>
      <c r="O41" s="14"/>
      <c r="P41" s="14"/>
      <c r="Q41" s="14"/>
      <c r="R41" s="14"/>
      <c r="S41" s="14"/>
    </row>
    <row r="42" spans="1:20" ht="13.35" customHeight="1">
      <c r="A42" s="18">
        <v>30</v>
      </c>
      <c r="B42" s="18"/>
      <c r="C42" s="18"/>
      <c r="D42" s="18"/>
      <c r="E42" s="18"/>
      <c r="F42" s="18"/>
      <c r="G42" s="124"/>
      <c r="H42" s="4"/>
      <c r="I42" s="3"/>
      <c r="J42" s="5"/>
      <c r="K42" s="13"/>
      <c r="L42" s="164">
        <v>30</v>
      </c>
      <c r="M42" s="13"/>
      <c r="N42" s="14"/>
      <c r="O42" s="14"/>
      <c r="P42" s="14"/>
      <c r="Q42" s="14"/>
      <c r="R42" s="14"/>
      <c r="S42" s="14"/>
    </row>
    <row r="43" spans="1:20" ht="13.35" customHeight="1">
      <c r="A43" s="18">
        <v>31</v>
      </c>
      <c r="B43" s="18"/>
      <c r="C43" s="18"/>
      <c r="D43" s="18"/>
      <c r="E43" s="18"/>
      <c r="F43" s="18"/>
      <c r="G43" s="124"/>
      <c r="H43" s="4"/>
      <c r="I43" s="3"/>
      <c r="J43" s="5"/>
      <c r="K43" s="13"/>
      <c r="L43" s="164">
        <v>31</v>
      </c>
      <c r="M43" s="13"/>
      <c r="N43" s="14"/>
      <c r="O43" s="14"/>
      <c r="P43" s="14"/>
      <c r="Q43" s="14"/>
      <c r="R43" s="14"/>
      <c r="S43" s="14"/>
    </row>
    <row r="44" spans="1:20" ht="14.25" customHeight="1" thickBot="1">
      <c r="A44" s="18">
        <v>32</v>
      </c>
      <c r="B44" s="18"/>
      <c r="C44" s="18"/>
      <c r="D44" s="18"/>
      <c r="E44" s="18"/>
      <c r="F44" s="18"/>
      <c r="G44" s="124"/>
      <c r="H44" s="129"/>
      <c r="I44" s="15"/>
      <c r="J44" s="130"/>
      <c r="K44" s="33"/>
      <c r="L44" s="164">
        <v>32</v>
      </c>
      <c r="M44" s="14"/>
      <c r="N44" s="14"/>
      <c r="O44" s="14"/>
      <c r="P44" s="14"/>
      <c r="Q44" s="14"/>
      <c r="R44" s="14"/>
      <c r="S44" s="14"/>
    </row>
    <row r="45" spans="1:20" ht="21" customHeight="1" thickBot="1">
      <c r="F45" s="196" t="s">
        <v>91</v>
      </c>
      <c r="G45" s="196"/>
      <c r="H45" s="6"/>
      <c r="I45" s="7"/>
      <c r="J45" s="25"/>
      <c r="K45" s="126"/>
      <c r="L45" s="11"/>
      <c r="M45" s="6"/>
      <c r="N45" s="7"/>
      <c r="O45" s="7"/>
      <c r="P45" s="7"/>
      <c r="Q45" s="7"/>
      <c r="R45" s="7"/>
      <c r="S45" s="16"/>
      <c r="T45" s="11"/>
    </row>
    <row r="46" spans="1:20" ht="12" customHeight="1" thickBot="1">
      <c r="L46" s="11"/>
      <c r="N46" s="2"/>
      <c r="O46" s="2"/>
      <c r="P46" s="2"/>
      <c r="Q46" s="2"/>
      <c r="R46" s="2"/>
      <c r="T46" s="11"/>
    </row>
    <row r="47" spans="1:20" ht="21.75" customHeight="1" thickBot="1">
      <c r="A47" s="121"/>
      <c r="B47" s="121"/>
      <c r="C47" s="121"/>
      <c r="D47" s="121"/>
      <c r="E47" s="121"/>
      <c r="F47" s="197" t="s">
        <v>15</v>
      </c>
      <c r="G47" s="198"/>
      <c r="H47" s="167"/>
      <c r="I47" s="168"/>
      <c r="J47" s="169"/>
      <c r="L47" s="11"/>
      <c r="M47" s="2"/>
      <c r="N47" s="2"/>
      <c r="O47" s="167"/>
      <c r="P47" s="168"/>
      <c r="Q47" s="169"/>
      <c r="R47" s="172" t="s">
        <v>16</v>
      </c>
      <c r="S47" s="172"/>
      <c r="T47" s="11"/>
    </row>
    <row r="48" spans="1:20" ht="10.5" customHeight="1" thickBot="1">
      <c r="M48" s="23"/>
      <c r="N48" s="2"/>
      <c r="O48" s="2"/>
      <c r="P48" s="2"/>
      <c r="Q48" s="2"/>
      <c r="R48" s="2"/>
      <c r="T48" s="11"/>
    </row>
    <row r="49" spans="1:20" ht="20.25" customHeight="1" thickBot="1">
      <c r="B49" s="118"/>
      <c r="C49" s="118"/>
      <c r="D49" s="118"/>
      <c r="E49" s="194" t="s">
        <v>90</v>
      </c>
      <c r="F49" s="194"/>
      <c r="G49" s="195"/>
      <c r="H49" s="191">
        <v>32</v>
      </c>
      <c r="I49" s="192"/>
      <c r="J49" s="193"/>
      <c r="K49" s="23"/>
      <c r="M49" s="23"/>
      <c r="O49" s="176"/>
      <c r="P49" s="177"/>
      <c r="Q49" s="178"/>
      <c r="R49" s="172" t="s">
        <v>17</v>
      </c>
      <c r="S49" s="172"/>
      <c r="T49" s="11"/>
    </row>
    <row r="50" spans="1:20" ht="10.5" customHeight="1" thickBot="1">
      <c r="B50" s="118"/>
      <c r="C50" s="118"/>
      <c r="D50" s="118"/>
      <c r="E50" s="118"/>
      <c r="F50" s="118"/>
      <c r="G50" s="118"/>
      <c r="H50" s="118"/>
      <c r="I50" s="118"/>
      <c r="J50" s="118"/>
      <c r="K50" s="11"/>
      <c r="M50" s="11"/>
    </row>
    <row r="51" spans="1:20" ht="21" customHeight="1" thickBot="1">
      <c r="A51" s="118"/>
      <c r="B51" s="118"/>
      <c r="C51" s="118"/>
      <c r="D51" s="118"/>
      <c r="E51" s="118"/>
      <c r="F51" s="179" t="s">
        <v>40</v>
      </c>
      <c r="G51" s="179"/>
      <c r="H51" s="167"/>
      <c r="I51" s="168"/>
      <c r="J51" s="169"/>
      <c r="K51" s="118"/>
      <c r="L51" s="117"/>
      <c r="O51" s="170"/>
      <c r="P51" s="165"/>
      <c r="Q51" s="166"/>
      <c r="R51" s="172" t="s">
        <v>0</v>
      </c>
      <c r="S51" s="172"/>
    </row>
    <row r="52" spans="1:20" ht="18" customHeight="1">
      <c r="R52" s="26"/>
      <c r="S52" s="26"/>
    </row>
    <row r="53" spans="1:20" ht="18" customHeight="1"/>
    <row r="54" spans="1:20" ht="18" customHeight="1">
      <c r="A54" s="17"/>
      <c r="B54" s="17"/>
      <c r="C54" s="17"/>
      <c r="D54" s="17"/>
      <c r="E54" s="17"/>
      <c r="F54" s="17"/>
      <c r="G54" s="17"/>
    </row>
    <row r="58" spans="1:20">
      <c r="A58" s="17"/>
      <c r="B58" s="17"/>
      <c r="C58" s="17"/>
      <c r="D58" s="17"/>
      <c r="E58" s="17"/>
      <c r="F58" s="17"/>
      <c r="G58" s="17"/>
    </row>
  </sheetData>
  <mergeCells count="25">
    <mergeCell ref="C2:E2"/>
    <mergeCell ref="A2:B2"/>
    <mergeCell ref="B10:G11"/>
    <mergeCell ref="H49:J49"/>
    <mergeCell ref="E49:G49"/>
    <mergeCell ref="F45:G45"/>
    <mergeCell ref="H5:J5"/>
    <mergeCell ref="F47:G47"/>
    <mergeCell ref="H47:J47"/>
    <mergeCell ref="F51:G51"/>
    <mergeCell ref="H51:J51"/>
    <mergeCell ref="J2:K2"/>
    <mergeCell ref="J6:J12"/>
    <mergeCell ref="H6:H12"/>
    <mergeCell ref="I6:I12"/>
    <mergeCell ref="L2:M2"/>
    <mergeCell ref="O47:Q47"/>
    <mergeCell ref="O51:Q51"/>
    <mergeCell ref="K6:K12"/>
    <mergeCell ref="R47:S47"/>
    <mergeCell ref="M9:O11"/>
    <mergeCell ref="O3:O8"/>
    <mergeCell ref="R51:S51"/>
    <mergeCell ref="R49:S49"/>
    <mergeCell ref="O49:Q49"/>
  </mergeCells>
  <phoneticPr fontId="2" type="noConversion"/>
  <pageMargins left="0.47244094488188981" right="0.47244094488188981" top="0.78740157480314965" bottom="0.78740157480314965" header="0.51181102362204722" footer="0.51181102362204722"/>
  <pageSetup paperSize="9" orientation="portrait" r:id="rId1"/>
  <headerFooter alignWithMargins="0">
    <oddHeader>&amp;C&amp;"Albertus Medium,Gras"&amp;11FEUILLE DE SUIVI</oddHeader>
    <oddFooter>&amp;L&amp;8CIPE - Le Jeu du Kanban - Marque déposée&amp;R&amp;12FS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"/>
  <sheetViews>
    <sheetView showGridLines="0" topLeftCell="A13" zoomScaleNormal="100" workbookViewId="0">
      <selection activeCell="O49" sqref="O49:Q49"/>
    </sheetView>
  </sheetViews>
  <sheetFormatPr baseColWidth="10" defaultColWidth="11.42578125" defaultRowHeight="12.75"/>
  <cols>
    <col min="1" max="1" width="3.140625" style="2" customWidth="1"/>
    <col min="2" max="10" width="4.7109375" style="2" customWidth="1"/>
    <col min="11" max="11" width="4.7109375" style="1" customWidth="1"/>
    <col min="12" max="12" width="1.85546875" style="1" customWidth="1"/>
    <col min="13" max="16" width="4.28515625" style="1" customWidth="1"/>
    <col min="17" max="17" width="5.140625" style="1" customWidth="1"/>
    <col min="18" max="19" width="4.28515625" style="1" customWidth="1"/>
    <col min="20" max="20" width="10" style="1" customWidth="1"/>
    <col min="21" max="16384" width="11.42578125" style="1"/>
  </cols>
  <sheetData>
    <row r="1" spans="1:19" ht="5.25" customHeight="1" thickBot="1">
      <c r="H1" s="1"/>
      <c r="I1" s="1"/>
      <c r="J1" s="1"/>
    </row>
    <row r="2" spans="1:19" ht="19.5" customHeight="1" thickBot="1">
      <c r="A2" s="167" t="s">
        <v>2</v>
      </c>
      <c r="B2" s="189"/>
      <c r="C2" s="165" t="s">
        <v>49</v>
      </c>
      <c r="D2" s="165"/>
      <c r="E2" s="166"/>
      <c r="G2" s="6" t="s">
        <v>92</v>
      </c>
      <c r="H2" s="25">
        <v>1</v>
      </c>
      <c r="J2" s="170" t="s">
        <v>93</v>
      </c>
      <c r="K2" s="165"/>
      <c r="L2" s="199">
        <v>3</v>
      </c>
      <c r="M2" s="200"/>
      <c r="P2" s="20" t="s">
        <v>3</v>
      </c>
      <c r="Q2" s="21" t="s">
        <v>4</v>
      </c>
      <c r="R2" s="21" t="s">
        <v>5</v>
      </c>
      <c r="S2" s="22" t="s">
        <v>6</v>
      </c>
    </row>
    <row r="3" spans="1:19" ht="14.25" customHeight="1">
      <c r="O3" s="175" t="s">
        <v>19</v>
      </c>
      <c r="P3" s="4">
        <v>1</v>
      </c>
      <c r="Q3" s="3" t="s">
        <v>20</v>
      </c>
      <c r="R3" s="3">
        <v>12</v>
      </c>
      <c r="S3" s="5" t="s">
        <v>22</v>
      </c>
    </row>
    <row r="4" spans="1:19" ht="14.25" customHeight="1" thickBot="1">
      <c r="O4" s="175"/>
      <c r="P4" s="4">
        <v>2</v>
      </c>
      <c r="Q4" s="3" t="s">
        <v>21</v>
      </c>
      <c r="R4" s="3">
        <v>6</v>
      </c>
      <c r="S4" s="5" t="s">
        <v>23</v>
      </c>
    </row>
    <row r="5" spans="1:19" ht="14.25" customHeight="1" thickBot="1">
      <c r="H5" s="167" t="s">
        <v>89</v>
      </c>
      <c r="I5" s="168"/>
      <c r="J5" s="169"/>
      <c r="O5" s="175"/>
      <c r="P5" s="4">
        <v>3</v>
      </c>
      <c r="Q5" s="3" t="s">
        <v>20</v>
      </c>
      <c r="R5" s="3">
        <v>8</v>
      </c>
      <c r="S5" s="5" t="s">
        <v>24</v>
      </c>
    </row>
    <row r="6" spans="1:19" ht="14.25" customHeight="1">
      <c r="H6" s="183" t="s">
        <v>7</v>
      </c>
      <c r="I6" s="186" t="s">
        <v>87</v>
      </c>
      <c r="J6" s="180" t="s">
        <v>1</v>
      </c>
      <c r="K6" s="171" t="s">
        <v>88</v>
      </c>
      <c r="O6" s="175"/>
      <c r="P6" s="4"/>
      <c r="Q6" s="3"/>
      <c r="R6" s="3"/>
      <c r="S6" s="5"/>
    </row>
    <row r="7" spans="1:19" ht="14.25" customHeight="1">
      <c r="H7" s="184"/>
      <c r="I7" s="187"/>
      <c r="J7" s="181"/>
      <c r="K7" s="171"/>
      <c r="O7" s="175"/>
      <c r="P7" s="4"/>
      <c r="Q7" s="3"/>
      <c r="R7" s="3"/>
      <c r="S7" s="5"/>
    </row>
    <row r="8" spans="1:19" ht="14.25" customHeight="1">
      <c r="H8" s="184"/>
      <c r="I8" s="187"/>
      <c r="J8" s="181"/>
      <c r="K8" s="171"/>
      <c r="O8" s="175"/>
      <c r="P8" s="4"/>
      <c r="Q8" s="3"/>
      <c r="R8" s="3"/>
      <c r="S8" s="5"/>
    </row>
    <row r="9" spans="1:19" ht="14.25" customHeight="1">
      <c r="H9" s="184"/>
      <c r="I9" s="187"/>
      <c r="J9" s="181"/>
      <c r="K9" s="171"/>
      <c r="M9" s="173" t="s">
        <v>18</v>
      </c>
      <c r="N9" s="173"/>
      <c r="O9" s="173"/>
      <c r="P9" s="4"/>
      <c r="Q9" s="3"/>
      <c r="R9" s="3"/>
      <c r="S9" s="5"/>
    </row>
    <row r="10" spans="1:19" ht="14.25" customHeight="1" thickBot="1">
      <c r="B10" s="190" t="s">
        <v>94</v>
      </c>
      <c r="C10" s="190"/>
      <c r="D10" s="190"/>
      <c r="E10" s="190"/>
      <c r="F10" s="190"/>
      <c r="G10" s="190"/>
      <c r="H10" s="184"/>
      <c r="I10" s="187"/>
      <c r="J10" s="181"/>
      <c r="K10" s="171"/>
      <c r="M10" s="173"/>
      <c r="N10" s="173"/>
      <c r="O10" s="173"/>
      <c r="P10" s="8"/>
      <c r="Q10" s="9"/>
      <c r="R10" s="9"/>
      <c r="S10" s="10"/>
    </row>
    <row r="11" spans="1:19" ht="6" customHeight="1" thickBot="1">
      <c r="B11" s="190"/>
      <c r="C11" s="190"/>
      <c r="D11" s="190"/>
      <c r="E11" s="190"/>
      <c r="F11" s="190"/>
      <c r="G11" s="190"/>
      <c r="H11" s="184"/>
      <c r="I11" s="187"/>
      <c r="J11" s="181"/>
      <c r="K11" s="171"/>
      <c r="M11" s="174"/>
      <c r="N11" s="174"/>
      <c r="O11" s="174"/>
    </row>
    <row r="12" spans="1:19" ht="18" customHeight="1" thickBot="1">
      <c r="A12" s="19" t="s">
        <v>25</v>
      </c>
      <c r="B12" s="6" t="s">
        <v>95</v>
      </c>
      <c r="C12" s="7" t="s">
        <v>96</v>
      </c>
      <c r="D12" s="120"/>
      <c r="E12" s="120"/>
      <c r="F12" s="120"/>
      <c r="G12" s="122"/>
      <c r="H12" s="185"/>
      <c r="I12" s="188"/>
      <c r="J12" s="182"/>
      <c r="K12" s="171"/>
      <c r="L12" s="12"/>
      <c r="M12" s="30" t="s">
        <v>8</v>
      </c>
      <c r="N12" s="31" t="s">
        <v>9</v>
      </c>
      <c r="O12" s="31" t="s">
        <v>10</v>
      </c>
      <c r="P12" s="31" t="s">
        <v>11</v>
      </c>
      <c r="Q12" s="31" t="s">
        <v>12</v>
      </c>
      <c r="R12" s="31" t="s">
        <v>13</v>
      </c>
      <c r="S12" s="32" t="s">
        <v>14</v>
      </c>
    </row>
    <row r="13" spans="1:19" ht="13.35" customHeight="1">
      <c r="A13" s="18">
        <v>1</v>
      </c>
      <c r="B13" s="115"/>
      <c r="C13" s="115"/>
      <c r="D13" s="115"/>
      <c r="E13" s="115"/>
      <c r="F13" s="115"/>
      <c r="G13" s="123"/>
      <c r="H13" s="127"/>
      <c r="I13" s="27"/>
      <c r="J13" s="128"/>
      <c r="K13" s="125"/>
      <c r="L13" s="34"/>
      <c r="M13" s="28"/>
      <c r="N13" s="29"/>
      <c r="O13" s="29"/>
      <c r="P13" s="29"/>
      <c r="Q13" s="29"/>
      <c r="R13" s="29"/>
      <c r="S13" s="29"/>
    </row>
    <row r="14" spans="1:19" ht="13.35" customHeight="1">
      <c r="A14" s="18">
        <v>2</v>
      </c>
      <c r="B14" s="18" t="s">
        <v>26</v>
      </c>
      <c r="C14" s="18"/>
      <c r="D14" s="18"/>
      <c r="E14" s="18"/>
      <c r="F14" s="18"/>
      <c r="G14" s="124"/>
      <c r="H14" s="4"/>
      <c r="I14" s="3"/>
      <c r="J14" s="5"/>
      <c r="K14" s="24"/>
      <c r="L14" s="34"/>
      <c r="M14" s="13"/>
      <c r="N14" s="14"/>
      <c r="O14" s="14"/>
      <c r="P14" s="14"/>
      <c r="Q14" s="14"/>
      <c r="R14" s="14"/>
      <c r="S14" s="14"/>
    </row>
    <row r="15" spans="1:19" ht="13.35" customHeight="1">
      <c r="A15" s="18">
        <v>3</v>
      </c>
      <c r="B15" s="18" t="s">
        <v>26</v>
      </c>
      <c r="C15" s="18"/>
      <c r="D15" s="18"/>
      <c r="E15" s="18"/>
      <c r="F15" s="18"/>
      <c r="G15" s="124"/>
      <c r="H15" s="4"/>
      <c r="I15" s="3"/>
      <c r="J15" s="5"/>
      <c r="K15" s="24"/>
      <c r="L15" s="34"/>
      <c r="M15" s="13"/>
      <c r="N15" s="14"/>
      <c r="O15" s="14"/>
      <c r="P15" s="14"/>
      <c r="Q15" s="14"/>
      <c r="R15" s="14"/>
      <c r="S15" s="14"/>
    </row>
    <row r="16" spans="1:19" ht="13.35" customHeight="1">
      <c r="A16" s="18">
        <v>4</v>
      </c>
      <c r="B16" s="18" t="s">
        <v>26</v>
      </c>
      <c r="C16" s="18"/>
      <c r="D16" s="18"/>
      <c r="E16" s="18"/>
      <c r="F16" s="18"/>
      <c r="G16" s="124"/>
      <c r="H16" s="4"/>
      <c r="I16" s="3"/>
      <c r="J16" s="5"/>
      <c r="K16" s="24"/>
      <c r="L16" s="34"/>
      <c r="M16" s="13"/>
      <c r="N16" s="14"/>
      <c r="O16" s="14"/>
      <c r="P16" s="14"/>
      <c r="Q16" s="14"/>
      <c r="R16" s="14"/>
      <c r="S16" s="14"/>
    </row>
    <row r="17" spans="1:19" ht="13.35" customHeight="1">
      <c r="A17" s="18">
        <v>5</v>
      </c>
      <c r="B17" s="18" t="s">
        <v>26</v>
      </c>
      <c r="C17" s="18"/>
      <c r="D17" s="18"/>
      <c r="E17" s="18"/>
      <c r="F17" s="18"/>
      <c r="G17" s="124"/>
      <c r="H17" s="4"/>
      <c r="I17" s="3"/>
      <c r="J17" s="5"/>
      <c r="K17" s="13"/>
      <c r="L17" s="34"/>
      <c r="M17" s="13"/>
      <c r="N17" s="14"/>
      <c r="O17" s="14"/>
      <c r="P17" s="14"/>
      <c r="Q17" s="14"/>
      <c r="R17" s="14"/>
      <c r="S17" s="14"/>
    </row>
    <row r="18" spans="1:19" ht="13.35" customHeight="1">
      <c r="A18" s="18">
        <v>6</v>
      </c>
      <c r="B18" s="18" t="s">
        <v>26</v>
      </c>
      <c r="C18" s="18"/>
      <c r="D18" s="18"/>
      <c r="E18" s="18"/>
      <c r="F18" s="18"/>
      <c r="G18" s="124"/>
      <c r="H18" s="4"/>
      <c r="I18" s="3"/>
      <c r="J18" s="5"/>
      <c r="K18" s="13"/>
      <c r="L18" s="34"/>
      <c r="M18" s="13"/>
      <c r="N18" s="14"/>
      <c r="O18" s="14"/>
      <c r="P18" s="14"/>
      <c r="Q18" s="14"/>
      <c r="R18" s="14"/>
      <c r="S18" s="14"/>
    </row>
    <row r="19" spans="1:19" ht="13.35" customHeight="1">
      <c r="A19" s="18">
        <v>7</v>
      </c>
      <c r="B19" s="18" t="s">
        <v>26</v>
      </c>
      <c r="C19" s="18"/>
      <c r="D19" s="18"/>
      <c r="E19" s="18"/>
      <c r="F19" s="18"/>
      <c r="G19" s="124"/>
      <c r="H19" s="4"/>
      <c r="I19" s="3"/>
      <c r="J19" s="5"/>
      <c r="K19" s="13"/>
      <c r="L19" s="34"/>
      <c r="M19" s="13"/>
      <c r="N19" s="14"/>
      <c r="O19" s="14"/>
      <c r="P19" s="14"/>
      <c r="Q19" s="14"/>
      <c r="R19" s="14"/>
      <c r="S19" s="14"/>
    </row>
    <row r="20" spans="1:19" ht="13.35" customHeight="1">
      <c r="A20" s="18">
        <v>8</v>
      </c>
      <c r="B20" s="18"/>
      <c r="C20" s="18"/>
      <c r="D20" s="18"/>
      <c r="E20" s="18"/>
      <c r="F20" s="18"/>
      <c r="G20" s="124"/>
      <c r="H20" s="4" t="s">
        <v>26</v>
      </c>
      <c r="I20" s="3"/>
      <c r="J20" s="5"/>
      <c r="K20" s="13"/>
      <c r="L20" s="34"/>
      <c r="M20" s="13"/>
      <c r="N20" s="14"/>
      <c r="O20" s="14"/>
      <c r="P20" s="14"/>
      <c r="Q20" s="14"/>
      <c r="R20" s="14"/>
      <c r="S20" s="14"/>
    </row>
    <row r="21" spans="1:19" ht="13.35" customHeight="1">
      <c r="A21" s="18">
        <v>9</v>
      </c>
      <c r="B21" s="18"/>
      <c r="C21" s="18"/>
      <c r="D21" s="18"/>
      <c r="E21" s="18"/>
      <c r="F21" s="18"/>
      <c r="G21" s="124"/>
      <c r="H21" s="4" t="s">
        <v>26</v>
      </c>
      <c r="I21" s="3"/>
      <c r="J21" s="5"/>
      <c r="K21" s="13"/>
      <c r="L21" s="34"/>
      <c r="M21" s="13"/>
      <c r="N21" s="14"/>
      <c r="O21" s="14"/>
      <c r="P21" s="14"/>
      <c r="Q21" s="14"/>
      <c r="R21" s="3">
        <v>1</v>
      </c>
      <c r="S21" s="3"/>
    </row>
    <row r="22" spans="1:19" ht="13.35" customHeight="1">
      <c r="A22" s="18">
        <v>10</v>
      </c>
      <c r="B22" s="18"/>
      <c r="C22" s="18"/>
      <c r="D22" s="18"/>
      <c r="E22" s="18"/>
      <c r="F22" s="18"/>
      <c r="G22" s="124"/>
      <c r="H22" s="4" t="s">
        <v>26</v>
      </c>
      <c r="I22" s="3"/>
      <c r="J22" s="5"/>
      <c r="K22" s="13"/>
      <c r="L22" s="34"/>
      <c r="M22" s="13"/>
      <c r="N22" s="14"/>
      <c r="O22" s="14"/>
      <c r="P22" s="14"/>
      <c r="Q22" s="14"/>
      <c r="R22" s="3">
        <v>1</v>
      </c>
      <c r="S22" s="3"/>
    </row>
    <row r="23" spans="1:19" ht="13.35" customHeight="1">
      <c r="A23" s="18">
        <v>11</v>
      </c>
      <c r="B23" s="18"/>
      <c r="C23" s="18" t="s">
        <v>26</v>
      </c>
      <c r="D23" s="18"/>
      <c r="E23" s="18"/>
      <c r="F23" s="18"/>
      <c r="G23" s="124"/>
      <c r="H23" s="4"/>
      <c r="J23" s="5"/>
      <c r="K23" s="13"/>
      <c r="L23" s="34"/>
      <c r="M23" s="13"/>
      <c r="N23" s="14"/>
      <c r="O23" s="14"/>
      <c r="P23" s="14"/>
      <c r="Q23" s="14"/>
      <c r="R23" s="14"/>
      <c r="S23" s="14"/>
    </row>
    <row r="24" spans="1:19" ht="13.35" customHeight="1">
      <c r="A24" s="18">
        <v>12</v>
      </c>
      <c r="B24" s="18"/>
      <c r="C24" s="18" t="s">
        <v>26</v>
      </c>
      <c r="D24" s="18"/>
      <c r="E24" s="18"/>
      <c r="F24" s="18"/>
      <c r="G24" s="124"/>
      <c r="H24" s="4"/>
      <c r="I24" s="3"/>
      <c r="J24" s="5"/>
      <c r="K24" s="13"/>
      <c r="L24" s="34"/>
      <c r="M24" s="13"/>
      <c r="N24" s="14"/>
      <c r="O24" s="14"/>
      <c r="P24" s="14"/>
      <c r="Q24" s="14"/>
      <c r="R24" s="14"/>
      <c r="S24" s="14"/>
    </row>
    <row r="25" spans="1:19" ht="13.35" customHeight="1">
      <c r="A25" s="18">
        <v>13</v>
      </c>
      <c r="B25" s="18"/>
      <c r="C25" s="18" t="s">
        <v>26</v>
      </c>
      <c r="D25" s="18"/>
      <c r="E25" s="18"/>
      <c r="F25" s="18"/>
      <c r="G25" s="124"/>
      <c r="H25" s="4"/>
      <c r="I25" s="3"/>
      <c r="J25" s="5"/>
      <c r="K25" s="13"/>
      <c r="L25" s="34"/>
      <c r="M25" s="13"/>
      <c r="N25" s="14"/>
      <c r="O25" s="14"/>
      <c r="P25" s="14"/>
      <c r="Q25" s="14"/>
      <c r="R25" s="14"/>
      <c r="S25" s="14"/>
    </row>
    <row r="26" spans="1:19" ht="13.35" customHeight="1">
      <c r="A26" s="18">
        <v>14</v>
      </c>
      <c r="B26" s="18"/>
      <c r="C26" s="18"/>
      <c r="D26" s="18"/>
      <c r="E26" s="18"/>
      <c r="F26" s="18"/>
      <c r="G26" s="124"/>
      <c r="H26" s="4"/>
      <c r="I26" s="3" t="s">
        <v>26</v>
      </c>
      <c r="J26" s="5" t="s">
        <v>26</v>
      </c>
      <c r="K26" s="13"/>
      <c r="L26" s="34"/>
      <c r="M26" s="13"/>
      <c r="N26" s="14"/>
      <c r="O26" s="14"/>
      <c r="P26" s="14"/>
      <c r="Q26" s="14"/>
      <c r="R26" s="14"/>
      <c r="S26" s="14"/>
    </row>
    <row r="27" spans="1:19" ht="13.35" customHeight="1">
      <c r="A27" s="18">
        <v>15</v>
      </c>
      <c r="B27" s="18"/>
      <c r="C27" s="18" t="s">
        <v>26</v>
      </c>
      <c r="D27" s="18"/>
      <c r="E27" s="18"/>
      <c r="F27" s="18"/>
      <c r="G27" s="124"/>
      <c r="H27" s="4"/>
      <c r="I27" s="3"/>
      <c r="J27" s="5"/>
      <c r="K27" s="13"/>
      <c r="L27" s="34"/>
      <c r="M27" s="13"/>
      <c r="N27" s="14"/>
      <c r="O27" s="14"/>
      <c r="P27" s="14"/>
      <c r="Q27" s="14"/>
      <c r="R27" s="14"/>
      <c r="S27" s="14"/>
    </row>
    <row r="28" spans="1:19" ht="13.35" customHeight="1">
      <c r="A28" s="18">
        <v>16</v>
      </c>
      <c r="B28" s="18"/>
      <c r="C28" s="18" t="s">
        <v>26</v>
      </c>
      <c r="D28" s="18"/>
      <c r="E28" s="18"/>
      <c r="F28" s="18"/>
      <c r="G28" s="124"/>
      <c r="H28" s="4"/>
      <c r="I28" s="3"/>
      <c r="J28" s="5"/>
      <c r="K28" s="13"/>
      <c r="L28" s="34"/>
      <c r="M28" s="13"/>
      <c r="N28" s="14"/>
      <c r="O28" s="14"/>
      <c r="P28" s="14"/>
      <c r="Q28" s="14"/>
      <c r="R28" s="14"/>
      <c r="S28" s="14"/>
    </row>
    <row r="29" spans="1:19" ht="13.35" customHeight="1">
      <c r="A29" s="18">
        <v>17</v>
      </c>
      <c r="B29" s="18"/>
      <c r="C29" s="18" t="s">
        <v>26</v>
      </c>
      <c r="D29" s="18"/>
      <c r="E29" s="18"/>
      <c r="F29" s="18"/>
      <c r="G29" s="124"/>
      <c r="H29" s="4"/>
      <c r="I29" s="3"/>
      <c r="J29" s="5"/>
      <c r="K29" s="13"/>
      <c r="L29" s="34"/>
      <c r="M29" s="13"/>
      <c r="N29" s="14"/>
      <c r="O29" s="14"/>
      <c r="P29" s="14"/>
      <c r="Q29" s="14"/>
      <c r="R29" s="14"/>
      <c r="S29" s="14"/>
    </row>
    <row r="30" spans="1:19" ht="13.35" customHeight="1">
      <c r="A30" s="18">
        <v>18</v>
      </c>
      <c r="B30" s="18"/>
      <c r="C30" s="18" t="s">
        <v>26</v>
      </c>
      <c r="D30" s="18"/>
      <c r="E30" s="18"/>
      <c r="F30" s="18"/>
      <c r="G30" s="124"/>
      <c r="H30" s="4"/>
      <c r="I30" s="3"/>
      <c r="J30" s="5"/>
      <c r="K30" s="13"/>
      <c r="L30" s="34"/>
      <c r="M30" s="13"/>
      <c r="N30" s="14"/>
      <c r="O30" s="14"/>
      <c r="P30" s="14"/>
      <c r="Q30" s="14"/>
      <c r="R30" s="14"/>
      <c r="S30" s="14"/>
    </row>
    <row r="31" spans="1:19" ht="13.35" customHeight="1">
      <c r="A31" s="18">
        <v>19</v>
      </c>
      <c r="B31" s="18"/>
      <c r="C31" s="18"/>
      <c r="D31" s="18"/>
      <c r="E31" s="18"/>
      <c r="F31" s="18"/>
      <c r="G31" s="124"/>
      <c r="H31" s="4" t="s">
        <v>26</v>
      </c>
      <c r="I31" s="3"/>
      <c r="J31" s="5"/>
      <c r="K31" s="13"/>
      <c r="L31" s="34"/>
      <c r="M31" s="13"/>
      <c r="N31" s="14"/>
      <c r="O31" s="14"/>
      <c r="P31" s="14"/>
      <c r="Q31" s="14"/>
      <c r="R31" s="14"/>
      <c r="S31" s="14"/>
    </row>
    <row r="32" spans="1:19" ht="13.35" customHeight="1">
      <c r="A32" s="18">
        <v>20</v>
      </c>
      <c r="B32" s="18"/>
      <c r="C32" s="18"/>
      <c r="D32" s="18"/>
      <c r="E32" s="18"/>
      <c r="F32" s="18"/>
      <c r="G32" s="124"/>
      <c r="H32" s="4" t="s">
        <v>26</v>
      </c>
      <c r="I32" s="3"/>
      <c r="J32" s="5"/>
      <c r="K32" s="13"/>
      <c r="L32" s="34"/>
      <c r="M32" s="13"/>
      <c r="N32" s="14"/>
      <c r="O32" s="14"/>
      <c r="P32" s="14"/>
      <c r="Q32" s="14"/>
      <c r="R32" s="14"/>
      <c r="S32" s="14"/>
    </row>
    <row r="33" spans="1:20" ht="13.35" customHeight="1">
      <c r="A33" s="18">
        <v>21</v>
      </c>
      <c r="B33" s="18"/>
      <c r="C33" s="18"/>
      <c r="D33" s="18"/>
      <c r="E33" s="18"/>
      <c r="F33" s="18"/>
      <c r="G33" s="124"/>
      <c r="H33" s="4" t="s">
        <v>26</v>
      </c>
      <c r="I33" s="3"/>
      <c r="J33" s="5"/>
      <c r="K33" s="13"/>
      <c r="L33" s="34"/>
      <c r="M33" s="13"/>
      <c r="N33" s="14"/>
      <c r="O33" s="14"/>
      <c r="P33" s="14"/>
      <c r="Q33" s="14"/>
      <c r="R33" s="14"/>
      <c r="S33" s="14"/>
    </row>
    <row r="34" spans="1:20" ht="13.35" customHeight="1">
      <c r="A34" s="18">
        <v>22</v>
      </c>
      <c r="B34" s="18" t="s">
        <v>26</v>
      </c>
      <c r="C34" s="18"/>
      <c r="D34" s="18"/>
      <c r="E34" s="18"/>
      <c r="F34" s="18"/>
      <c r="G34" s="124"/>
      <c r="H34" s="4"/>
      <c r="I34" s="3"/>
      <c r="J34" s="5"/>
      <c r="K34" s="13"/>
      <c r="L34" s="34"/>
      <c r="M34" s="13"/>
      <c r="N34" s="14"/>
      <c r="O34" s="14"/>
      <c r="P34" s="3">
        <v>1</v>
      </c>
      <c r="Q34" s="14"/>
      <c r="R34" s="14"/>
      <c r="S34" s="14"/>
    </row>
    <row r="35" spans="1:20" ht="13.35" customHeight="1">
      <c r="A35" s="18">
        <v>23</v>
      </c>
      <c r="B35" s="18" t="s">
        <v>26</v>
      </c>
      <c r="C35" s="18"/>
      <c r="D35" s="18"/>
      <c r="E35" s="18"/>
      <c r="F35" s="18"/>
      <c r="G35" s="124"/>
      <c r="H35" s="4"/>
      <c r="I35" s="3"/>
      <c r="J35" s="5"/>
      <c r="K35" s="13"/>
      <c r="L35" s="34"/>
      <c r="M35" s="13"/>
      <c r="N35" s="14"/>
      <c r="O35" s="14"/>
      <c r="P35" s="3"/>
      <c r="Q35" s="14"/>
      <c r="R35" s="14"/>
      <c r="S35" s="14"/>
    </row>
    <row r="36" spans="1:20" ht="13.35" customHeight="1">
      <c r="A36" s="18">
        <v>24</v>
      </c>
      <c r="B36" s="18" t="s">
        <v>26</v>
      </c>
      <c r="C36" s="18"/>
      <c r="D36" s="18"/>
      <c r="E36" s="18"/>
      <c r="F36" s="18"/>
      <c r="G36" s="124"/>
      <c r="H36" s="4"/>
      <c r="I36" s="3"/>
      <c r="J36" s="5"/>
      <c r="K36" s="13"/>
      <c r="L36" s="34"/>
      <c r="M36" s="13"/>
      <c r="N36" s="14"/>
      <c r="O36" s="14"/>
      <c r="P36" s="3"/>
      <c r="Q36" s="14"/>
      <c r="R36" s="14"/>
      <c r="S36" s="14"/>
    </row>
    <row r="37" spans="1:20" ht="13.35" customHeight="1">
      <c r="A37" s="18">
        <v>25</v>
      </c>
      <c r="B37" s="18"/>
      <c r="C37" s="18"/>
      <c r="D37" s="18"/>
      <c r="E37" s="18"/>
      <c r="F37" s="18"/>
      <c r="G37" s="124"/>
      <c r="H37" s="4"/>
      <c r="I37" s="3"/>
      <c r="J37" s="5"/>
      <c r="K37" s="24" t="s">
        <v>26</v>
      </c>
      <c r="L37" s="34"/>
      <c r="M37" s="13"/>
      <c r="N37" s="14"/>
      <c r="O37" s="14"/>
      <c r="P37" s="3"/>
      <c r="Q37" s="14"/>
      <c r="R37" s="14"/>
      <c r="S37" s="14"/>
    </row>
    <row r="38" spans="1:20" ht="13.35" customHeight="1">
      <c r="A38" s="18">
        <v>26</v>
      </c>
      <c r="B38" s="18"/>
      <c r="C38" s="18"/>
      <c r="D38" s="18"/>
      <c r="E38" s="18"/>
      <c r="F38" s="18"/>
      <c r="G38" s="124"/>
      <c r="H38" s="4"/>
      <c r="I38" s="3"/>
      <c r="J38" s="5"/>
      <c r="K38" s="24" t="s">
        <v>26</v>
      </c>
      <c r="L38" s="34"/>
      <c r="M38" s="13"/>
      <c r="N38" s="14"/>
      <c r="O38" s="14"/>
      <c r="P38" s="14"/>
      <c r="Q38" s="14"/>
      <c r="R38" s="14"/>
      <c r="S38" s="14"/>
    </row>
    <row r="39" spans="1:20" ht="13.35" customHeight="1">
      <c r="A39" s="18">
        <v>27</v>
      </c>
      <c r="B39" s="18"/>
      <c r="C39" s="18"/>
      <c r="D39" s="18"/>
      <c r="E39" s="18"/>
      <c r="F39" s="18"/>
      <c r="G39" s="124"/>
      <c r="H39" s="4"/>
      <c r="I39" s="3"/>
      <c r="J39" s="5"/>
      <c r="K39" s="24" t="s">
        <v>26</v>
      </c>
      <c r="L39" s="34"/>
      <c r="M39" s="13"/>
      <c r="N39" s="14"/>
      <c r="O39" s="14"/>
      <c r="P39" s="14"/>
      <c r="Q39" s="14"/>
      <c r="R39" s="14"/>
      <c r="S39" s="14"/>
    </row>
    <row r="40" spans="1:20" ht="13.35" customHeight="1">
      <c r="A40" s="18">
        <v>28</v>
      </c>
      <c r="B40" s="18"/>
      <c r="C40" s="18"/>
      <c r="D40" s="18"/>
      <c r="E40" s="18"/>
      <c r="F40" s="18"/>
      <c r="G40" s="124"/>
      <c r="H40" s="4"/>
      <c r="I40" s="3"/>
      <c r="J40" s="5"/>
      <c r="K40" s="24" t="s">
        <v>26</v>
      </c>
      <c r="L40" s="34"/>
      <c r="M40" s="13"/>
      <c r="N40" s="14"/>
      <c r="O40" s="14"/>
      <c r="P40" s="14"/>
      <c r="Q40" s="14"/>
      <c r="R40" s="14"/>
      <c r="S40" s="14"/>
    </row>
    <row r="41" spans="1:20" ht="13.35" customHeight="1">
      <c r="A41" s="18">
        <v>29</v>
      </c>
      <c r="B41" s="18"/>
      <c r="C41" s="18"/>
      <c r="D41" s="18"/>
      <c r="E41" s="18"/>
      <c r="F41" s="18"/>
      <c r="G41" s="124"/>
      <c r="H41" s="4"/>
      <c r="I41" s="3"/>
      <c r="J41" s="5"/>
      <c r="K41" s="24" t="s">
        <v>26</v>
      </c>
      <c r="L41" s="34"/>
      <c r="M41" s="13"/>
      <c r="N41" s="14"/>
      <c r="O41" s="14"/>
      <c r="P41" s="14"/>
      <c r="Q41" s="14"/>
      <c r="R41" s="14"/>
      <c r="S41" s="14"/>
    </row>
    <row r="42" spans="1:20" ht="13.35" customHeight="1">
      <c r="A42" s="18">
        <v>30</v>
      </c>
      <c r="B42" s="18"/>
      <c r="C42" s="18"/>
      <c r="D42" s="18"/>
      <c r="E42" s="18"/>
      <c r="F42" s="18"/>
      <c r="G42" s="124"/>
      <c r="H42" s="4"/>
      <c r="I42" s="3"/>
      <c r="J42" s="5"/>
      <c r="K42" s="24" t="s">
        <v>26</v>
      </c>
      <c r="L42" s="34"/>
      <c r="M42" s="13"/>
      <c r="N42" s="14"/>
      <c r="O42" s="14"/>
      <c r="P42" s="14"/>
      <c r="Q42" s="14"/>
      <c r="R42" s="14"/>
      <c r="S42" s="14"/>
    </row>
    <row r="43" spans="1:20" ht="13.35" customHeight="1">
      <c r="A43" s="18">
        <v>31</v>
      </c>
      <c r="B43" s="18"/>
      <c r="C43" s="18"/>
      <c r="D43" s="18"/>
      <c r="E43" s="18"/>
      <c r="F43" s="18"/>
      <c r="G43" s="124"/>
      <c r="H43" s="4"/>
      <c r="I43" s="3"/>
      <c r="J43" s="5"/>
      <c r="K43" s="24" t="s">
        <v>26</v>
      </c>
      <c r="L43" s="34"/>
      <c r="M43" s="13"/>
      <c r="N43" s="14"/>
      <c r="O43" s="14"/>
      <c r="P43" s="14"/>
      <c r="Q43" s="14"/>
      <c r="R43" s="14"/>
      <c r="S43" s="14"/>
    </row>
    <row r="44" spans="1:20" ht="14.25" customHeight="1" thickBot="1">
      <c r="A44" s="18">
        <v>32</v>
      </c>
      <c r="B44" s="18"/>
      <c r="C44" s="18"/>
      <c r="D44" s="18"/>
      <c r="E44" s="18"/>
      <c r="F44" s="18"/>
      <c r="G44" s="124"/>
      <c r="H44" s="129"/>
      <c r="I44" s="15"/>
      <c r="J44" s="130"/>
      <c r="K44" s="133" t="s">
        <v>26</v>
      </c>
      <c r="M44" s="14"/>
      <c r="N44" s="14"/>
      <c r="O44" s="14"/>
      <c r="P44" s="14"/>
      <c r="Q44" s="14"/>
      <c r="R44" s="14"/>
      <c r="S44" s="14"/>
    </row>
    <row r="45" spans="1:20" ht="21" customHeight="1" thickBot="1">
      <c r="F45" s="196" t="s">
        <v>91</v>
      </c>
      <c r="G45" s="196"/>
      <c r="H45" s="134">
        <v>6</v>
      </c>
      <c r="I45" s="131">
        <v>1</v>
      </c>
      <c r="J45" s="132">
        <v>1</v>
      </c>
      <c r="K45" s="126"/>
      <c r="L45" s="11"/>
      <c r="M45" s="6"/>
      <c r="N45" s="7"/>
      <c r="O45" s="7"/>
      <c r="P45" s="7">
        <v>1</v>
      </c>
      <c r="Q45" s="7"/>
      <c r="R45" s="7">
        <v>2</v>
      </c>
      <c r="S45" s="25"/>
      <c r="T45" s="11"/>
    </row>
    <row r="46" spans="1:20" ht="12" customHeight="1" thickBot="1">
      <c r="L46" s="11"/>
      <c r="N46" s="2"/>
      <c r="O46" s="2"/>
      <c r="P46" s="2"/>
      <c r="Q46" s="2"/>
      <c r="R46" s="2"/>
      <c r="T46" s="11"/>
    </row>
    <row r="47" spans="1:20" ht="21.75" customHeight="1" thickBot="1">
      <c r="A47" s="121"/>
      <c r="B47" s="121"/>
      <c r="C47" s="121"/>
      <c r="D47" s="121"/>
      <c r="E47" s="121"/>
      <c r="F47" s="197" t="s">
        <v>15</v>
      </c>
      <c r="G47" s="198"/>
      <c r="H47" s="191">
        <v>8</v>
      </c>
      <c r="I47" s="192"/>
      <c r="J47" s="193"/>
      <c r="L47" s="11"/>
      <c r="M47" s="2"/>
      <c r="N47" s="2"/>
      <c r="O47" s="167">
        <v>3</v>
      </c>
      <c r="P47" s="168"/>
      <c r="Q47" s="169"/>
      <c r="R47" s="172" t="s">
        <v>16</v>
      </c>
      <c r="S47" s="172"/>
      <c r="T47" s="11"/>
    </row>
    <row r="48" spans="1:20" ht="10.5" customHeight="1" thickBot="1">
      <c r="M48" s="23"/>
      <c r="N48" s="2"/>
      <c r="O48" s="2"/>
      <c r="P48" s="2"/>
      <c r="Q48" s="2"/>
      <c r="R48" s="2"/>
      <c r="T48" s="11"/>
    </row>
    <row r="49" spans="1:20" ht="20.25" customHeight="1" thickBot="1">
      <c r="B49" s="118"/>
      <c r="C49" s="118"/>
      <c r="D49" s="118"/>
      <c r="E49" s="194" t="s">
        <v>90</v>
      </c>
      <c r="F49" s="194"/>
      <c r="G49" s="195"/>
      <c r="H49" s="191">
        <v>32</v>
      </c>
      <c r="I49" s="192"/>
      <c r="J49" s="193"/>
      <c r="K49" s="23"/>
      <c r="M49" s="23"/>
      <c r="O49" s="176">
        <v>34</v>
      </c>
      <c r="P49" s="177"/>
      <c r="Q49" s="178"/>
      <c r="R49" s="247" t="s">
        <v>114</v>
      </c>
      <c r="S49" s="248"/>
      <c r="T49" s="248"/>
    </row>
    <row r="50" spans="1:20" ht="10.5" customHeight="1" thickBot="1">
      <c r="B50" s="118"/>
      <c r="C50" s="118"/>
      <c r="D50" s="118"/>
      <c r="E50" s="118"/>
      <c r="F50" s="118"/>
      <c r="G50" s="118"/>
      <c r="H50" s="118"/>
      <c r="I50" s="118"/>
      <c r="J50" s="118"/>
      <c r="K50" s="11"/>
      <c r="M50" s="11"/>
    </row>
    <row r="51" spans="1:20" ht="21" customHeight="1" thickBot="1">
      <c r="A51" s="118"/>
      <c r="B51" s="118"/>
      <c r="C51" s="118"/>
      <c r="D51" s="118"/>
      <c r="E51" s="118"/>
      <c r="F51" s="179" t="s">
        <v>40</v>
      </c>
      <c r="G51" s="179"/>
      <c r="H51" s="201">
        <f>24/32</f>
        <v>0.75</v>
      </c>
      <c r="I51" s="202"/>
      <c r="J51" s="203"/>
      <c r="K51" s="118"/>
      <c r="L51" s="117"/>
      <c r="O51" s="201">
        <f>(O49-O47)/O49</f>
        <v>0.91176470588235292</v>
      </c>
      <c r="P51" s="202"/>
      <c r="Q51" s="203"/>
      <c r="R51" s="172" t="s">
        <v>0</v>
      </c>
      <c r="S51" s="172"/>
    </row>
    <row r="52" spans="1:20" ht="18" customHeight="1">
      <c r="R52" s="26"/>
      <c r="S52" s="26"/>
    </row>
    <row r="53" spans="1:20" ht="18" customHeight="1"/>
    <row r="54" spans="1:20" ht="18" customHeight="1">
      <c r="A54" s="17"/>
      <c r="B54" s="17"/>
      <c r="C54" s="17"/>
      <c r="D54" s="17"/>
      <c r="E54" s="17"/>
      <c r="F54" s="17"/>
      <c r="G54" s="17"/>
    </row>
    <row r="58" spans="1:20">
      <c r="A58" s="17"/>
      <c r="B58" s="17"/>
      <c r="C58" s="17"/>
      <c r="D58" s="17"/>
      <c r="E58" s="17"/>
      <c r="F58" s="17"/>
      <c r="G58" s="17"/>
    </row>
  </sheetData>
  <mergeCells count="25">
    <mergeCell ref="R47:S47"/>
    <mergeCell ref="M9:O11"/>
    <mergeCell ref="O3:O8"/>
    <mergeCell ref="R51:S51"/>
    <mergeCell ref="O49:Q49"/>
    <mergeCell ref="R49:T49"/>
    <mergeCell ref="L2:M2"/>
    <mergeCell ref="O47:Q47"/>
    <mergeCell ref="O51:Q51"/>
    <mergeCell ref="K6:K12"/>
    <mergeCell ref="F51:G51"/>
    <mergeCell ref="H51:J51"/>
    <mergeCell ref="J2:K2"/>
    <mergeCell ref="J6:J12"/>
    <mergeCell ref="H6:H12"/>
    <mergeCell ref="I6:I12"/>
    <mergeCell ref="C2:E2"/>
    <mergeCell ref="A2:B2"/>
    <mergeCell ref="B10:G11"/>
    <mergeCell ref="H49:J49"/>
    <mergeCell ref="E49:G49"/>
    <mergeCell ref="F45:G45"/>
    <mergeCell ref="H5:J5"/>
    <mergeCell ref="F47:G47"/>
    <mergeCell ref="H47:J47"/>
  </mergeCells>
  <phoneticPr fontId="2" type="noConversion"/>
  <pageMargins left="0.47244094488188981" right="0.47244094488188981" top="0.78740157480314965" bottom="0.78740157480314965" header="0.51181102362204722" footer="0.51181102362204722"/>
  <pageSetup paperSize="9" orientation="portrait" r:id="rId1"/>
  <headerFooter alignWithMargins="0">
    <oddHeader>&amp;C&amp;"Albertus Medium,Gras"&amp;11FEUILLE DE SUIVI (verso)</oddHeader>
    <oddFooter>&amp;L&amp;8CIPE - Le Jeu du Kanban - Marque déposée&amp;R&amp;12FS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21"/>
  <sheetViews>
    <sheetView showGridLines="0" zoomScale="85" zoomScaleNormal="85" workbookViewId="0">
      <selection activeCell="R16" sqref="R16"/>
    </sheetView>
  </sheetViews>
  <sheetFormatPr baseColWidth="10" defaultColWidth="11.42578125" defaultRowHeight="12.75"/>
  <cols>
    <col min="1" max="1" width="4.42578125" style="1" customWidth="1"/>
    <col min="2" max="2" width="6.42578125" style="1" customWidth="1"/>
    <col min="3" max="3" width="5.7109375" style="1" customWidth="1"/>
    <col min="4" max="4" width="3.28515625" style="1" customWidth="1"/>
    <col min="5" max="5" width="5.7109375" style="1" customWidth="1"/>
    <col min="6" max="6" width="3" style="1" customWidth="1"/>
    <col min="7" max="7" width="6" style="1" customWidth="1"/>
    <col min="8" max="8" width="2.8554687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4.7109375" style="1" customWidth="1"/>
    <col min="15" max="15" width="8.140625" style="1" customWidth="1"/>
    <col min="16" max="16384" width="11.42578125" style="1"/>
  </cols>
  <sheetData>
    <row r="2" spans="1:15" ht="12.75" customHeight="1">
      <c r="C2" s="3" t="s">
        <v>8</v>
      </c>
      <c r="D2" s="2"/>
      <c r="E2" s="3" t="s">
        <v>9</v>
      </c>
      <c r="F2" s="2"/>
      <c r="G2" s="3" t="s">
        <v>10</v>
      </c>
      <c r="H2" s="2"/>
      <c r="I2" s="3" t="s">
        <v>11</v>
      </c>
      <c r="J2" s="2"/>
      <c r="K2" s="3" t="s">
        <v>12</v>
      </c>
      <c r="M2" s="14" t="s">
        <v>13</v>
      </c>
      <c r="O2" s="204" t="s">
        <v>55</v>
      </c>
    </row>
    <row r="3" spans="1:15" ht="25.5" customHeight="1">
      <c r="C3" s="50"/>
      <c r="D3" s="2"/>
      <c r="E3" s="50"/>
      <c r="F3" s="2"/>
      <c r="G3" s="50"/>
      <c r="H3" s="2"/>
      <c r="I3" s="50"/>
      <c r="J3" s="2"/>
      <c r="K3" s="50"/>
      <c r="M3" s="51"/>
      <c r="O3" s="204"/>
    </row>
    <row r="4" spans="1:15">
      <c r="C4" s="2"/>
      <c r="D4" s="2"/>
      <c r="E4" s="2"/>
      <c r="F4" s="2"/>
      <c r="G4" s="2"/>
      <c r="H4" s="2"/>
      <c r="I4" s="2"/>
      <c r="J4" s="2"/>
      <c r="K4" s="2"/>
      <c r="O4" s="205"/>
    </row>
    <row r="5" spans="1:15" ht="27" customHeight="1">
      <c r="A5" s="207" t="s">
        <v>49</v>
      </c>
      <c r="B5" s="2" t="s">
        <v>21</v>
      </c>
      <c r="C5" s="52"/>
      <c r="D5" s="2"/>
      <c r="E5" s="52"/>
      <c r="F5" s="2"/>
      <c r="G5" s="52"/>
      <c r="H5" s="2"/>
      <c r="I5" s="2"/>
      <c r="J5" s="2"/>
      <c r="K5" s="2"/>
      <c r="O5" s="53"/>
    </row>
    <row r="6" spans="1:15">
      <c r="A6" s="207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 ht="27" customHeight="1">
      <c r="A7" s="207"/>
      <c r="B7" s="2" t="s">
        <v>20</v>
      </c>
      <c r="C7" s="2"/>
      <c r="D7" s="2"/>
      <c r="E7" s="2"/>
      <c r="F7" s="2"/>
      <c r="G7" s="2"/>
      <c r="H7" s="2"/>
      <c r="I7" s="52"/>
      <c r="J7" s="2"/>
      <c r="K7" s="52"/>
      <c r="M7" s="53"/>
      <c r="O7" s="53"/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</row>
    <row r="9" spans="1:15" ht="27" customHeight="1">
      <c r="A9" s="207" t="s">
        <v>50</v>
      </c>
      <c r="B9" s="2" t="s">
        <v>56</v>
      </c>
      <c r="C9" s="52"/>
      <c r="D9" s="2"/>
      <c r="E9" s="52"/>
      <c r="F9" s="2"/>
      <c r="G9" s="52"/>
      <c r="H9" s="2"/>
      <c r="I9" s="52"/>
      <c r="J9" s="2"/>
      <c r="K9" s="2"/>
      <c r="O9" s="53"/>
    </row>
    <row r="10" spans="1:15">
      <c r="A10" s="207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5" ht="27" customHeight="1">
      <c r="A11" s="207"/>
      <c r="B11" s="2" t="s">
        <v>113</v>
      </c>
      <c r="C11" s="2"/>
      <c r="D11" s="2"/>
      <c r="E11" s="2"/>
      <c r="F11" s="2"/>
      <c r="G11" s="2"/>
      <c r="H11" s="2"/>
      <c r="I11" s="2"/>
      <c r="J11" s="2"/>
      <c r="K11" s="52"/>
      <c r="M11" s="53"/>
      <c r="O11" s="53"/>
    </row>
    <row r="12" spans="1:1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5" ht="27" customHeight="1">
      <c r="A13" s="207" t="s">
        <v>58</v>
      </c>
      <c r="B13" s="2" t="s">
        <v>20</v>
      </c>
      <c r="C13" s="52"/>
      <c r="D13" s="2"/>
      <c r="E13" s="2"/>
      <c r="F13" s="2"/>
      <c r="G13" s="2"/>
      <c r="H13" s="2"/>
      <c r="I13" s="52"/>
      <c r="J13" s="2"/>
      <c r="K13" s="2"/>
      <c r="O13" s="53"/>
    </row>
    <row r="14" spans="1:15">
      <c r="A14" s="207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5" ht="27" customHeight="1">
      <c r="A15" s="207"/>
      <c r="B15" s="2" t="s">
        <v>57</v>
      </c>
      <c r="C15" s="2"/>
      <c r="D15" s="2"/>
      <c r="E15" s="52"/>
      <c r="F15" s="2"/>
      <c r="G15" s="2"/>
      <c r="H15" s="2"/>
      <c r="I15" s="2"/>
      <c r="J15" s="2"/>
      <c r="K15" s="52"/>
      <c r="O15" s="53"/>
    </row>
    <row r="16" spans="1:15">
      <c r="A16" s="207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ht="27" customHeight="1">
      <c r="A17" s="207"/>
      <c r="B17" s="2" t="s">
        <v>56</v>
      </c>
      <c r="C17" s="2"/>
      <c r="D17" s="2"/>
      <c r="E17" s="2"/>
      <c r="F17" s="2"/>
      <c r="G17" s="52"/>
      <c r="H17" s="2"/>
      <c r="I17" s="2"/>
      <c r="J17" s="2"/>
      <c r="K17" s="2"/>
      <c r="M17" s="53"/>
      <c r="O17" s="53"/>
    </row>
    <row r="18" spans="1:15">
      <c r="C18" s="2"/>
      <c r="D18" s="2"/>
      <c r="E18" s="2"/>
      <c r="F18" s="2"/>
      <c r="G18" s="2"/>
      <c r="H18" s="2"/>
      <c r="I18" s="2"/>
      <c r="J18" s="2"/>
      <c r="K18" s="2"/>
    </row>
    <row r="19" spans="1:15">
      <c r="C19" s="2"/>
      <c r="D19" s="2"/>
      <c r="E19" s="2"/>
      <c r="F19" s="2"/>
      <c r="G19" s="2"/>
      <c r="H19" s="2"/>
      <c r="I19" s="2"/>
      <c r="J19" s="2"/>
      <c r="K19" s="2"/>
    </row>
    <row r="20" spans="1:15" ht="27" customHeight="1">
      <c r="C20" s="53"/>
      <c r="D20" s="54" t="s">
        <v>59</v>
      </c>
      <c r="E20" s="53"/>
      <c r="F20" s="54" t="s">
        <v>60</v>
      </c>
      <c r="G20" s="53"/>
      <c r="I20" s="206" t="s">
        <v>97</v>
      </c>
      <c r="J20" s="206"/>
      <c r="K20" s="206"/>
      <c r="L20" s="206"/>
      <c r="M20" s="206"/>
      <c r="N20" s="206"/>
      <c r="O20" s="206"/>
    </row>
    <row r="21" spans="1:15" ht="42" customHeight="1">
      <c r="C21" s="55" t="s">
        <v>61</v>
      </c>
      <c r="D21" s="2"/>
      <c r="E21" s="55" t="s">
        <v>62</v>
      </c>
      <c r="F21" s="2"/>
      <c r="G21" s="49" t="s">
        <v>63</v>
      </c>
      <c r="I21" s="206"/>
      <c r="J21" s="206"/>
      <c r="K21" s="206"/>
      <c r="L21" s="206"/>
      <c r="M21" s="206"/>
      <c r="N21" s="206"/>
      <c r="O21" s="206"/>
    </row>
  </sheetData>
  <mergeCells count="5">
    <mergeCell ref="O2:O4"/>
    <mergeCell ref="I20:O21"/>
    <mergeCell ref="A13:A17"/>
    <mergeCell ref="A9:A11"/>
    <mergeCell ref="A5:A7"/>
  </mergeCells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&amp;C&amp;12Calcul des besoins</oddHeader>
    <oddFooter>&amp;LCIPE - Le Jeu du Kanban - Marque déposée&amp;R&amp;12CB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showGridLines="0" zoomScale="70" zoomScaleNormal="70" workbookViewId="0">
      <selection activeCell="L23" sqref="L23"/>
    </sheetView>
  </sheetViews>
  <sheetFormatPr baseColWidth="10" defaultColWidth="11.42578125" defaultRowHeight="12.75"/>
  <cols>
    <col min="1" max="1" width="4.42578125" style="1" customWidth="1"/>
    <col min="2" max="2" width="6.42578125" style="1" customWidth="1"/>
    <col min="3" max="3" width="5.7109375" style="1" customWidth="1"/>
    <col min="4" max="4" width="3.28515625" style="1" customWidth="1"/>
    <col min="5" max="5" width="5.7109375" style="1" customWidth="1"/>
    <col min="6" max="6" width="3" style="1" customWidth="1"/>
    <col min="7" max="7" width="6" style="1" customWidth="1"/>
    <col min="8" max="8" width="2.8554687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4.7109375" style="1" customWidth="1"/>
    <col min="15" max="15" width="8.140625" style="1" customWidth="1"/>
    <col min="16" max="16384" width="11.42578125" style="1"/>
  </cols>
  <sheetData>
    <row r="1" spans="1:15" ht="53.25" customHeight="1"/>
    <row r="2" spans="1:15" ht="14.25" customHeight="1">
      <c r="C2" s="56" t="s">
        <v>8</v>
      </c>
      <c r="D2" s="57"/>
      <c r="E2" s="56" t="s">
        <v>9</v>
      </c>
      <c r="F2" s="57"/>
      <c r="G2" s="56" t="s">
        <v>10</v>
      </c>
      <c r="H2" s="57"/>
      <c r="I2" s="56" t="s">
        <v>11</v>
      </c>
      <c r="J2" s="57"/>
      <c r="K2" s="56" t="s">
        <v>12</v>
      </c>
      <c r="L2" s="57"/>
      <c r="M2" s="56" t="s">
        <v>13</v>
      </c>
      <c r="O2" s="204" t="s">
        <v>55</v>
      </c>
    </row>
    <row r="3" spans="1:15" ht="25.5" customHeight="1">
      <c r="C3" s="58">
        <v>1</v>
      </c>
      <c r="D3" s="59"/>
      <c r="E3" s="58">
        <v>2</v>
      </c>
      <c r="F3" s="59"/>
      <c r="G3" s="58">
        <v>1</v>
      </c>
      <c r="H3" s="59"/>
      <c r="I3" s="58">
        <v>4</v>
      </c>
      <c r="J3" s="59"/>
      <c r="K3" s="58">
        <v>2</v>
      </c>
      <c r="L3" s="60"/>
      <c r="M3" s="58">
        <v>3</v>
      </c>
      <c r="O3" s="204"/>
    </row>
    <row r="4" spans="1:15" ht="15">
      <c r="C4" s="59"/>
      <c r="D4" s="59"/>
      <c r="E4" s="59"/>
      <c r="F4" s="59"/>
      <c r="G4" s="59"/>
      <c r="H4" s="59"/>
      <c r="I4" s="59"/>
      <c r="J4" s="59"/>
      <c r="K4" s="59"/>
      <c r="L4" s="60"/>
      <c r="M4" s="60"/>
      <c r="O4" s="205"/>
    </row>
    <row r="5" spans="1:15" ht="27" customHeight="1">
      <c r="A5" s="207" t="s">
        <v>49</v>
      </c>
      <c r="B5" s="2" t="s">
        <v>21</v>
      </c>
      <c r="C5" s="61">
        <f>C3</f>
        <v>1</v>
      </c>
      <c r="D5" s="59"/>
      <c r="E5" s="61">
        <f>E3</f>
        <v>2</v>
      </c>
      <c r="F5" s="59"/>
      <c r="G5" s="61">
        <f>G3</f>
        <v>1</v>
      </c>
      <c r="H5" s="59"/>
      <c r="I5" s="59"/>
      <c r="J5" s="59"/>
      <c r="K5" s="59"/>
      <c r="L5" s="60"/>
      <c r="M5" s="60"/>
      <c r="N5" s="60"/>
      <c r="O5" s="61">
        <f>M5+K5+I5+G5+E5+C5</f>
        <v>4</v>
      </c>
    </row>
    <row r="6" spans="1:15" ht="15">
      <c r="A6" s="207"/>
      <c r="B6" s="2"/>
      <c r="C6" s="59"/>
      <c r="D6" s="59"/>
      <c r="E6" s="59"/>
      <c r="F6" s="59"/>
      <c r="G6" s="59"/>
      <c r="H6" s="59"/>
      <c r="I6" s="59"/>
      <c r="J6" s="59"/>
      <c r="K6" s="59"/>
      <c r="L6" s="60"/>
      <c r="M6" s="60"/>
      <c r="N6" s="60"/>
      <c r="O6" s="60"/>
    </row>
    <row r="7" spans="1:15" ht="27" customHeight="1">
      <c r="A7" s="207"/>
      <c r="B7" s="2" t="s">
        <v>20</v>
      </c>
      <c r="C7" s="59"/>
      <c r="D7" s="59"/>
      <c r="E7" s="59"/>
      <c r="F7" s="59"/>
      <c r="G7" s="59"/>
      <c r="H7" s="59"/>
      <c r="I7" s="61">
        <f>I3</f>
        <v>4</v>
      </c>
      <c r="J7" s="59"/>
      <c r="K7" s="61">
        <f>K3</f>
        <v>2</v>
      </c>
      <c r="L7" s="60"/>
      <c r="M7" s="61">
        <f>M3</f>
        <v>3</v>
      </c>
      <c r="N7" s="60"/>
      <c r="O7" s="61">
        <f>M7+K7+I7+G7+E7+C7</f>
        <v>9</v>
      </c>
    </row>
    <row r="8" spans="1:15" ht="15">
      <c r="B8" s="2"/>
      <c r="C8" s="59"/>
      <c r="D8" s="59"/>
      <c r="E8" s="59"/>
      <c r="F8" s="59"/>
      <c r="G8" s="59"/>
      <c r="H8" s="59"/>
      <c r="I8" s="59"/>
      <c r="J8" s="59"/>
      <c r="K8" s="59"/>
      <c r="L8" s="60"/>
      <c r="M8" s="60"/>
      <c r="N8" s="60"/>
      <c r="O8" s="60"/>
    </row>
    <row r="9" spans="1:15" ht="27" customHeight="1">
      <c r="A9" s="207" t="s">
        <v>50</v>
      </c>
      <c r="B9" s="2" t="s">
        <v>56</v>
      </c>
      <c r="C9" s="61">
        <f>C3</f>
        <v>1</v>
      </c>
      <c r="D9" s="59"/>
      <c r="E9" s="61">
        <f>E3</f>
        <v>2</v>
      </c>
      <c r="F9" s="59"/>
      <c r="G9" s="61">
        <f>G3</f>
        <v>1</v>
      </c>
      <c r="H9" s="59"/>
      <c r="I9" s="61">
        <f>I3</f>
        <v>4</v>
      </c>
      <c r="J9" s="59"/>
      <c r="K9" s="59"/>
      <c r="L9" s="60"/>
      <c r="M9" s="60"/>
      <c r="N9" s="60"/>
      <c r="O9" s="61">
        <f>M9+K9+I9+G9+E9+C9</f>
        <v>8</v>
      </c>
    </row>
    <row r="10" spans="1:15" ht="15">
      <c r="A10" s="207"/>
      <c r="B10" s="2"/>
      <c r="C10" s="59"/>
      <c r="D10" s="59"/>
      <c r="E10" s="59"/>
      <c r="F10" s="59"/>
      <c r="G10" s="59"/>
      <c r="H10" s="59"/>
      <c r="I10" s="59"/>
      <c r="J10" s="59"/>
      <c r="K10" s="59"/>
      <c r="L10" s="60"/>
      <c r="M10" s="60"/>
      <c r="N10" s="60"/>
      <c r="O10" s="60"/>
    </row>
    <row r="11" spans="1:15" ht="27" customHeight="1">
      <c r="A11" s="207"/>
      <c r="B11" s="2" t="s">
        <v>113</v>
      </c>
      <c r="C11" s="59"/>
      <c r="D11" s="59"/>
      <c r="E11" s="59"/>
      <c r="F11" s="59"/>
      <c r="G11" s="59"/>
      <c r="H11" s="59"/>
      <c r="I11" s="59"/>
      <c r="J11" s="59"/>
      <c r="K11" s="61">
        <f>K3</f>
        <v>2</v>
      </c>
      <c r="L11" s="60"/>
      <c r="M11" s="61">
        <f>M3</f>
        <v>3</v>
      </c>
      <c r="N11" s="60"/>
      <c r="O11" s="61">
        <f>M11+K11+I11+G11+E11+C11</f>
        <v>5</v>
      </c>
    </row>
    <row r="12" spans="1:15" ht="15">
      <c r="B12" s="2"/>
      <c r="C12" s="59"/>
      <c r="D12" s="59"/>
      <c r="E12" s="59"/>
      <c r="F12" s="59"/>
      <c r="G12" s="59"/>
      <c r="H12" s="59"/>
      <c r="I12" s="59"/>
      <c r="J12" s="59"/>
      <c r="K12" s="59"/>
      <c r="L12" s="60"/>
      <c r="M12" s="60"/>
      <c r="N12" s="60"/>
      <c r="O12" s="60"/>
    </row>
    <row r="13" spans="1:15" ht="27" customHeight="1">
      <c r="A13" s="207" t="s">
        <v>58</v>
      </c>
      <c r="B13" s="2" t="s">
        <v>20</v>
      </c>
      <c r="C13" s="61">
        <f>C3</f>
        <v>1</v>
      </c>
      <c r="D13" s="59"/>
      <c r="E13" s="59"/>
      <c r="F13" s="59"/>
      <c r="G13" s="59"/>
      <c r="H13" s="59"/>
      <c r="I13" s="61">
        <f>I3</f>
        <v>4</v>
      </c>
      <c r="J13" s="59"/>
      <c r="K13" s="59"/>
      <c r="L13" s="60"/>
      <c r="M13" s="60"/>
      <c r="N13" s="60"/>
      <c r="O13" s="61">
        <f>M13+K13+I13+G13+E13+C13</f>
        <v>5</v>
      </c>
    </row>
    <row r="14" spans="1:15" ht="15">
      <c r="A14" s="207"/>
      <c r="B14" s="2"/>
      <c r="C14" s="59"/>
      <c r="D14" s="59"/>
      <c r="E14" s="59"/>
      <c r="F14" s="59"/>
      <c r="G14" s="59"/>
      <c r="H14" s="59"/>
      <c r="I14" s="59"/>
      <c r="J14" s="59"/>
      <c r="K14" s="59"/>
      <c r="L14" s="60"/>
      <c r="M14" s="60"/>
      <c r="N14" s="60"/>
      <c r="O14" s="60"/>
    </row>
    <row r="15" spans="1:15" ht="27" customHeight="1">
      <c r="A15" s="207"/>
      <c r="B15" s="2" t="s">
        <v>57</v>
      </c>
      <c r="C15" s="59"/>
      <c r="D15" s="59"/>
      <c r="E15" s="61">
        <f>E3</f>
        <v>2</v>
      </c>
      <c r="F15" s="59"/>
      <c r="G15" s="59"/>
      <c r="H15" s="59"/>
      <c r="I15" s="59"/>
      <c r="J15" s="59"/>
      <c r="K15" s="61">
        <f>K3</f>
        <v>2</v>
      </c>
      <c r="L15" s="60"/>
      <c r="M15" s="60"/>
      <c r="N15" s="60"/>
      <c r="O15" s="61">
        <f>M15+K15+I15+G15+E15+C15</f>
        <v>4</v>
      </c>
    </row>
    <row r="16" spans="1:15" ht="15">
      <c r="A16" s="207"/>
      <c r="B16" s="2"/>
      <c r="C16" s="59"/>
      <c r="D16" s="59"/>
      <c r="E16" s="59"/>
      <c r="F16" s="59"/>
      <c r="G16" s="59"/>
      <c r="H16" s="59"/>
      <c r="I16" s="59"/>
      <c r="J16" s="59"/>
      <c r="K16" s="59"/>
      <c r="L16" s="60"/>
      <c r="M16" s="60"/>
      <c r="N16" s="60"/>
      <c r="O16" s="60"/>
    </row>
    <row r="17" spans="1:15" ht="27" customHeight="1">
      <c r="A17" s="207"/>
      <c r="B17" s="2" t="s">
        <v>56</v>
      </c>
      <c r="C17" s="59"/>
      <c r="D17" s="59"/>
      <c r="E17" s="59"/>
      <c r="F17" s="59"/>
      <c r="G17" s="61">
        <f>G3</f>
        <v>1</v>
      </c>
      <c r="H17" s="59"/>
      <c r="I17" s="59"/>
      <c r="J17" s="59"/>
      <c r="K17" s="59"/>
      <c r="L17" s="60"/>
      <c r="M17" s="61">
        <f>M3</f>
        <v>3</v>
      </c>
      <c r="N17" s="60"/>
      <c r="O17" s="61">
        <f>M17+K17+I17+G17+E17+C17</f>
        <v>4</v>
      </c>
    </row>
    <row r="18" spans="1:15">
      <c r="C18" s="2"/>
      <c r="D18" s="2"/>
      <c r="E18" s="2"/>
      <c r="F18" s="2"/>
      <c r="G18" s="2"/>
      <c r="H18" s="2"/>
      <c r="I18" s="2"/>
      <c r="J18" s="2"/>
      <c r="K18" s="2"/>
    </row>
    <row r="19" spans="1:15">
      <c r="C19" s="2"/>
      <c r="D19" s="2"/>
      <c r="E19" s="2"/>
      <c r="F19" s="2"/>
      <c r="G19" s="2"/>
      <c r="H19" s="2"/>
      <c r="I19" s="2"/>
      <c r="J19" s="2"/>
      <c r="K19" s="2"/>
    </row>
    <row r="20" spans="1:15" ht="27" customHeight="1">
      <c r="C20" s="61">
        <f>E20+G20</f>
        <v>15</v>
      </c>
      <c r="D20" s="62" t="s">
        <v>59</v>
      </c>
      <c r="E20" s="61">
        <f>O13</f>
        <v>5</v>
      </c>
      <c r="F20" s="62" t="s">
        <v>60</v>
      </c>
      <c r="G20" s="61">
        <v>10</v>
      </c>
    </row>
    <row r="21" spans="1:15" ht="42" customHeight="1">
      <c r="C21" s="55" t="s">
        <v>61</v>
      </c>
      <c r="D21" s="2"/>
      <c r="E21" s="55" t="s">
        <v>62</v>
      </c>
      <c r="F21" s="2"/>
      <c r="G21" s="49" t="s">
        <v>63</v>
      </c>
    </row>
  </sheetData>
  <mergeCells count="4">
    <mergeCell ref="A13:A17"/>
    <mergeCell ref="A9:A11"/>
    <mergeCell ref="A5:A7"/>
    <mergeCell ref="O2:O4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&amp;C&amp;12Calcul des besoins (verso)</oddHeader>
    <oddFooter>&amp;LCIPE - Le Jeu du Kanban - Marque déposée&amp;R&amp;12CB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showGridLines="0" zoomScale="55" zoomScaleNormal="55" workbookViewId="0">
      <selection activeCell="E7" sqref="E7"/>
    </sheetView>
  </sheetViews>
  <sheetFormatPr baseColWidth="10" defaultColWidth="11.42578125" defaultRowHeight="12.75"/>
  <cols>
    <col min="1" max="1" width="4.5703125" style="1" customWidth="1"/>
    <col min="2" max="2" width="3.140625" style="1" customWidth="1"/>
    <col min="3" max="3" width="3.28515625" style="1" customWidth="1"/>
    <col min="4" max="8" width="6.28515625" style="2" customWidth="1"/>
    <col min="9" max="11" width="6.85546875" style="2" customWidth="1"/>
    <col min="12" max="14" width="6.28515625" style="1" customWidth="1"/>
    <col min="15" max="15" width="3.28515625" style="1" customWidth="1"/>
    <col min="16" max="16384" width="11.42578125" style="1"/>
  </cols>
  <sheetData>
    <row r="1" spans="1:15" ht="16.5" customHeight="1">
      <c r="A1" s="211" t="s">
        <v>28</v>
      </c>
      <c r="B1" s="212"/>
      <c r="C1" s="208"/>
      <c r="D1" s="209"/>
      <c r="E1" s="140"/>
      <c r="I1" s="1"/>
      <c r="J1" s="1"/>
      <c r="K1" s="1"/>
    </row>
    <row r="2" spans="1:15" ht="12.75" customHeight="1">
      <c r="F2" s="138"/>
      <c r="G2" s="139"/>
      <c r="H2" s="140"/>
    </row>
    <row r="3" spans="1:15" ht="37.5" customHeight="1">
      <c r="A3" s="141"/>
      <c r="B3" s="142"/>
      <c r="C3" s="142"/>
      <c r="D3" s="135"/>
      <c r="E3" s="135"/>
      <c r="F3" s="155"/>
      <c r="G3" s="156"/>
      <c r="H3" s="143" t="s">
        <v>106</v>
      </c>
      <c r="I3" s="135"/>
      <c r="J3" s="135"/>
      <c r="K3" s="135"/>
      <c r="L3" s="142"/>
      <c r="M3" s="142"/>
      <c r="N3" s="142"/>
      <c r="O3" s="33"/>
    </row>
    <row r="4" spans="1:15" ht="16.5" customHeight="1">
      <c r="A4" s="144"/>
      <c r="E4" s="220" t="s">
        <v>107</v>
      </c>
      <c r="F4" s="221"/>
      <c r="G4" s="221"/>
      <c r="H4" s="221"/>
      <c r="I4" s="221"/>
      <c r="J4" s="221"/>
      <c r="K4" s="221"/>
      <c r="L4" s="222"/>
      <c r="O4" s="34"/>
    </row>
    <row r="5" spans="1:15" ht="16.5" customHeight="1">
      <c r="A5" s="144"/>
      <c r="D5" s="1"/>
      <c r="E5" s="217" t="s">
        <v>30</v>
      </c>
      <c r="F5" s="217"/>
      <c r="G5" s="217" t="s">
        <v>31</v>
      </c>
      <c r="H5" s="217"/>
      <c r="I5" s="217" t="s">
        <v>32</v>
      </c>
      <c r="J5" s="217"/>
      <c r="K5" s="217" t="s">
        <v>83</v>
      </c>
      <c r="L5" s="217"/>
      <c r="O5" s="34"/>
    </row>
    <row r="6" spans="1:15" ht="16.5" customHeight="1">
      <c r="A6" s="144"/>
      <c r="B6" s="2"/>
      <c r="D6" s="18" t="s">
        <v>33</v>
      </c>
      <c r="E6" s="18" t="s">
        <v>5</v>
      </c>
      <c r="F6" s="18" t="s">
        <v>34</v>
      </c>
      <c r="G6" s="18" t="s">
        <v>5</v>
      </c>
      <c r="H6" s="18" t="s">
        <v>34</v>
      </c>
      <c r="I6" s="18" t="s">
        <v>5</v>
      </c>
      <c r="J6" s="18" t="s">
        <v>34</v>
      </c>
      <c r="K6" s="18" t="s">
        <v>5</v>
      </c>
      <c r="L6" s="18" t="s">
        <v>34</v>
      </c>
      <c r="O6" s="34"/>
    </row>
    <row r="7" spans="1:15" ht="24" customHeight="1">
      <c r="A7" s="144"/>
      <c r="B7" s="218" t="s">
        <v>35</v>
      </c>
      <c r="C7" s="218"/>
      <c r="D7" s="38">
        <v>25</v>
      </c>
      <c r="E7" s="3"/>
      <c r="F7" s="39"/>
      <c r="G7" s="3"/>
      <c r="H7" s="39"/>
      <c r="I7" s="3"/>
      <c r="J7" s="39"/>
      <c r="K7" s="3"/>
      <c r="L7" s="39"/>
      <c r="O7" s="34"/>
    </row>
    <row r="8" spans="1:15" ht="24" customHeight="1">
      <c r="A8" s="144"/>
      <c r="B8" s="218" t="s">
        <v>36</v>
      </c>
      <c r="C8" s="218"/>
      <c r="D8" s="38">
        <v>55</v>
      </c>
      <c r="E8" s="3"/>
      <c r="F8" s="39"/>
      <c r="G8" s="3"/>
      <c r="H8" s="39"/>
      <c r="I8" s="3"/>
      <c r="J8" s="39"/>
      <c r="K8" s="3"/>
      <c r="L8" s="39"/>
      <c r="O8" s="34"/>
    </row>
    <row r="9" spans="1:15" ht="24" customHeight="1">
      <c r="A9" s="144"/>
      <c r="B9" s="218" t="s">
        <v>37</v>
      </c>
      <c r="C9" s="218"/>
      <c r="D9" s="38">
        <v>9</v>
      </c>
      <c r="E9" s="3"/>
      <c r="F9" s="39"/>
      <c r="G9" s="3"/>
      <c r="H9" s="39"/>
      <c r="I9" s="3"/>
      <c r="J9" s="39"/>
      <c r="K9" s="3"/>
      <c r="L9" s="39"/>
      <c r="O9" s="34"/>
    </row>
    <row r="10" spans="1:15" ht="24" customHeight="1">
      <c r="A10" s="144"/>
      <c r="B10" s="218" t="s">
        <v>38</v>
      </c>
      <c r="C10" s="218"/>
      <c r="D10" s="38">
        <v>10</v>
      </c>
      <c r="E10" s="3"/>
      <c r="F10" s="39"/>
      <c r="G10" s="3"/>
      <c r="H10" s="39"/>
      <c r="I10" s="3"/>
      <c r="J10" s="39"/>
      <c r="K10" s="3"/>
      <c r="L10" s="39"/>
      <c r="O10" s="34"/>
    </row>
    <row r="11" spans="1:15" ht="24" customHeight="1" thickBot="1">
      <c r="A11" s="144"/>
      <c r="B11" s="218" t="s">
        <v>39</v>
      </c>
      <c r="C11" s="218"/>
      <c r="D11" s="38">
        <v>100</v>
      </c>
      <c r="E11" s="3"/>
      <c r="F11" s="40"/>
      <c r="G11" s="3"/>
      <c r="H11" s="40"/>
      <c r="I11" s="3"/>
      <c r="J11" s="40"/>
      <c r="K11" s="3"/>
      <c r="L11" s="40"/>
      <c r="O11" s="34"/>
    </row>
    <row r="12" spans="1:15" ht="19.5" customHeight="1" thickBot="1">
      <c r="A12" s="144"/>
      <c r="F12" s="41"/>
      <c r="H12" s="41"/>
      <c r="J12" s="41"/>
      <c r="L12" s="41"/>
      <c r="O12" s="34"/>
    </row>
    <row r="13" spans="1:15" ht="34.5" customHeight="1" thickBot="1">
      <c r="A13" s="144"/>
      <c r="F13" s="1"/>
      <c r="G13" s="1"/>
      <c r="H13" s="1"/>
      <c r="O13" s="34"/>
    </row>
    <row r="14" spans="1:15" ht="18" customHeight="1">
      <c r="A14" s="144"/>
      <c r="D14" s="219" t="s">
        <v>98</v>
      </c>
      <c r="E14" s="219"/>
      <c r="F14" s="219"/>
      <c r="G14" s="219"/>
      <c r="H14" s="219"/>
      <c r="I14" s="1"/>
      <c r="J14" s="223" t="s">
        <v>99</v>
      </c>
      <c r="K14" s="213" t="s">
        <v>107</v>
      </c>
      <c r="L14" s="215" t="s">
        <v>41</v>
      </c>
      <c r="O14" s="34"/>
    </row>
    <row r="15" spans="1:15" ht="24">
      <c r="A15" s="144"/>
      <c r="D15" s="37" t="s">
        <v>35</v>
      </c>
      <c r="E15" s="37" t="s">
        <v>36</v>
      </c>
      <c r="F15" s="37" t="s">
        <v>37</v>
      </c>
      <c r="G15" s="37" t="s">
        <v>38</v>
      </c>
      <c r="H15" s="37" t="s">
        <v>42</v>
      </c>
      <c r="I15" s="1"/>
      <c r="J15" s="224"/>
      <c r="K15" s="214"/>
      <c r="L15" s="216"/>
      <c r="O15" s="34"/>
    </row>
    <row r="16" spans="1:15" ht="20.25" customHeight="1">
      <c r="A16" s="144"/>
      <c r="B16" s="225" t="s">
        <v>43</v>
      </c>
      <c r="C16" s="225"/>
      <c r="D16" s="3"/>
      <c r="E16" s="3"/>
      <c r="F16" s="3"/>
      <c r="G16" s="3"/>
      <c r="H16" s="3"/>
      <c r="I16" s="145"/>
      <c r="J16" s="4"/>
      <c r="K16" s="3"/>
      <c r="L16" s="5"/>
      <c r="M16" s="1" t="s">
        <v>101</v>
      </c>
      <c r="O16" s="34"/>
    </row>
    <row r="17" spans="1:15" ht="20.25" customHeight="1">
      <c r="A17" s="144"/>
      <c r="B17" s="225" t="s">
        <v>44</v>
      </c>
      <c r="C17" s="225"/>
      <c r="D17" s="3"/>
      <c r="E17" s="3"/>
      <c r="F17" s="3"/>
      <c r="G17" s="3"/>
      <c r="H17" s="3"/>
      <c r="I17" s="145"/>
      <c r="J17" s="4"/>
      <c r="K17" s="3"/>
      <c r="L17" s="5"/>
      <c r="M17" s="1" t="s">
        <v>102</v>
      </c>
      <c r="O17" s="34"/>
    </row>
    <row r="18" spans="1:15" ht="20.25" customHeight="1">
      <c r="A18" s="144"/>
      <c r="B18" s="225" t="s">
        <v>45</v>
      </c>
      <c r="C18" s="225"/>
      <c r="D18" s="3"/>
      <c r="E18" s="3"/>
      <c r="F18" s="3"/>
      <c r="G18" s="3"/>
      <c r="H18" s="3"/>
      <c r="I18" s="145"/>
      <c r="J18" s="4"/>
      <c r="K18" s="3"/>
      <c r="L18" s="5"/>
      <c r="M18" s="1" t="s">
        <v>103</v>
      </c>
      <c r="O18" s="34"/>
    </row>
    <row r="19" spans="1:15" ht="20.25" customHeight="1" thickBot="1">
      <c r="A19" s="144"/>
      <c r="B19" s="225" t="s">
        <v>46</v>
      </c>
      <c r="C19" s="225"/>
      <c r="D19" s="3"/>
      <c r="E19" s="3"/>
      <c r="F19" s="3"/>
      <c r="G19" s="3"/>
      <c r="H19" s="3"/>
      <c r="I19" s="145"/>
      <c r="J19" s="8"/>
      <c r="K19" s="9"/>
      <c r="L19" s="10"/>
      <c r="M19" s="1" t="s">
        <v>104</v>
      </c>
      <c r="O19" s="34"/>
    </row>
    <row r="20" spans="1:15" ht="15.75" customHeight="1">
      <c r="A20" s="146"/>
      <c r="B20" s="147"/>
      <c r="C20" s="147"/>
      <c r="D20" s="116"/>
      <c r="E20" s="116"/>
      <c r="F20" s="116"/>
      <c r="G20" s="116"/>
      <c r="H20" s="116"/>
      <c r="I20" s="148"/>
      <c r="J20" s="116"/>
      <c r="K20" s="116"/>
      <c r="L20" s="116"/>
      <c r="M20" s="152"/>
      <c r="N20" s="152"/>
      <c r="O20" s="28"/>
    </row>
    <row r="21" spans="1:15" ht="22.5" customHeight="1">
      <c r="B21" s="43"/>
      <c r="C21" s="43"/>
      <c r="I21" s="1"/>
      <c r="L21" s="2"/>
    </row>
    <row r="22" spans="1:15" ht="33.75" customHeight="1">
      <c r="A22" s="141"/>
      <c r="B22" s="149"/>
      <c r="C22" s="150"/>
      <c r="D22" s="135"/>
      <c r="E22" s="135"/>
      <c r="F22" s="135"/>
      <c r="G22" s="135"/>
      <c r="H22" s="143" t="s">
        <v>100</v>
      </c>
      <c r="I22" s="135"/>
      <c r="J22" s="135"/>
      <c r="K22" s="135"/>
      <c r="L22" s="142"/>
      <c r="M22" s="142"/>
      <c r="N22" s="142"/>
      <c r="O22" s="33"/>
    </row>
    <row r="23" spans="1:15" ht="16.5" customHeight="1">
      <c r="A23" s="144"/>
      <c r="B23" s="42"/>
      <c r="C23" s="42"/>
      <c r="D23" s="228" t="s">
        <v>105</v>
      </c>
      <c r="E23" s="228"/>
      <c r="F23" s="228"/>
      <c r="G23" s="228"/>
      <c r="H23" s="228"/>
      <c r="I23" s="228"/>
      <c r="J23" s="228"/>
      <c r="K23" s="228"/>
      <c r="L23" s="228"/>
      <c r="M23" s="228"/>
      <c r="N23" s="210" t="s">
        <v>48</v>
      </c>
      <c r="O23" s="34"/>
    </row>
    <row r="24" spans="1:15" ht="16.5" customHeight="1">
      <c r="A24" s="144"/>
      <c r="B24" s="42"/>
      <c r="C24" s="42"/>
      <c r="D24" s="218" t="s">
        <v>49</v>
      </c>
      <c r="E24" s="218"/>
      <c r="F24" s="218" t="s">
        <v>50</v>
      </c>
      <c r="G24" s="218"/>
      <c r="H24" s="218" t="s">
        <v>37</v>
      </c>
      <c r="I24" s="218"/>
      <c r="J24" s="218" t="s">
        <v>38</v>
      </c>
      <c r="K24" s="218"/>
      <c r="L24" s="218" t="s">
        <v>51</v>
      </c>
      <c r="M24" s="218"/>
      <c r="N24" s="210"/>
      <c r="O24" s="34"/>
    </row>
    <row r="25" spans="1:15" ht="26.25" customHeight="1">
      <c r="A25" s="144"/>
      <c r="B25" s="151"/>
      <c r="C25" s="124" t="s">
        <v>52</v>
      </c>
      <c r="D25" s="47" t="s">
        <v>53</v>
      </c>
      <c r="E25" s="47" t="s">
        <v>54</v>
      </c>
      <c r="F25" s="47" t="s">
        <v>53</v>
      </c>
      <c r="G25" s="47" t="s">
        <v>54</v>
      </c>
      <c r="H25" s="47" t="s">
        <v>53</v>
      </c>
      <c r="I25" s="47" t="s">
        <v>54</v>
      </c>
      <c r="J25" s="47" t="s">
        <v>53</v>
      </c>
      <c r="K25" s="47" t="s">
        <v>54</v>
      </c>
      <c r="L25" s="114" t="s">
        <v>86</v>
      </c>
      <c r="M25" s="47" t="s">
        <v>54</v>
      </c>
      <c r="N25" s="210"/>
      <c r="O25" s="34"/>
    </row>
    <row r="26" spans="1:15" ht="18.75" customHeight="1">
      <c r="A26" s="144"/>
      <c r="B26" s="226" t="s">
        <v>44</v>
      </c>
      <c r="C26" s="124">
        <v>1</v>
      </c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7">
        <v>2</v>
      </c>
      <c r="O26" s="34"/>
    </row>
    <row r="27" spans="1:15" ht="18.75" customHeight="1">
      <c r="A27" s="144"/>
      <c r="B27" s="227"/>
      <c r="C27" s="124">
        <v>17</v>
      </c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7">
        <v>2</v>
      </c>
      <c r="O27" s="34"/>
    </row>
    <row r="28" spans="1:15" ht="18.75" customHeight="1">
      <c r="A28" s="144"/>
      <c r="B28" s="217" t="s">
        <v>45</v>
      </c>
      <c r="C28" s="124">
        <v>1</v>
      </c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7">
        <v>3</v>
      </c>
      <c r="O28" s="34"/>
    </row>
    <row r="29" spans="1:15" ht="18.75" customHeight="1">
      <c r="A29" s="144"/>
      <c r="B29" s="217"/>
      <c r="C29" s="124">
        <v>17</v>
      </c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7">
        <v>3</v>
      </c>
      <c r="O29" s="34"/>
    </row>
    <row r="30" spans="1:15" ht="18.75" customHeight="1">
      <c r="A30" s="144"/>
      <c r="B30" s="217" t="s">
        <v>46</v>
      </c>
      <c r="C30" s="124">
        <v>1</v>
      </c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7">
        <v>4</v>
      </c>
      <c r="O30" s="34"/>
    </row>
    <row r="31" spans="1:15" ht="18.75" customHeight="1">
      <c r="A31" s="144"/>
      <c r="B31" s="217"/>
      <c r="C31" s="124">
        <v>17</v>
      </c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7">
        <v>4</v>
      </c>
      <c r="O31" s="34"/>
    </row>
    <row r="32" spans="1:15" ht="23.25" customHeight="1">
      <c r="A32" s="146"/>
      <c r="B32" s="152"/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4"/>
    </row>
  </sheetData>
  <mergeCells count="30">
    <mergeCell ref="E4:L4"/>
    <mergeCell ref="J14:J15"/>
    <mergeCell ref="B30:B31"/>
    <mergeCell ref="B28:B29"/>
    <mergeCell ref="I5:J5"/>
    <mergeCell ref="B17:C17"/>
    <mergeCell ref="B16:C16"/>
    <mergeCell ref="B11:C11"/>
    <mergeCell ref="B26:B27"/>
    <mergeCell ref="B19:C19"/>
    <mergeCell ref="B18:C18"/>
    <mergeCell ref="B10:C10"/>
    <mergeCell ref="B9:C9"/>
    <mergeCell ref="D23:M23"/>
    <mergeCell ref="C1:D1"/>
    <mergeCell ref="N23:N25"/>
    <mergeCell ref="A1:B1"/>
    <mergeCell ref="K14:K15"/>
    <mergeCell ref="L14:L15"/>
    <mergeCell ref="K5:L5"/>
    <mergeCell ref="E5:F5"/>
    <mergeCell ref="G5:H5"/>
    <mergeCell ref="D24:E24"/>
    <mergeCell ref="L24:M24"/>
    <mergeCell ref="J24:K24"/>
    <mergeCell ref="H24:I24"/>
    <mergeCell ref="F24:G24"/>
    <mergeCell ref="B8:C8"/>
    <mergeCell ref="B7:C7"/>
    <mergeCell ref="D14:H14"/>
  </mergeCells>
  <phoneticPr fontId="2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>
    <oddHeader>&amp;CRESULTATS</oddHeader>
    <oddFooter>&amp;LCIPE - Le Jeu du Kanban - Marque déposée&amp;R&amp;12RES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showGridLines="0" zoomScale="55" zoomScaleNormal="55" workbookViewId="0">
      <selection activeCell="K16" sqref="K16"/>
    </sheetView>
  </sheetViews>
  <sheetFormatPr baseColWidth="10" defaultColWidth="11.42578125" defaultRowHeight="12.75"/>
  <cols>
    <col min="1" max="1" width="4.5703125" style="1" customWidth="1"/>
    <col min="2" max="2" width="3.140625" style="1" customWidth="1"/>
    <col min="3" max="3" width="3.28515625" style="1" customWidth="1"/>
    <col min="4" max="5" width="6.28515625" style="2" customWidth="1"/>
    <col min="6" max="6" width="7.28515625" style="2" customWidth="1"/>
    <col min="7" max="8" width="6.28515625" style="2" customWidth="1"/>
    <col min="9" max="11" width="6.85546875" style="2" customWidth="1"/>
    <col min="12" max="14" width="6.28515625" style="1" customWidth="1"/>
    <col min="15" max="15" width="3" style="1" customWidth="1"/>
    <col min="16" max="16384" width="11.42578125" style="1"/>
  </cols>
  <sheetData>
    <row r="1" spans="1:15" ht="16.5" customHeight="1">
      <c r="A1" s="211" t="s">
        <v>28</v>
      </c>
      <c r="B1" s="212"/>
      <c r="C1" s="208" t="s">
        <v>29</v>
      </c>
      <c r="D1" s="209"/>
      <c r="E1" s="140"/>
      <c r="I1" s="1"/>
      <c r="J1" s="1"/>
      <c r="K1" s="1"/>
    </row>
    <row r="2" spans="1:15" ht="12.75" customHeight="1">
      <c r="F2" s="138"/>
      <c r="G2" s="139"/>
      <c r="H2" s="140"/>
    </row>
    <row r="3" spans="1:15" ht="37.5" customHeight="1">
      <c r="A3" s="141"/>
      <c r="B3" s="142"/>
      <c r="C3" s="142"/>
      <c r="D3" s="135"/>
      <c r="E3" s="135"/>
      <c r="F3" s="155"/>
      <c r="G3" s="156"/>
      <c r="H3" s="143" t="s">
        <v>106</v>
      </c>
      <c r="I3" s="135"/>
      <c r="J3" s="135"/>
      <c r="K3" s="135"/>
      <c r="L3" s="142"/>
      <c r="M3" s="142"/>
      <c r="N3" s="142"/>
      <c r="O3" s="33"/>
    </row>
    <row r="4" spans="1:15" ht="16.5" customHeight="1">
      <c r="A4" s="144"/>
      <c r="E4" s="220" t="s">
        <v>107</v>
      </c>
      <c r="F4" s="221"/>
      <c r="G4" s="221"/>
      <c r="H4" s="221"/>
      <c r="I4" s="221"/>
      <c r="J4" s="221"/>
      <c r="K4" s="221"/>
      <c r="L4" s="222"/>
      <c r="O4" s="34"/>
    </row>
    <row r="5" spans="1:15" ht="16.5" customHeight="1">
      <c r="A5" s="144"/>
      <c r="D5" s="1"/>
      <c r="E5" s="217" t="s">
        <v>30</v>
      </c>
      <c r="F5" s="217"/>
      <c r="G5" s="217" t="s">
        <v>31</v>
      </c>
      <c r="H5" s="217"/>
      <c r="I5" s="217" t="s">
        <v>32</v>
      </c>
      <c r="J5" s="217"/>
      <c r="K5" s="217" t="s">
        <v>83</v>
      </c>
      <c r="L5" s="217"/>
      <c r="O5" s="34"/>
    </row>
    <row r="6" spans="1:15" ht="16.5" customHeight="1">
      <c r="A6" s="144"/>
      <c r="B6" s="2"/>
      <c r="D6" s="18" t="s">
        <v>33</v>
      </c>
      <c r="E6" s="18" t="s">
        <v>5</v>
      </c>
      <c r="F6" s="18" t="s">
        <v>34</v>
      </c>
      <c r="G6" s="18" t="s">
        <v>5</v>
      </c>
      <c r="H6" s="18" t="s">
        <v>34</v>
      </c>
      <c r="I6" s="18" t="s">
        <v>5</v>
      </c>
      <c r="J6" s="18" t="s">
        <v>34</v>
      </c>
      <c r="K6" s="18" t="s">
        <v>5</v>
      </c>
      <c r="L6" s="18" t="s">
        <v>34</v>
      </c>
      <c r="O6" s="34"/>
    </row>
    <row r="7" spans="1:15" ht="24" customHeight="1">
      <c r="A7" s="144"/>
      <c r="B7" s="218" t="s">
        <v>35</v>
      </c>
      <c r="C7" s="218"/>
      <c r="D7" s="38">
        <v>25</v>
      </c>
      <c r="E7" s="3">
        <v>8</v>
      </c>
      <c r="F7" s="157">
        <f>E7*D7</f>
        <v>200</v>
      </c>
      <c r="G7" s="3"/>
      <c r="H7" s="39"/>
      <c r="I7" s="3"/>
      <c r="J7" s="39"/>
      <c r="K7" s="3"/>
      <c r="L7" s="39"/>
      <c r="O7" s="34"/>
    </row>
    <row r="8" spans="1:15" ht="24" customHeight="1">
      <c r="A8" s="144"/>
      <c r="B8" s="218" t="s">
        <v>36</v>
      </c>
      <c r="C8" s="218"/>
      <c r="D8" s="38">
        <v>55</v>
      </c>
      <c r="E8" s="3">
        <v>6</v>
      </c>
      <c r="F8" s="157">
        <f>E8*D8</f>
        <v>330</v>
      </c>
      <c r="G8" s="3"/>
      <c r="H8" s="39"/>
      <c r="I8" s="3"/>
      <c r="J8" s="39"/>
      <c r="K8" s="3"/>
      <c r="L8" s="39"/>
      <c r="O8" s="34"/>
    </row>
    <row r="9" spans="1:15" ht="24" customHeight="1">
      <c r="A9" s="144"/>
      <c r="B9" s="218" t="s">
        <v>37</v>
      </c>
      <c r="C9" s="218"/>
      <c r="D9" s="38">
        <v>9</v>
      </c>
      <c r="E9" s="3">
        <v>12</v>
      </c>
      <c r="F9" s="157">
        <f>E9*D9</f>
        <v>108</v>
      </c>
      <c r="G9" s="3"/>
      <c r="H9" s="39"/>
      <c r="I9" s="3"/>
      <c r="J9" s="39"/>
      <c r="K9" s="3"/>
      <c r="L9" s="39"/>
      <c r="O9" s="34"/>
    </row>
    <row r="10" spans="1:15" ht="24" customHeight="1">
      <c r="A10" s="144"/>
      <c r="B10" s="218" t="s">
        <v>38</v>
      </c>
      <c r="C10" s="218"/>
      <c r="D10" s="38">
        <v>10</v>
      </c>
      <c r="E10" s="3">
        <v>4</v>
      </c>
      <c r="F10" s="157">
        <f>E10*D10</f>
        <v>40</v>
      </c>
      <c r="G10" s="3"/>
      <c r="H10" s="39"/>
      <c r="I10" s="3"/>
      <c r="J10" s="39"/>
      <c r="K10" s="3"/>
      <c r="L10" s="39"/>
      <c r="O10" s="34"/>
    </row>
    <row r="11" spans="1:15" ht="24" customHeight="1" thickBot="1">
      <c r="A11" s="144"/>
      <c r="B11" s="218" t="s">
        <v>39</v>
      </c>
      <c r="C11" s="218"/>
      <c r="D11" s="38">
        <v>100</v>
      </c>
      <c r="E11" s="3">
        <v>11</v>
      </c>
      <c r="F11" s="157">
        <f>E11*D11</f>
        <v>1100</v>
      </c>
      <c r="G11" s="3"/>
      <c r="H11" s="40"/>
      <c r="I11" s="3"/>
      <c r="J11" s="40"/>
      <c r="K11" s="3"/>
      <c r="L11" s="40"/>
      <c r="O11" s="34"/>
    </row>
    <row r="12" spans="1:15" ht="19.5" customHeight="1" thickBot="1">
      <c r="A12" s="144"/>
      <c r="F12" s="158">
        <f>SUM(F7:F11)</f>
        <v>1778</v>
      </c>
      <c r="H12" s="41"/>
      <c r="J12" s="41"/>
      <c r="L12" s="41"/>
      <c r="O12" s="34"/>
    </row>
    <row r="13" spans="1:15" ht="34.5" customHeight="1" thickBot="1">
      <c r="A13" s="144"/>
      <c r="F13" s="1"/>
      <c r="G13" s="1"/>
      <c r="H13" s="1"/>
      <c r="O13" s="34"/>
    </row>
    <row r="14" spans="1:15" ht="18" customHeight="1">
      <c r="A14" s="144"/>
      <c r="D14" s="219" t="s">
        <v>98</v>
      </c>
      <c r="E14" s="219"/>
      <c r="F14" s="219"/>
      <c r="G14" s="219"/>
      <c r="H14" s="219"/>
      <c r="I14" s="1"/>
      <c r="J14" s="223" t="s">
        <v>99</v>
      </c>
      <c r="K14" s="213" t="s">
        <v>107</v>
      </c>
      <c r="L14" s="215" t="s">
        <v>41</v>
      </c>
      <c r="O14" s="34"/>
    </row>
    <row r="15" spans="1:15" ht="24">
      <c r="A15" s="144"/>
      <c r="D15" s="37" t="s">
        <v>35</v>
      </c>
      <c r="E15" s="37" t="s">
        <v>36</v>
      </c>
      <c r="F15" s="37" t="s">
        <v>37</v>
      </c>
      <c r="G15" s="37" t="s">
        <v>38</v>
      </c>
      <c r="H15" s="37" t="s">
        <v>42</v>
      </c>
      <c r="I15" s="1"/>
      <c r="J15" s="224"/>
      <c r="K15" s="214"/>
      <c r="L15" s="216"/>
      <c r="O15" s="34"/>
    </row>
    <row r="16" spans="1:15" ht="20.25" customHeight="1">
      <c r="A16" s="144"/>
      <c r="B16" s="225" t="s">
        <v>43</v>
      </c>
      <c r="C16" s="225"/>
      <c r="D16" s="35">
        <v>0.75</v>
      </c>
      <c r="E16" s="35">
        <v>0.8</v>
      </c>
      <c r="F16" s="35">
        <v>0.9</v>
      </c>
      <c r="G16" s="35">
        <v>0.55000000000000004</v>
      </c>
      <c r="H16" s="35">
        <v>0.84</v>
      </c>
      <c r="I16" s="145"/>
      <c r="J16" s="159">
        <f>AVERAGE(D16:H16)</f>
        <v>0.76800000000000002</v>
      </c>
      <c r="K16" s="63">
        <f>F12</f>
        <v>1778</v>
      </c>
      <c r="L16" s="160">
        <v>0.91</v>
      </c>
      <c r="M16" s="1" t="s">
        <v>101</v>
      </c>
      <c r="O16" s="34"/>
    </row>
    <row r="17" spans="1:15" ht="20.25" customHeight="1">
      <c r="A17" s="144"/>
      <c r="B17" s="225" t="s">
        <v>44</v>
      </c>
      <c r="C17" s="225"/>
      <c r="D17" s="3"/>
      <c r="E17" s="3"/>
      <c r="F17" s="3"/>
      <c r="G17" s="3"/>
      <c r="H17" s="3"/>
      <c r="I17" s="145"/>
      <c r="J17" s="4"/>
      <c r="K17" s="3"/>
      <c r="L17" s="5"/>
      <c r="M17" s="1" t="s">
        <v>102</v>
      </c>
      <c r="O17" s="34"/>
    </row>
    <row r="18" spans="1:15" ht="20.25" customHeight="1">
      <c r="A18" s="144"/>
      <c r="B18" s="225" t="s">
        <v>45</v>
      </c>
      <c r="C18" s="225"/>
      <c r="D18" s="3"/>
      <c r="E18" s="3"/>
      <c r="F18" s="3"/>
      <c r="G18" s="3"/>
      <c r="H18" s="3"/>
      <c r="I18" s="145"/>
      <c r="J18" s="4"/>
      <c r="K18" s="3"/>
      <c r="L18" s="5"/>
      <c r="M18" s="1" t="s">
        <v>103</v>
      </c>
      <c r="O18" s="34"/>
    </row>
    <row r="19" spans="1:15" ht="20.25" customHeight="1" thickBot="1">
      <c r="A19" s="144"/>
      <c r="B19" s="225" t="s">
        <v>46</v>
      </c>
      <c r="C19" s="225"/>
      <c r="D19" s="3"/>
      <c r="E19" s="3"/>
      <c r="F19" s="3"/>
      <c r="G19" s="3"/>
      <c r="H19" s="3"/>
      <c r="I19" s="145"/>
      <c r="J19" s="8"/>
      <c r="K19" s="9"/>
      <c r="L19" s="10"/>
      <c r="M19" s="1" t="s">
        <v>104</v>
      </c>
      <c r="O19" s="34"/>
    </row>
    <row r="20" spans="1:15" ht="15.75" customHeight="1">
      <c r="A20" s="146"/>
      <c r="B20" s="147"/>
      <c r="C20" s="147"/>
      <c r="D20" s="116"/>
      <c r="E20" s="116"/>
      <c r="F20" s="116"/>
      <c r="G20" s="116"/>
      <c r="H20" s="116"/>
      <c r="I20" s="148"/>
      <c r="J20" s="116"/>
      <c r="K20" s="116"/>
      <c r="L20" s="116"/>
      <c r="M20" s="152"/>
      <c r="N20" s="152"/>
      <c r="O20" s="28"/>
    </row>
    <row r="21" spans="1:15" ht="22.5" customHeight="1">
      <c r="B21" s="43"/>
      <c r="C21" s="43"/>
      <c r="I21" s="1"/>
      <c r="L21" s="2"/>
    </row>
    <row r="22" spans="1:15" ht="33.75" customHeight="1">
      <c r="A22" s="141"/>
      <c r="B22" s="149"/>
      <c r="C22" s="150"/>
      <c r="D22" s="135"/>
      <c r="E22" s="135"/>
      <c r="F22" s="135"/>
      <c r="G22" s="135"/>
      <c r="H22" s="143" t="s">
        <v>100</v>
      </c>
      <c r="I22" s="135"/>
      <c r="J22" s="135"/>
      <c r="K22" s="135"/>
      <c r="L22" s="142"/>
      <c r="M22" s="142"/>
      <c r="N22" s="142"/>
      <c r="O22" s="33"/>
    </row>
    <row r="23" spans="1:15" ht="16.5" customHeight="1">
      <c r="A23" s="144"/>
      <c r="B23" s="42"/>
      <c r="C23" s="42"/>
      <c r="D23" s="228" t="s">
        <v>105</v>
      </c>
      <c r="E23" s="228"/>
      <c r="F23" s="228"/>
      <c r="G23" s="228"/>
      <c r="H23" s="228"/>
      <c r="I23" s="228"/>
      <c r="J23" s="228"/>
      <c r="K23" s="228"/>
      <c r="L23" s="228"/>
      <c r="M23" s="228"/>
      <c r="N23" s="210" t="s">
        <v>48</v>
      </c>
      <c r="O23" s="34"/>
    </row>
    <row r="24" spans="1:15" ht="16.5" customHeight="1">
      <c r="A24" s="144"/>
      <c r="B24" s="42"/>
      <c r="C24" s="42"/>
      <c r="D24" s="218" t="s">
        <v>49</v>
      </c>
      <c r="E24" s="218"/>
      <c r="F24" s="218" t="s">
        <v>50</v>
      </c>
      <c r="G24" s="218"/>
      <c r="H24" s="218" t="s">
        <v>37</v>
      </c>
      <c r="I24" s="218"/>
      <c r="J24" s="218" t="s">
        <v>38</v>
      </c>
      <c r="K24" s="218"/>
      <c r="L24" s="218" t="s">
        <v>51</v>
      </c>
      <c r="M24" s="218"/>
      <c r="N24" s="210"/>
      <c r="O24" s="34"/>
    </row>
    <row r="25" spans="1:15" ht="26.25" customHeight="1">
      <c r="A25" s="144"/>
      <c r="B25" s="151"/>
      <c r="C25" s="124" t="s">
        <v>52</v>
      </c>
      <c r="D25" s="47" t="s">
        <v>53</v>
      </c>
      <c r="E25" s="47" t="s">
        <v>54</v>
      </c>
      <c r="F25" s="47" t="s">
        <v>53</v>
      </c>
      <c r="G25" s="47" t="s">
        <v>54</v>
      </c>
      <c r="H25" s="47" t="s">
        <v>53</v>
      </c>
      <c r="I25" s="47" t="s">
        <v>54</v>
      </c>
      <c r="J25" s="47" t="s">
        <v>53</v>
      </c>
      <c r="K25" s="47" t="s">
        <v>54</v>
      </c>
      <c r="L25" s="114" t="s">
        <v>86</v>
      </c>
      <c r="M25" s="47" t="s">
        <v>54</v>
      </c>
      <c r="N25" s="210"/>
      <c r="O25" s="34"/>
    </row>
    <row r="26" spans="1:15" ht="18.75" customHeight="1">
      <c r="A26" s="144"/>
      <c r="B26" s="226" t="s">
        <v>44</v>
      </c>
      <c r="C26" s="124">
        <v>1</v>
      </c>
      <c r="D26" s="136">
        <v>1</v>
      </c>
      <c r="E26" s="136"/>
      <c r="F26" s="136"/>
      <c r="G26" s="136"/>
      <c r="H26" s="136"/>
      <c r="I26" s="136"/>
      <c r="J26" s="136"/>
      <c r="K26" s="136"/>
      <c r="L26" s="136"/>
      <c r="M26" s="136">
        <v>1</v>
      </c>
      <c r="N26" s="137">
        <v>2</v>
      </c>
      <c r="O26" s="34"/>
    </row>
    <row r="27" spans="1:15" ht="18.75" customHeight="1">
      <c r="A27" s="144"/>
      <c r="B27" s="227"/>
      <c r="C27" s="124">
        <v>17</v>
      </c>
      <c r="D27" s="136"/>
      <c r="E27" s="136"/>
      <c r="F27" s="136">
        <v>2</v>
      </c>
      <c r="G27" s="136"/>
      <c r="H27" s="136"/>
      <c r="I27" s="136"/>
      <c r="J27" s="136"/>
      <c r="K27" s="136"/>
      <c r="L27" s="136"/>
      <c r="M27" s="136"/>
      <c r="N27" s="137">
        <v>2</v>
      </c>
      <c r="O27" s="34"/>
    </row>
    <row r="28" spans="1:15" ht="18.75" customHeight="1">
      <c r="A28" s="144"/>
      <c r="B28" s="217" t="s">
        <v>45</v>
      </c>
      <c r="C28" s="124">
        <v>1</v>
      </c>
      <c r="D28" s="136"/>
      <c r="E28" s="136">
        <v>1</v>
      </c>
      <c r="F28" s="136"/>
      <c r="G28" s="136"/>
      <c r="H28" s="136">
        <v>1</v>
      </c>
      <c r="I28" s="136"/>
      <c r="J28" s="136">
        <v>1</v>
      </c>
      <c r="K28" s="136"/>
      <c r="L28" s="136"/>
      <c r="M28" s="136"/>
      <c r="N28" s="137">
        <v>3</v>
      </c>
      <c r="O28" s="34"/>
    </row>
    <row r="29" spans="1:15" ht="18.75" customHeight="1">
      <c r="A29" s="144"/>
      <c r="B29" s="217"/>
      <c r="C29" s="124">
        <v>17</v>
      </c>
      <c r="D29" s="136">
        <v>1</v>
      </c>
      <c r="E29" s="136"/>
      <c r="F29" s="136"/>
      <c r="G29" s="136"/>
      <c r="H29" s="136"/>
      <c r="I29" s="136"/>
      <c r="J29" s="136"/>
      <c r="K29" s="136"/>
      <c r="L29" s="136">
        <v>2</v>
      </c>
      <c r="M29" s="136"/>
      <c r="N29" s="137">
        <v>3</v>
      </c>
      <c r="O29" s="34"/>
    </row>
    <row r="30" spans="1:15" ht="18.75" customHeight="1">
      <c r="A30" s="144"/>
      <c r="B30" s="217" t="s">
        <v>46</v>
      </c>
      <c r="C30" s="124">
        <v>1</v>
      </c>
      <c r="D30" s="136"/>
      <c r="E30" s="136"/>
      <c r="F30" s="136"/>
      <c r="G30" s="136">
        <v>1</v>
      </c>
      <c r="H30" s="136"/>
      <c r="I30" s="136">
        <v>1</v>
      </c>
      <c r="J30" s="136"/>
      <c r="K30" s="136">
        <v>1</v>
      </c>
      <c r="L30" s="136"/>
      <c r="M30" s="136">
        <v>1</v>
      </c>
      <c r="N30" s="137">
        <v>4</v>
      </c>
      <c r="O30" s="34"/>
    </row>
    <row r="31" spans="1:15" ht="18.75" customHeight="1">
      <c r="A31" s="144"/>
      <c r="B31" s="217"/>
      <c r="C31" s="124">
        <v>17</v>
      </c>
      <c r="D31" s="136"/>
      <c r="E31" s="136"/>
      <c r="F31" s="136"/>
      <c r="G31" s="136">
        <v>1</v>
      </c>
      <c r="H31" s="136">
        <v>1</v>
      </c>
      <c r="I31" s="136"/>
      <c r="J31" s="136">
        <v>1</v>
      </c>
      <c r="K31" s="136">
        <v>1</v>
      </c>
      <c r="L31" s="136"/>
      <c r="M31" s="136"/>
      <c r="N31" s="137">
        <v>4</v>
      </c>
      <c r="O31" s="34"/>
    </row>
    <row r="32" spans="1:15" ht="23.25" customHeight="1">
      <c r="A32" s="146"/>
      <c r="B32" s="152"/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4"/>
    </row>
  </sheetData>
  <mergeCells count="30">
    <mergeCell ref="A1:B1"/>
    <mergeCell ref="K14:K15"/>
    <mergeCell ref="L14:L15"/>
    <mergeCell ref="K5:L5"/>
    <mergeCell ref="E5:F5"/>
    <mergeCell ref="G5:H5"/>
    <mergeCell ref="C1:D1"/>
    <mergeCell ref="E4:L4"/>
    <mergeCell ref="B9:C9"/>
    <mergeCell ref="N23:N25"/>
    <mergeCell ref="D24:E24"/>
    <mergeCell ref="L24:M24"/>
    <mergeCell ref="J24:K24"/>
    <mergeCell ref="J14:J15"/>
    <mergeCell ref="B30:B31"/>
    <mergeCell ref="B28:B29"/>
    <mergeCell ref="I5:J5"/>
    <mergeCell ref="B17:C17"/>
    <mergeCell ref="B16:C16"/>
    <mergeCell ref="B11:C11"/>
    <mergeCell ref="B26:B27"/>
    <mergeCell ref="H24:I24"/>
    <mergeCell ref="F24:G24"/>
    <mergeCell ref="B8:C8"/>
    <mergeCell ref="B7:C7"/>
    <mergeCell ref="D14:H14"/>
    <mergeCell ref="D23:M23"/>
    <mergeCell ref="B19:C19"/>
    <mergeCell ref="B18:C18"/>
    <mergeCell ref="B10:C10"/>
  </mergeCells>
  <phoneticPr fontId="2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>
    <oddHeader>&amp;CRESULTATS (verso)</oddHeader>
    <oddFooter>&amp;LCIPE - Le Jeu du Kanban - Marque déposée&amp;R&amp;12RES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showGridLines="0" zoomScale="70" zoomScaleNormal="70" workbookViewId="0">
      <selection activeCell="A2" sqref="A2"/>
    </sheetView>
  </sheetViews>
  <sheetFormatPr baseColWidth="10" defaultColWidth="11.42578125" defaultRowHeight="12.75"/>
  <cols>
    <col min="1" max="2" width="4.7109375" style="1" customWidth="1"/>
    <col min="3" max="10" width="6.28515625" style="2" customWidth="1"/>
    <col min="11" max="11" width="6.85546875" style="1" customWidth="1"/>
    <col min="12" max="13" width="6.28515625" style="1" customWidth="1"/>
    <col min="14" max="14" width="5.28515625" style="1" customWidth="1"/>
    <col min="15" max="16384" width="11.42578125" style="1"/>
  </cols>
  <sheetData>
    <row r="1" spans="1:14" ht="16.5" customHeight="1">
      <c r="A1" s="113" t="s">
        <v>85</v>
      </c>
      <c r="E1" s="36"/>
      <c r="F1" s="36"/>
      <c r="G1" s="36"/>
    </row>
    <row r="2" spans="1:14" ht="12.75" customHeight="1">
      <c r="A2" s="43"/>
      <c r="B2" s="43"/>
    </row>
    <row r="3" spans="1:14" ht="16.5" customHeight="1">
      <c r="A3" s="42"/>
      <c r="B3" s="42"/>
      <c r="C3" s="234" t="s">
        <v>47</v>
      </c>
      <c r="D3" s="234"/>
      <c r="E3" s="234"/>
      <c r="F3" s="234"/>
      <c r="G3" s="234"/>
      <c r="H3" s="234"/>
      <c r="I3" s="234"/>
      <c r="J3" s="234"/>
      <c r="K3" s="234"/>
      <c r="L3" s="234"/>
    </row>
    <row r="4" spans="1:14" ht="24" customHeight="1">
      <c r="A4" s="229" t="s">
        <v>109</v>
      </c>
      <c r="B4" s="230"/>
      <c r="C4" s="233" t="s">
        <v>84</v>
      </c>
      <c r="D4" s="233"/>
      <c r="E4" s="233" t="s">
        <v>50</v>
      </c>
      <c r="F4" s="233"/>
      <c r="G4" s="233" t="s">
        <v>37</v>
      </c>
      <c r="H4" s="233"/>
      <c r="I4" s="233" t="s">
        <v>38</v>
      </c>
      <c r="J4" s="233"/>
      <c r="K4" s="233" t="s">
        <v>51</v>
      </c>
      <c r="L4" s="233"/>
    </row>
    <row r="5" spans="1:14" ht="21.75" customHeight="1">
      <c r="A5" s="44" t="s">
        <v>92</v>
      </c>
      <c r="B5" s="44" t="s">
        <v>108</v>
      </c>
      <c r="C5" s="161" t="s">
        <v>53</v>
      </c>
      <c r="D5" s="161" t="s">
        <v>54</v>
      </c>
      <c r="E5" s="161" t="s">
        <v>53</v>
      </c>
      <c r="F5" s="161" t="s">
        <v>54</v>
      </c>
      <c r="G5" s="161" t="s">
        <v>53</v>
      </c>
      <c r="H5" s="161" t="s">
        <v>54</v>
      </c>
      <c r="I5" s="161" t="s">
        <v>53</v>
      </c>
      <c r="J5" s="161" t="s">
        <v>54</v>
      </c>
      <c r="K5" s="162" t="s">
        <v>110</v>
      </c>
      <c r="L5" s="161" t="s">
        <v>54</v>
      </c>
      <c r="M5" s="163" t="s">
        <v>48</v>
      </c>
    </row>
    <row r="6" spans="1:14" ht="21.75" customHeight="1">
      <c r="A6" s="231" t="s">
        <v>44</v>
      </c>
      <c r="B6" s="112">
        <v>1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8">
        <v>2</v>
      </c>
    </row>
    <row r="7" spans="1:14" ht="21.75" customHeight="1">
      <c r="A7" s="232"/>
      <c r="B7" s="112">
        <v>17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8">
        <v>2</v>
      </c>
    </row>
    <row r="8" spans="1:14" ht="21.75" customHeight="1">
      <c r="A8" s="231" t="s">
        <v>45</v>
      </c>
      <c r="B8" s="112">
        <v>1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8">
        <v>3</v>
      </c>
    </row>
    <row r="9" spans="1:14" ht="21.75" customHeight="1">
      <c r="A9" s="232"/>
      <c r="B9" s="112">
        <v>17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8">
        <v>3</v>
      </c>
      <c r="N9" s="46"/>
    </row>
    <row r="10" spans="1:14" ht="21.75" customHeight="1">
      <c r="A10" s="231" t="s">
        <v>46</v>
      </c>
      <c r="B10" s="112">
        <v>1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8">
        <v>4</v>
      </c>
    </row>
    <row r="11" spans="1:14" ht="21.75" customHeight="1">
      <c r="A11" s="232"/>
      <c r="B11" s="112">
        <v>17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8">
        <v>4</v>
      </c>
    </row>
    <row r="12" spans="1:14" ht="16.5" customHeight="1"/>
    <row r="13" spans="1:14" ht="21.75" customHeight="1">
      <c r="A13" s="237" t="s">
        <v>111</v>
      </c>
      <c r="B13" s="238"/>
      <c r="C13" s="233" t="s">
        <v>84</v>
      </c>
      <c r="D13" s="233"/>
      <c r="E13" s="233" t="s">
        <v>50</v>
      </c>
      <c r="F13" s="233"/>
      <c r="G13" s="233" t="s">
        <v>37</v>
      </c>
      <c r="H13" s="233"/>
      <c r="I13" s="233" t="s">
        <v>38</v>
      </c>
      <c r="J13" s="233"/>
      <c r="K13" s="233" t="s">
        <v>51</v>
      </c>
      <c r="L13" s="233"/>
    </row>
    <row r="14" spans="1:14" ht="21.75" customHeight="1">
      <c r="A14" s="44" t="s">
        <v>92</v>
      </c>
      <c r="B14" s="44" t="s">
        <v>108</v>
      </c>
      <c r="C14" s="161" t="s">
        <v>53</v>
      </c>
      <c r="D14" s="161" t="s">
        <v>54</v>
      </c>
      <c r="E14" s="161" t="s">
        <v>53</v>
      </c>
      <c r="F14" s="161" t="s">
        <v>54</v>
      </c>
      <c r="G14" s="161" t="s">
        <v>53</v>
      </c>
      <c r="H14" s="161" t="s">
        <v>54</v>
      </c>
      <c r="I14" s="161" t="s">
        <v>53</v>
      </c>
      <c r="J14" s="161" t="s">
        <v>54</v>
      </c>
      <c r="K14" s="162" t="s">
        <v>110</v>
      </c>
      <c r="L14" s="161" t="s">
        <v>54</v>
      </c>
      <c r="M14" s="163" t="s">
        <v>48</v>
      </c>
    </row>
    <row r="15" spans="1:14" ht="21.75" customHeight="1">
      <c r="A15" s="231" t="s">
        <v>44</v>
      </c>
      <c r="B15" s="112">
        <v>1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8">
        <v>2</v>
      </c>
    </row>
    <row r="16" spans="1:14" ht="21.75" customHeight="1">
      <c r="A16" s="232"/>
      <c r="B16" s="112">
        <v>17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8">
        <v>2</v>
      </c>
    </row>
    <row r="17" spans="1:13" ht="21.75" customHeight="1">
      <c r="A17" s="231" t="s">
        <v>45</v>
      </c>
      <c r="B17" s="112">
        <v>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8">
        <v>3</v>
      </c>
    </row>
    <row r="18" spans="1:13" ht="21.75" customHeight="1">
      <c r="A18" s="232"/>
      <c r="B18" s="112">
        <v>17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8">
        <v>3</v>
      </c>
    </row>
    <row r="19" spans="1:13" ht="21.75" customHeight="1">
      <c r="A19" s="231" t="s">
        <v>46</v>
      </c>
      <c r="B19" s="112">
        <v>1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8">
        <v>4</v>
      </c>
    </row>
    <row r="20" spans="1:13" ht="21.75" customHeight="1">
      <c r="A20" s="232"/>
      <c r="B20" s="112">
        <v>17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8">
        <v>4</v>
      </c>
    </row>
    <row r="21" spans="1:13" ht="13.5" customHeight="1"/>
    <row r="22" spans="1:13" ht="21.75" customHeight="1">
      <c r="A22" s="235" t="s">
        <v>112</v>
      </c>
      <c r="B22" s="236"/>
      <c r="C22" s="233" t="s">
        <v>84</v>
      </c>
      <c r="D22" s="233"/>
      <c r="E22" s="233" t="s">
        <v>50</v>
      </c>
      <c r="F22" s="233"/>
      <c r="G22" s="233" t="s">
        <v>37</v>
      </c>
      <c r="H22" s="233"/>
      <c r="I22" s="233" t="s">
        <v>38</v>
      </c>
      <c r="J22" s="233"/>
      <c r="K22" s="233" t="s">
        <v>51</v>
      </c>
      <c r="L22" s="233"/>
    </row>
    <row r="23" spans="1:13" ht="21.75" customHeight="1">
      <c r="A23" s="44" t="s">
        <v>92</v>
      </c>
      <c r="B23" s="44" t="s">
        <v>108</v>
      </c>
      <c r="C23" s="161" t="s">
        <v>53</v>
      </c>
      <c r="D23" s="161" t="s">
        <v>54</v>
      </c>
      <c r="E23" s="161" t="s">
        <v>53</v>
      </c>
      <c r="F23" s="161" t="s">
        <v>54</v>
      </c>
      <c r="G23" s="161" t="s">
        <v>53</v>
      </c>
      <c r="H23" s="161" t="s">
        <v>54</v>
      </c>
      <c r="I23" s="161" t="s">
        <v>53</v>
      </c>
      <c r="J23" s="161" t="s">
        <v>54</v>
      </c>
      <c r="K23" s="162" t="s">
        <v>110</v>
      </c>
      <c r="L23" s="161" t="s">
        <v>54</v>
      </c>
      <c r="M23" s="163" t="s">
        <v>48</v>
      </c>
    </row>
    <row r="24" spans="1:13" ht="21.75" customHeight="1">
      <c r="A24" s="231" t="s">
        <v>44</v>
      </c>
      <c r="B24" s="112">
        <v>1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8">
        <v>2</v>
      </c>
    </row>
    <row r="25" spans="1:13" ht="21.75" customHeight="1">
      <c r="A25" s="232"/>
      <c r="B25" s="112">
        <v>17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8">
        <v>2</v>
      </c>
    </row>
    <row r="26" spans="1:13" ht="21.75" customHeight="1">
      <c r="A26" s="231" t="s">
        <v>45</v>
      </c>
      <c r="B26" s="112">
        <v>1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8">
        <v>3</v>
      </c>
    </row>
    <row r="27" spans="1:13" ht="21.75" customHeight="1">
      <c r="A27" s="232"/>
      <c r="B27" s="112">
        <v>17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8">
        <v>3</v>
      </c>
    </row>
    <row r="28" spans="1:13" ht="21.75" customHeight="1">
      <c r="A28" s="231" t="s">
        <v>46</v>
      </c>
      <c r="B28" s="112">
        <v>1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8">
        <v>4</v>
      </c>
    </row>
    <row r="29" spans="1:13" ht="21.75" customHeight="1">
      <c r="A29" s="232"/>
      <c r="B29" s="112">
        <v>17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8">
        <v>4</v>
      </c>
    </row>
  </sheetData>
  <mergeCells count="28">
    <mergeCell ref="A28:A29"/>
    <mergeCell ref="C22:D22"/>
    <mergeCell ref="E22:F22"/>
    <mergeCell ref="G22:H22"/>
    <mergeCell ref="I22:J22"/>
    <mergeCell ref="A10:A11"/>
    <mergeCell ref="A6:A7"/>
    <mergeCell ref="K22:L22"/>
    <mergeCell ref="A24:A25"/>
    <mergeCell ref="A26:A27"/>
    <mergeCell ref="A22:B22"/>
    <mergeCell ref="A15:A16"/>
    <mergeCell ref="A17:A18"/>
    <mergeCell ref="A13:B13"/>
    <mergeCell ref="C13:D13"/>
    <mergeCell ref="I13:J13"/>
    <mergeCell ref="K13:L13"/>
    <mergeCell ref="E13:F13"/>
    <mergeCell ref="G13:H13"/>
    <mergeCell ref="A19:A20"/>
    <mergeCell ref="A4:B4"/>
    <mergeCell ref="A8:A9"/>
    <mergeCell ref="C4:D4"/>
    <mergeCell ref="C3:L3"/>
    <mergeCell ref="K4:L4"/>
    <mergeCell ref="I4:J4"/>
    <mergeCell ref="G4:H4"/>
    <mergeCell ref="E4:F4"/>
  </mergeCells>
  <phoneticPr fontId="2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>
    <oddHeader>&amp;CRELEVE DES PROGRES</oddHeader>
    <oddFooter>&amp;LCIPE - Le Jeu du Kanban - Marque déposée&amp;R&amp;12RP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9"/>
  <sheetViews>
    <sheetView showGridLines="0" zoomScale="70" zoomScaleNormal="70" workbookViewId="0">
      <selection activeCell="H37" sqref="H37:H39"/>
    </sheetView>
  </sheetViews>
  <sheetFormatPr baseColWidth="10" defaultColWidth="11.42578125" defaultRowHeight="12.75"/>
  <cols>
    <col min="1" max="1" width="4.5703125" style="1" customWidth="1"/>
    <col min="2" max="2" width="14.7109375" style="1" customWidth="1"/>
    <col min="3" max="3" width="18.7109375" style="1" customWidth="1"/>
    <col min="4" max="4" width="8.5703125" style="1" customWidth="1"/>
    <col min="5" max="5" width="5.28515625" style="1" customWidth="1"/>
    <col min="6" max="7" width="10.28515625" style="1" customWidth="1"/>
    <col min="8" max="8" width="9.5703125" style="1" customWidth="1"/>
    <col min="9" max="9" width="10.5703125" style="1" customWidth="1"/>
    <col min="10" max="10" width="8.7109375" style="1" customWidth="1"/>
    <col min="11" max="16384" width="11.42578125" style="1"/>
  </cols>
  <sheetData>
    <row r="1" spans="2:10" ht="15.75" customHeight="1">
      <c r="B1" s="95" t="s">
        <v>28</v>
      </c>
      <c r="C1" s="96" t="s">
        <v>81</v>
      </c>
    </row>
    <row r="2" spans="2:10" ht="17.25" customHeight="1">
      <c r="F2" s="242" t="s">
        <v>71</v>
      </c>
      <c r="G2" s="243"/>
      <c r="H2" s="243"/>
      <c r="I2" s="244"/>
    </row>
    <row r="3" spans="2:10" ht="27" customHeight="1">
      <c r="B3" s="239" t="s">
        <v>72</v>
      </c>
      <c r="C3" s="245" t="s">
        <v>64</v>
      </c>
      <c r="D3" s="246"/>
      <c r="F3" s="37" t="s">
        <v>65</v>
      </c>
      <c r="G3" s="37" t="s">
        <v>77</v>
      </c>
      <c r="H3" s="37" t="s">
        <v>78</v>
      </c>
      <c r="I3" s="37" t="s">
        <v>79</v>
      </c>
    </row>
    <row r="4" spans="2:10" ht="16.5" customHeight="1">
      <c r="B4" s="240"/>
      <c r="C4" s="72" t="s">
        <v>70</v>
      </c>
      <c r="D4" s="35">
        <v>0.8</v>
      </c>
      <c r="F4" s="76">
        <v>90</v>
      </c>
      <c r="G4" s="76">
        <f>F4*(1-D4)/2</f>
        <v>8.9999999999999982</v>
      </c>
      <c r="H4" s="77">
        <v>0.33</v>
      </c>
      <c r="I4" s="78">
        <f>H4*G4</f>
        <v>2.9699999999999998</v>
      </c>
    </row>
    <row r="5" spans="2:10" ht="18" customHeight="1">
      <c r="B5" s="240"/>
      <c r="C5" s="98" t="s">
        <v>44</v>
      </c>
      <c r="D5" s="104"/>
      <c r="F5" s="82"/>
      <c r="G5" s="83"/>
      <c r="H5" s="84"/>
      <c r="I5" s="85"/>
    </row>
    <row r="6" spans="2:10" ht="18" customHeight="1">
      <c r="B6" s="240"/>
      <c r="C6" s="99" t="s">
        <v>45</v>
      </c>
      <c r="D6" s="105"/>
      <c r="F6" s="86"/>
      <c r="G6" s="87"/>
      <c r="H6" s="88"/>
      <c r="I6" s="89"/>
    </row>
    <row r="7" spans="2:10" ht="18" customHeight="1">
      <c r="B7" s="240"/>
      <c r="C7" s="100" t="s">
        <v>46</v>
      </c>
      <c r="D7" s="106"/>
      <c r="F7" s="90"/>
      <c r="G7" s="91"/>
      <c r="H7" s="92"/>
      <c r="I7" s="93"/>
      <c r="J7" s="67" t="s">
        <v>75</v>
      </c>
    </row>
    <row r="8" spans="2:10" ht="18" customHeight="1">
      <c r="B8" s="241"/>
      <c r="C8" s="94" t="s">
        <v>82</v>
      </c>
      <c r="D8" s="35"/>
      <c r="F8" s="79">
        <v>90</v>
      </c>
      <c r="G8" s="80"/>
      <c r="H8" s="81">
        <v>0.33</v>
      </c>
      <c r="I8" s="80"/>
      <c r="J8" s="65"/>
    </row>
    <row r="9" spans="2:10" ht="7.5" customHeight="1">
      <c r="B9" s="2"/>
      <c r="C9" s="71"/>
      <c r="D9" s="68"/>
      <c r="F9" s="69"/>
      <c r="G9" s="70"/>
      <c r="H9" s="68"/>
      <c r="I9" s="70"/>
    </row>
    <row r="10" spans="2:10" ht="15" customHeight="1">
      <c r="B10" s="2"/>
      <c r="D10" s="97"/>
      <c r="F10" s="242" t="s">
        <v>71</v>
      </c>
      <c r="G10" s="243"/>
      <c r="H10" s="243"/>
      <c r="I10" s="244"/>
    </row>
    <row r="11" spans="2:10" ht="27" customHeight="1">
      <c r="B11" s="239" t="s">
        <v>73</v>
      </c>
      <c r="C11" s="245" t="s">
        <v>64</v>
      </c>
      <c r="D11" s="246"/>
      <c r="F11" s="3" t="s">
        <v>66</v>
      </c>
      <c r="G11" s="37" t="s">
        <v>80</v>
      </c>
      <c r="H11" s="37" t="s">
        <v>78</v>
      </c>
      <c r="I11" s="37" t="s">
        <v>79</v>
      </c>
    </row>
    <row r="12" spans="2:10" ht="16.5" customHeight="1">
      <c r="B12" s="240"/>
      <c r="C12" s="72" t="s">
        <v>70</v>
      </c>
      <c r="D12" s="35">
        <v>0.7</v>
      </c>
      <c r="F12" s="64">
        <v>60</v>
      </c>
      <c r="G12" s="64">
        <f>F12*(1-D12)</f>
        <v>18.000000000000004</v>
      </c>
      <c r="H12" s="35">
        <v>0.2</v>
      </c>
      <c r="I12" s="65">
        <f>F12*(1-D12)*H12</f>
        <v>3.600000000000001</v>
      </c>
    </row>
    <row r="13" spans="2:10" ht="18" customHeight="1">
      <c r="B13" s="240"/>
      <c r="C13" s="98" t="s">
        <v>44</v>
      </c>
      <c r="D13" s="104"/>
      <c r="F13" s="82"/>
      <c r="G13" s="83"/>
      <c r="H13" s="84"/>
      <c r="I13" s="85"/>
    </row>
    <row r="14" spans="2:10" ht="18" customHeight="1">
      <c r="B14" s="240"/>
      <c r="C14" s="99" t="s">
        <v>45</v>
      </c>
      <c r="D14" s="105"/>
      <c r="F14" s="86"/>
      <c r="G14" s="87"/>
      <c r="H14" s="88"/>
      <c r="I14" s="89"/>
    </row>
    <row r="15" spans="2:10" ht="18" customHeight="1">
      <c r="B15" s="240"/>
      <c r="C15" s="100" t="s">
        <v>46</v>
      </c>
      <c r="D15" s="106"/>
      <c r="F15" s="90"/>
      <c r="G15" s="91"/>
      <c r="H15" s="92"/>
      <c r="I15" s="93"/>
      <c r="J15" s="67" t="s">
        <v>75</v>
      </c>
    </row>
    <row r="16" spans="2:10" ht="18" customHeight="1">
      <c r="B16" s="241"/>
      <c r="C16" s="94" t="s">
        <v>82</v>
      </c>
      <c r="D16" s="35"/>
      <c r="F16" s="64">
        <v>60</v>
      </c>
      <c r="G16" s="65"/>
      <c r="H16" s="35">
        <v>0.2</v>
      </c>
      <c r="I16" s="65"/>
      <c r="J16" s="65"/>
    </row>
    <row r="17" spans="2:10" ht="9" customHeight="1">
      <c r="B17" s="2"/>
      <c r="C17" s="71"/>
      <c r="D17" s="68"/>
      <c r="F17" s="69"/>
      <c r="G17" s="70"/>
      <c r="H17" s="68"/>
      <c r="I17" s="70"/>
    </row>
    <row r="18" spans="2:10" ht="14.25" customHeight="1">
      <c r="B18" s="2"/>
      <c r="D18" s="97"/>
      <c r="F18" s="242" t="s">
        <v>71</v>
      </c>
      <c r="G18" s="243"/>
      <c r="H18" s="243"/>
      <c r="I18" s="244"/>
    </row>
    <row r="19" spans="2:10" ht="27" customHeight="1">
      <c r="B19" s="239" t="s">
        <v>74</v>
      </c>
      <c r="C19" s="245" t="s">
        <v>64</v>
      </c>
      <c r="D19" s="246"/>
      <c r="F19" s="37" t="s">
        <v>67</v>
      </c>
      <c r="G19" s="3" t="s">
        <v>27</v>
      </c>
      <c r="H19" s="37" t="s">
        <v>69</v>
      </c>
      <c r="I19" s="37" t="s">
        <v>68</v>
      </c>
    </row>
    <row r="20" spans="2:10" ht="18" customHeight="1">
      <c r="B20" s="240"/>
      <c r="C20" s="72" t="s">
        <v>70</v>
      </c>
      <c r="D20" s="63">
        <v>2000</v>
      </c>
      <c r="F20" s="66">
        <v>10000</v>
      </c>
      <c r="G20" s="64">
        <f>D20/100</f>
        <v>20</v>
      </c>
      <c r="H20" s="35">
        <v>0.2</v>
      </c>
      <c r="I20" s="65">
        <f>H20*G20</f>
        <v>4</v>
      </c>
    </row>
    <row r="21" spans="2:10" ht="18" customHeight="1">
      <c r="B21" s="240"/>
      <c r="C21" s="98" t="s">
        <v>44</v>
      </c>
      <c r="D21" s="101"/>
      <c r="F21" s="82"/>
      <c r="G21" s="83"/>
      <c r="H21" s="84"/>
      <c r="I21" s="85"/>
    </row>
    <row r="22" spans="2:10" ht="18" customHeight="1">
      <c r="B22" s="240"/>
      <c r="C22" s="99" t="s">
        <v>45</v>
      </c>
      <c r="D22" s="102"/>
      <c r="F22" s="86"/>
      <c r="G22" s="87"/>
      <c r="H22" s="88"/>
      <c r="I22" s="89"/>
    </row>
    <row r="23" spans="2:10" ht="18" customHeight="1">
      <c r="B23" s="240"/>
      <c r="C23" s="100" t="s">
        <v>46</v>
      </c>
      <c r="D23" s="103"/>
      <c r="F23" s="90"/>
      <c r="G23" s="91"/>
      <c r="H23" s="92"/>
      <c r="I23" s="93"/>
      <c r="J23" s="67" t="s">
        <v>75</v>
      </c>
    </row>
    <row r="24" spans="2:10" ht="18" customHeight="1">
      <c r="B24" s="241"/>
      <c r="C24" s="94" t="s">
        <v>82</v>
      </c>
      <c r="D24" s="63"/>
      <c r="F24" s="66">
        <v>10000</v>
      </c>
      <c r="G24" s="65"/>
      <c r="H24" s="35">
        <v>0.2</v>
      </c>
      <c r="I24" s="65"/>
      <c r="J24" s="65"/>
    </row>
    <row r="25" spans="2:10" ht="12" customHeight="1"/>
    <row r="26" spans="2:10" ht="21" customHeight="1">
      <c r="I26" s="73" t="s">
        <v>76</v>
      </c>
      <c r="J26" s="65"/>
    </row>
    <row r="27" spans="2:10" ht="15.75" customHeight="1"/>
    <row r="28" spans="2:10" ht="27" customHeight="1"/>
    <row r="29" spans="2:10" ht="15" customHeight="1"/>
  </sheetData>
  <mergeCells count="9">
    <mergeCell ref="B19:B24"/>
    <mergeCell ref="B11:B16"/>
    <mergeCell ref="B3:B8"/>
    <mergeCell ref="F2:I2"/>
    <mergeCell ref="C19:D19"/>
    <mergeCell ref="C11:D11"/>
    <mergeCell ref="C3:D3"/>
    <mergeCell ref="F18:I18"/>
    <mergeCell ref="F10:I10"/>
  </mergeCells>
  <phoneticPr fontId="2" type="noConversion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Header>&amp;CVARIANTE FINANCIERE (verso)</oddHeader>
    <oddFooter>&amp;L&amp;8CIPE - Le Jeu du Kanban - Marque déposée&amp;R&amp;11VF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29"/>
  <sheetViews>
    <sheetView showGridLines="0" zoomScale="130" workbookViewId="0">
      <selection activeCell="K15" sqref="K15"/>
    </sheetView>
  </sheetViews>
  <sheetFormatPr baseColWidth="10" defaultColWidth="11.42578125" defaultRowHeight="12.75"/>
  <cols>
    <col min="1" max="1" width="4.5703125" style="1" customWidth="1"/>
    <col min="2" max="2" width="14.7109375" style="1" customWidth="1"/>
    <col min="3" max="3" width="18.7109375" style="1" customWidth="1"/>
    <col min="4" max="4" width="8.5703125" style="1" customWidth="1"/>
    <col min="5" max="5" width="5.28515625" style="1" customWidth="1"/>
    <col min="6" max="7" width="10.28515625" style="1" customWidth="1"/>
    <col min="8" max="8" width="9.5703125" style="1" customWidth="1"/>
    <col min="9" max="9" width="10.5703125" style="1" customWidth="1"/>
    <col min="10" max="10" width="8.7109375" style="1" customWidth="1"/>
    <col min="11" max="16384" width="11.42578125" style="1"/>
  </cols>
  <sheetData>
    <row r="1" spans="2:10" ht="15.75" customHeight="1">
      <c r="B1" s="95" t="s">
        <v>28</v>
      </c>
      <c r="C1" s="96" t="s">
        <v>81</v>
      </c>
    </row>
    <row r="2" spans="2:10" ht="17.25" customHeight="1">
      <c r="F2" s="242" t="s">
        <v>71</v>
      </c>
      <c r="G2" s="243"/>
      <c r="H2" s="243"/>
      <c r="I2" s="244"/>
    </row>
    <row r="3" spans="2:10" ht="27" customHeight="1">
      <c r="B3" s="239" t="s">
        <v>72</v>
      </c>
      <c r="C3" s="245" t="s">
        <v>64</v>
      </c>
      <c r="D3" s="246"/>
      <c r="F3" s="37" t="s">
        <v>65</v>
      </c>
      <c r="G3" s="37" t="s">
        <v>77</v>
      </c>
      <c r="H3" s="37" t="s">
        <v>78</v>
      </c>
      <c r="I3" s="37" t="s">
        <v>79</v>
      </c>
    </row>
    <row r="4" spans="2:10" ht="16.5" customHeight="1">
      <c r="B4" s="240"/>
      <c r="C4" s="72" t="s">
        <v>70</v>
      </c>
      <c r="D4" s="74">
        <v>0.8</v>
      </c>
      <c r="F4" s="76">
        <v>90</v>
      </c>
      <c r="G4" s="76">
        <f>F4*(1-D4)/2</f>
        <v>8.9999999999999982</v>
      </c>
      <c r="H4" s="107">
        <v>0.33</v>
      </c>
      <c r="I4" s="78">
        <f>H4*G4</f>
        <v>2.9699999999999998</v>
      </c>
    </row>
    <row r="5" spans="2:10" ht="18" customHeight="1">
      <c r="B5" s="240"/>
      <c r="C5" s="98" t="s">
        <v>44</v>
      </c>
      <c r="D5" s="104">
        <v>0.88</v>
      </c>
      <c r="F5" s="82"/>
      <c r="G5" s="83"/>
      <c r="H5" s="108"/>
      <c r="I5" s="85"/>
    </row>
    <row r="6" spans="2:10" ht="18" customHeight="1">
      <c r="B6" s="240"/>
      <c r="C6" s="99" t="s">
        <v>45</v>
      </c>
      <c r="D6" s="105">
        <v>0.95</v>
      </c>
      <c r="F6" s="86"/>
      <c r="G6" s="87"/>
      <c r="H6" s="109"/>
      <c r="I6" s="89"/>
    </row>
    <row r="7" spans="2:10" ht="18" customHeight="1">
      <c r="B7" s="240"/>
      <c r="C7" s="100" t="s">
        <v>46</v>
      </c>
      <c r="D7" s="106">
        <v>0.98</v>
      </c>
      <c r="F7" s="90"/>
      <c r="G7" s="91"/>
      <c r="H7" s="110"/>
      <c r="I7" s="93"/>
      <c r="J7" s="67" t="s">
        <v>75</v>
      </c>
    </row>
    <row r="8" spans="2:10" ht="18" customHeight="1">
      <c r="B8" s="241"/>
      <c r="C8" s="94" t="s">
        <v>82</v>
      </c>
      <c r="D8" s="74">
        <v>0.94</v>
      </c>
      <c r="F8" s="79">
        <v>90</v>
      </c>
      <c r="G8" s="80">
        <f>F8*(1-D8)/2</f>
        <v>2.7000000000000024</v>
      </c>
      <c r="H8" s="111">
        <v>0.33</v>
      </c>
      <c r="I8" s="80">
        <f>H8*G8</f>
        <v>0.89100000000000079</v>
      </c>
      <c r="J8" s="65">
        <f>I4-I8</f>
        <v>2.0789999999999988</v>
      </c>
    </row>
    <row r="9" spans="2:10" ht="7.5" customHeight="1">
      <c r="B9" s="2"/>
      <c r="C9" s="71"/>
      <c r="D9" s="75"/>
      <c r="F9" s="69"/>
      <c r="G9" s="70"/>
      <c r="H9" s="75"/>
      <c r="I9" s="70"/>
    </row>
    <row r="10" spans="2:10" ht="15" customHeight="1">
      <c r="B10" s="2"/>
      <c r="D10" s="97"/>
      <c r="F10" s="242" t="s">
        <v>71</v>
      </c>
      <c r="G10" s="243"/>
      <c r="H10" s="243"/>
      <c r="I10" s="244"/>
    </row>
    <row r="11" spans="2:10" ht="27" customHeight="1">
      <c r="B11" s="239" t="s">
        <v>73</v>
      </c>
      <c r="C11" s="245" t="s">
        <v>64</v>
      </c>
      <c r="D11" s="246"/>
      <c r="F11" s="3" t="s">
        <v>66</v>
      </c>
      <c r="G11" s="37" t="s">
        <v>80</v>
      </c>
      <c r="H11" s="37" t="s">
        <v>78</v>
      </c>
      <c r="I11" s="37" t="s">
        <v>79</v>
      </c>
    </row>
    <row r="12" spans="2:10" ht="16.5" customHeight="1">
      <c r="B12" s="240"/>
      <c r="C12" s="72" t="s">
        <v>70</v>
      </c>
      <c r="D12" s="74">
        <v>0.7</v>
      </c>
      <c r="F12" s="64">
        <v>60</v>
      </c>
      <c r="G12" s="64">
        <f>F12*(1-D12)</f>
        <v>18.000000000000004</v>
      </c>
      <c r="H12" s="74">
        <v>0.2</v>
      </c>
      <c r="I12" s="65">
        <f>F12*(1-D12)*H12</f>
        <v>3.600000000000001</v>
      </c>
    </row>
    <row r="13" spans="2:10" ht="18" customHeight="1">
      <c r="B13" s="240"/>
      <c r="C13" s="98" t="s">
        <v>44</v>
      </c>
      <c r="D13" s="104">
        <v>0.84</v>
      </c>
      <c r="F13" s="82"/>
      <c r="G13" s="83"/>
      <c r="H13" s="108"/>
      <c r="I13" s="85"/>
    </row>
    <row r="14" spans="2:10" ht="18" customHeight="1">
      <c r="B14" s="240"/>
      <c r="C14" s="99" t="s">
        <v>45</v>
      </c>
      <c r="D14" s="105">
        <v>0.88</v>
      </c>
      <c r="F14" s="86"/>
      <c r="G14" s="87"/>
      <c r="H14" s="109"/>
      <c r="I14" s="89"/>
    </row>
    <row r="15" spans="2:10" ht="18" customHeight="1">
      <c r="B15" s="240"/>
      <c r="C15" s="100" t="s">
        <v>46</v>
      </c>
      <c r="D15" s="106">
        <v>0.92</v>
      </c>
      <c r="F15" s="90"/>
      <c r="G15" s="91"/>
      <c r="H15" s="110"/>
      <c r="I15" s="93"/>
      <c r="J15" s="67" t="s">
        <v>75</v>
      </c>
    </row>
    <row r="16" spans="2:10" ht="18" customHeight="1">
      <c r="B16" s="241"/>
      <c r="C16" s="94" t="s">
        <v>82</v>
      </c>
      <c r="D16" s="74">
        <v>0.88</v>
      </c>
      <c r="F16" s="64">
        <v>60</v>
      </c>
      <c r="G16" s="65">
        <f>F16*(1-D16)</f>
        <v>7.1999999999999993</v>
      </c>
      <c r="H16" s="74">
        <v>0.2</v>
      </c>
      <c r="I16" s="65">
        <f>F16*(1-D16)*H16</f>
        <v>1.44</v>
      </c>
      <c r="J16" s="65">
        <f>I12-I16</f>
        <v>2.160000000000001</v>
      </c>
    </row>
    <row r="17" spans="2:10" ht="9" customHeight="1">
      <c r="B17" s="2"/>
      <c r="C17" s="71"/>
      <c r="D17" s="75"/>
      <c r="F17" s="69"/>
      <c r="G17" s="70"/>
      <c r="H17" s="75"/>
      <c r="I17" s="70"/>
    </row>
    <row r="18" spans="2:10" ht="14.25" customHeight="1">
      <c r="B18" s="2"/>
      <c r="D18" s="97"/>
      <c r="F18" s="242" t="s">
        <v>71</v>
      </c>
      <c r="G18" s="243"/>
      <c r="H18" s="243"/>
      <c r="I18" s="244"/>
    </row>
    <row r="19" spans="2:10" ht="27" customHeight="1">
      <c r="B19" s="239" t="s">
        <v>74</v>
      </c>
      <c r="C19" s="245" t="s">
        <v>64</v>
      </c>
      <c r="D19" s="246"/>
      <c r="F19" s="37" t="s">
        <v>67</v>
      </c>
      <c r="G19" s="3" t="s">
        <v>27</v>
      </c>
      <c r="H19" s="37" t="s">
        <v>69</v>
      </c>
      <c r="I19" s="37" t="s">
        <v>68</v>
      </c>
    </row>
    <row r="20" spans="2:10" ht="18" customHeight="1">
      <c r="B20" s="240"/>
      <c r="C20" s="72" t="s">
        <v>70</v>
      </c>
      <c r="D20" s="63">
        <v>2000</v>
      </c>
      <c r="F20" s="66">
        <v>10000</v>
      </c>
      <c r="G20" s="64">
        <f>D20/100</f>
        <v>20</v>
      </c>
      <c r="H20" s="74">
        <v>0.2</v>
      </c>
      <c r="I20" s="65">
        <f>H20*G20</f>
        <v>4</v>
      </c>
    </row>
    <row r="21" spans="2:10" ht="18" customHeight="1">
      <c r="B21" s="240"/>
      <c r="C21" s="98" t="s">
        <v>44</v>
      </c>
      <c r="D21" s="101">
        <v>1800</v>
      </c>
      <c r="F21" s="82"/>
      <c r="G21" s="83"/>
      <c r="H21" s="108"/>
      <c r="I21" s="85"/>
    </row>
    <row r="22" spans="2:10" ht="18" customHeight="1">
      <c r="B22" s="240"/>
      <c r="C22" s="99" t="s">
        <v>45</v>
      </c>
      <c r="D22" s="102">
        <v>1350</v>
      </c>
      <c r="F22" s="86"/>
      <c r="G22" s="87"/>
      <c r="H22" s="109"/>
      <c r="I22" s="89"/>
    </row>
    <row r="23" spans="2:10" ht="18" customHeight="1">
      <c r="B23" s="240"/>
      <c r="C23" s="100" t="s">
        <v>46</v>
      </c>
      <c r="D23" s="103">
        <v>1100</v>
      </c>
      <c r="F23" s="90"/>
      <c r="G23" s="91"/>
      <c r="H23" s="110"/>
      <c r="I23" s="93"/>
      <c r="J23" s="67" t="s">
        <v>75</v>
      </c>
    </row>
    <row r="24" spans="2:10" ht="18" customHeight="1">
      <c r="B24" s="241"/>
      <c r="C24" s="94" t="s">
        <v>82</v>
      </c>
      <c r="D24" s="63">
        <v>1400</v>
      </c>
      <c r="F24" s="66">
        <v>10000</v>
      </c>
      <c r="G24" s="65">
        <f>D24/100</f>
        <v>14</v>
      </c>
      <c r="H24" s="74">
        <v>0.2</v>
      </c>
      <c r="I24" s="65">
        <f>H24*G24</f>
        <v>2.8000000000000003</v>
      </c>
      <c r="J24" s="65">
        <f>I20-I24</f>
        <v>1.1999999999999997</v>
      </c>
    </row>
    <row r="25" spans="2:10" ht="12" customHeight="1"/>
    <row r="26" spans="2:10" ht="21" customHeight="1">
      <c r="I26" s="73" t="s">
        <v>76</v>
      </c>
      <c r="J26" s="65">
        <f>J24+J16+J8</f>
        <v>5.4390000000000001</v>
      </c>
    </row>
    <row r="27" spans="2:10" ht="15.75" customHeight="1"/>
    <row r="28" spans="2:10" ht="27" customHeight="1"/>
    <row r="29" spans="2:10" ht="15" customHeight="1"/>
  </sheetData>
  <mergeCells count="9">
    <mergeCell ref="B19:B24"/>
    <mergeCell ref="B11:B16"/>
    <mergeCell ref="B3:B8"/>
    <mergeCell ref="F2:I2"/>
    <mergeCell ref="C19:D19"/>
    <mergeCell ref="C11:D11"/>
    <mergeCell ref="C3:D3"/>
    <mergeCell ref="F18:I18"/>
    <mergeCell ref="F10:I10"/>
  </mergeCells>
  <phoneticPr fontId="2" type="noConversion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Header>&amp;CVARIANTE FINANCIERE (verso)</oddHeader>
    <oddFooter>&amp;L&amp;8CIPE - Le Jeu du Kanban - Marque déposée&amp;R&amp;11VF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Feuille de suivi</vt:lpstr>
      <vt:lpstr>Feuille de suivi verso</vt:lpstr>
      <vt:lpstr>Calcul des besoins</vt:lpstr>
      <vt:lpstr>Calcul des besoins verso</vt:lpstr>
      <vt:lpstr>Résultats</vt:lpstr>
      <vt:lpstr>Résultats verso</vt:lpstr>
      <vt:lpstr>Relevé des progrès</vt:lpstr>
      <vt:lpstr>Variante financière </vt:lpstr>
      <vt:lpstr>Variante financière (verso)</vt:lpstr>
    </vt:vector>
  </TitlesOfParts>
  <Company>PROCONSEIL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BertrandS</dc:creator>
  <cp:lastModifiedBy>Stéphane JAUBERT</cp:lastModifiedBy>
  <cp:lastPrinted>2007-02-10T17:51:37Z</cp:lastPrinted>
  <dcterms:created xsi:type="dcterms:W3CDTF">2006-10-26T10:44:10Z</dcterms:created>
  <dcterms:modified xsi:type="dcterms:W3CDTF">2026-02-06T07:09:26Z</dcterms:modified>
</cp:coreProperties>
</file>