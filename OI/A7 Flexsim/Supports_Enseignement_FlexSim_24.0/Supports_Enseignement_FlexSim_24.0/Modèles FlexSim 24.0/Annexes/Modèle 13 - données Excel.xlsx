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Flexsim/Supports_Enseignement_FlexSim_24.0/Supports_Enseignement_FlexSim_24.0/Modèles FlexSim 24.0/Annexes/"/>
    </mc:Choice>
  </mc:AlternateContent>
  <xr:revisionPtr revIDLastSave="3" documentId="13_ncr:1_{40CCEE11-7548-408E-9E5A-3093B26DFA3C}" xr6:coauthVersionLast="47" xr6:coauthVersionMax="47" xr10:uidLastSave="{61FEAFE8-9E3C-4787-A313-1CF21DC0F964}"/>
  <bookViews>
    <workbookView xWindow="5655" yWindow="4095" windowWidth="21600" windowHeight="11385" activeTab="1" xr2:uid="{00000000-000D-0000-FFFF-FFFF00000000}"/>
  </bookViews>
  <sheets>
    <sheet name="ProduitsFinis" sheetId="1" r:id="rId1"/>
    <sheet name="Operations" sheetId="2" r:id="rId2"/>
    <sheet name="TypesCol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 l="1"/>
  <c r="F5" i="1"/>
  <c r="F4" i="1"/>
  <c r="F3" i="1"/>
  <c r="F2" i="1"/>
</calcChain>
</file>

<file path=xl/sharedStrings.xml><?xml version="1.0" encoding="utf-8"?>
<sst xmlns="http://schemas.openxmlformats.org/spreadsheetml/2006/main" count="57" uniqueCount="16">
  <si>
    <t>Nom</t>
  </si>
  <si>
    <t>Colis</t>
  </si>
  <si>
    <t>Type</t>
  </si>
  <si>
    <t>Heure</t>
  </si>
  <si>
    <t>lourd</t>
  </si>
  <si>
    <t>moyen</t>
  </si>
  <si>
    <t>léger</t>
  </si>
  <si>
    <t>Categorie</t>
  </si>
  <si>
    <t>temps de chargement d'un colis par le cariste</t>
  </si>
  <si>
    <t>temps de déchargement d'un colis par le cariste</t>
  </si>
  <si>
    <t>Chargement</t>
  </si>
  <si>
    <t>Déchargement</t>
  </si>
  <si>
    <t>Temps (s)</t>
  </si>
  <si>
    <t>Commentaires</t>
  </si>
  <si>
    <t>Temps_arrivee</t>
  </si>
  <si>
    <t>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</si>
</sst>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31" zoomScaleNormal="100" workbookViewId="0">
      <selection activeCell="A31" sqref="A31"/>
    </sheetView>
  </sheetViews>
  <sheetFormatPr baseColWidth="10" defaultRowHeight="15" x14ac:dyDescent="0.25"/>
  <cols>
    <col min="1" max="1" width="18.140625" bestFit="1" customWidth="1"/>
    <col min="2" max="2" width="5.28515625" bestFit="1" customWidth="1"/>
    <col min="3" max="3" width="8.85546875" bestFit="1" customWidth="1"/>
    <col min="4" max="4" width="8.140625" bestFit="1" customWidth="1"/>
    <col min="5" max="5" width="5.28515625" bestFit="1" customWidth="1"/>
    <col min="6" max="6" width="9.5703125" bestFit="1" customWidth="1"/>
  </cols>
  <sheetData>
    <row r="1" spans="1:6" s="1" customFormat="1" x14ac:dyDescent="0.25">
      <c r="A1" s="1" t="s">
        <v>14</v>
      </c>
      <c r="B1" s="1" t="s">
        <v>0</v>
      </c>
      <c r="C1" s="1" t="s">
        <v>15</v>
      </c>
      <c r="D1" s="1" t="s">
        <v>3</v>
      </c>
      <c r="E1" s="1" t="s">
        <v>2</v>
      </c>
      <c r="F1" s="1" t="s">
        <v>7</v>
      </c>
    </row>
    <row r="2" spans="1:6" x14ac:dyDescent="0.25">
      <c r="A2" s="2">
        <f>(D2*24-8)*3600</f>
        <v>6.0000000000009379</v>
      </c>
      <c r="B2" t="s">
        <v>1</v>
      </c>
      <c r="C2">
        <v>1</v>
      </c>
      <c r="D2" s="3">
        <v>0.33340277777777777</v>
      </c>
      <c r="E2">
        <v>2</v>
      </c>
      <c r="F2" t="str">
        <f>VLOOKUP(E2,TypesColis!$A$2:$B$4,2,FALSE)</f>
        <v>moyen</v>
      </c>
    </row>
    <row r="3" spans="1:6" x14ac:dyDescent="0.25">
      <c r="A3" s="2">
        <f t="shared" ref="A3:A41" si="0">(D3*24-8)*3600</f>
        <v>6.0000000000009379</v>
      </c>
      <c r="B3" t="s">
        <v>1</v>
      </c>
      <c r="C3">
        <v>1</v>
      </c>
      <c r="D3" s="3">
        <v>0.33340277777777777</v>
      </c>
      <c r="E3">
        <v>3</v>
      </c>
      <c r="F3" t="str">
        <f>VLOOKUP(E3,TypesColis!$A$2:$B$4,2,FALSE)</f>
        <v>léger</v>
      </c>
    </row>
    <row r="4" spans="1:6" x14ac:dyDescent="0.25">
      <c r="A4" s="2">
        <f t="shared" si="0"/>
        <v>16.99999999999946</v>
      </c>
      <c r="B4" t="s">
        <v>1</v>
      </c>
      <c r="C4">
        <v>1</v>
      </c>
      <c r="D4" s="3">
        <v>0.33353009259259259</v>
      </c>
      <c r="E4">
        <v>1</v>
      </c>
      <c r="F4" t="str">
        <f>VLOOKUP(E4,TypesColis!$A$2:$B$4,2,FALSE)</f>
        <v>lourd</v>
      </c>
    </row>
    <row r="5" spans="1:6" x14ac:dyDescent="0.25">
      <c r="A5" s="2">
        <f t="shared" si="0"/>
        <v>25.000000000000711</v>
      </c>
      <c r="B5" t="s">
        <v>1</v>
      </c>
      <c r="C5">
        <v>1</v>
      </c>
      <c r="D5" s="3">
        <v>0.33362268518518517</v>
      </c>
      <c r="E5">
        <v>3</v>
      </c>
      <c r="F5" t="str">
        <f>VLOOKUP(E5,TypesColis!$A$2:$B$4,2,FALSE)</f>
        <v>léger</v>
      </c>
    </row>
    <row r="6" spans="1:6" x14ac:dyDescent="0.25">
      <c r="A6" s="2">
        <f t="shared" si="0"/>
        <v>65.000000000000568</v>
      </c>
      <c r="B6" t="s">
        <v>1</v>
      </c>
      <c r="C6">
        <v>1</v>
      </c>
      <c r="D6" s="3">
        <v>0.33408564814814817</v>
      </c>
      <c r="E6">
        <v>3</v>
      </c>
      <c r="F6" t="str">
        <f>VLOOKUP(E6,TypesColis!$A$2:$B$4,2,FALSE)</f>
        <v>léger</v>
      </c>
    </row>
    <row r="7" spans="1:6" x14ac:dyDescent="0.25">
      <c r="A7" s="2">
        <f t="shared" si="0"/>
        <v>69.999999999998153</v>
      </c>
      <c r="B7" t="s">
        <v>1</v>
      </c>
      <c r="C7">
        <v>1</v>
      </c>
      <c r="D7" s="3">
        <v>0.33414351851851848</v>
      </c>
      <c r="E7">
        <v>2</v>
      </c>
      <c r="F7" t="str">
        <f>VLOOKUP(E7,TypesColis!$A$2:$B$4,2,FALSE)</f>
        <v>moyen</v>
      </c>
    </row>
    <row r="8" spans="1:6" x14ac:dyDescent="0.25">
      <c r="A8" s="2">
        <f t="shared" si="0"/>
        <v>86.999999999997613</v>
      </c>
      <c r="B8" t="s">
        <v>1</v>
      </c>
      <c r="C8">
        <v>1</v>
      </c>
      <c r="D8" s="3">
        <v>0.33434027777777775</v>
      </c>
      <c r="E8">
        <v>3</v>
      </c>
      <c r="F8" t="str">
        <f>VLOOKUP(E8,TypesColis!$A$2:$B$4,2,FALSE)</f>
        <v>léger</v>
      </c>
    </row>
    <row r="9" spans="1:6" x14ac:dyDescent="0.25">
      <c r="A9" s="2">
        <f t="shared" si="0"/>
        <v>86.999999999997613</v>
      </c>
      <c r="B9" t="s">
        <v>1</v>
      </c>
      <c r="C9">
        <v>1</v>
      </c>
      <c r="D9" s="3">
        <v>0.33434027777777775</v>
      </c>
      <c r="E9">
        <v>2</v>
      </c>
      <c r="F9" t="str">
        <f>VLOOKUP(E9,TypesColis!$A$2:$B$4,2,FALSE)</f>
        <v>moyen</v>
      </c>
    </row>
    <row r="10" spans="1:6" x14ac:dyDescent="0.25">
      <c r="A10" s="2">
        <f t="shared" si="0"/>
        <v>902.99999999999727</v>
      </c>
      <c r="B10" t="s">
        <v>1</v>
      </c>
      <c r="C10">
        <v>1</v>
      </c>
      <c r="D10" s="3">
        <v>0.34378472222222217</v>
      </c>
      <c r="E10">
        <v>2</v>
      </c>
      <c r="F10" t="str">
        <f>VLOOKUP(E10,TypesColis!$A$2:$B$4,2,FALSE)</f>
        <v>moyen</v>
      </c>
    </row>
    <row r="11" spans="1:6" x14ac:dyDescent="0.25">
      <c r="A11" s="2">
        <f t="shared" si="0"/>
        <v>937.00000000000261</v>
      </c>
      <c r="B11" t="s">
        <v>1</v>
      </c>
      <c r="C11">
        <v>1</v>
      </c>
      <c r="D11" s="3">
        <v>0.34417824074074077</v>
      </c>
      <c r="E11">
        <v>1</v>
      </c>
      <c r="F11" t="str">
        <f>VLOOKUP(E11,TypesColis!$A$2:$B$4,2,FALSE)</f>
        <v>lourd</v>
      </c>
    </row>
    <row r="12" spans="1:6" x14ac:dyDescent="0.25">
      <c r="A12" s="2">
        <f t="shared" si="0"/>
        <v>925.99999999999773</v>
      </c>
      <c r="B12" t="s">
        <v>1</v>
      </c>
      <c r="C12">
        <v>1</v>
      </c>
      <c r="D12" s="3">
        <v>0.3440509259259259</v>
      </c>
      <c r="E12">
        <v>2</v>
      </c>
      <c r="F12" t="str">
        <f>VLOOKUP(E12,TypesColis!$A$2:$B$4,2,FALSE)</f>
        <v>moyen</v>
      </c>
    </row>
    <row r="13" spans="1:6" x14ac:dyDescent="0.25">
      <c r="A13" s="2">
        <f t="shared" si="0"/>
        <v>954.00000000000205</v>
      </c>
      <c r="B13" t="s">
        <v>1</v>
      </c>
      <c r="C13">
        <v>1</v>
      </c>
      <c r="D13" s="3">
        <v>0.34437500000000004</v>
      </c>
      <c r="E13">
        <v>3</v>
      </c>
      <c r="F13" t="str">
        <f>VLOOKUP(E13,TypesColis!$A$2:$B$4,2,FALSE)</f>
        <v>léger</v>
      </c>
    </row>
    <row r="14" spans="1:6" x14ac:dyDescent="0.25">
      <c r="A14" s="2">
        <f t="shared" si="0"/>
        <v>984.99999999999727</v>
      </c>
      <c r="B14" t="s">
        <v>1</v>
      </c>
      <c r="C14">
        <v>1</v>
      </c>
      <c r="D14" s="3">
        <v>0.34473379629629625</v>
      </c>
      <c r="E14">
        <v>2</v>
      </c>
      <c r="F14" t="str">
        <f>VLOOKUP(E14,TypesColis!$A$2:$B$4,2,FALSE)</f>
        <v>moyen</v>
      </c>
    </row>
    <row r="15" spans="1:6" x14ac:dyDescent="0.25">
      <c r="A15" s="2">
        <f t="shared" si="0"/>
        <v>1032.0000000000014</v>
      </c>
      <c r="B15" t="s">
        <v>1</v>
      </c>
      <c r="C15">
        <v>1</v>
      </c>
      <c r="D15" s="3">
        <v>0.34527777777777779</v>
      </c>
      <c r="E15">
        <v>3</v>
      </c>
      <c r="F15" t="str">
        <f>VLOOKUP(E15,TypesColis!$A$2:$B$4,2,FALSE)</f>
        <v>léger</v>
      </c>
    </row>
    <row r="16" spans="1:6" x14ac:dyDescent="0.25">
      <c r="A16" s="2">
        <f t="shared" si="0"/>
        <v>1066.9999999999973</v>
      </c>
      <c r="B16" t="s">
        <v>1</v>
      </c>
      <c r="C16">
        <v>1</v>
      </c>
      <c r="D16" s="3">
        <v>0.34568287037037032</v>
      </c>
      <c r="E16">
        <v>1</v>
      </c>
      <c r="F16" t="str">
        <f>VLOOKUP(E16,TypesColis!$A$2:$B$4,2,FALSE)</f>
        <v>lourd</v>
      </c>
    </row>
    <row r="17" spans="1:6" x14ac:dyDescent="0.25">
      <c r="A17" s="2">
        <f t="shared" si="0"/>
        <v>1076.0000000000018</v>
      </c>
      <c r="B17" t="s">
        <v>1</v>
      </c>
      <c r="C17">
        <v>1</v>
      </c>
      <c r="D17" s="3">
        <v>0.34578703703703706</v>
      </c>
      <c r="E17">
        <v>1</v>
      </c>
      <c r="F17" t="str">
        <f>VLOOKUP(E17,TypesColis!$A$2:$B$4,2,FALSE)</f>
        <v>lourd</v>
      </c>
    </row>
    <row r="18" spans="1:6" x14ac:dyDescent="0.25">
      <c r="A18" s="2">
        <f t="shared" si="0"/>
        <v>1082.9999999999998</v>
      </c>
      <c r="B18" t="s">
        <v>1</v>
      </c>
      <c r="C18">
        <v>1</v>
      </c>
      <c r="D18" s="3">
        <v>0.34586805555555555</v>
      </c>
      <c r="E18">
        <v>2</v>
      </c>
      <c r="F18" t="str">
        <f>VLOOKUP(E18,TypesColis!$A$2:$B$4,2,FALSE)</f>
        <v>moyen</v>
      </c>
    </row>
    <row r="19" spans="1:6" x14ac:dyDescent="0.25">
      <c r="A19" s="2">
        <f t="shared" si="0"/>
        <v>1106.0000000000002</v>
      </c>
      <c r="B19" t="s">
        <v>1</v>
      </c>
      <c r="C19">
        <v>1</v>
      </c>
      <c r="D19" s="3">
        <v>0.34613425925925928</v>
      </c>
      <c r="E19">
        <v>3</v>
      </c>
      <c r="F19" t="str">
        <f>VLOOKUP(E19,TypesColis!$A$2:$B$4,2,FALSE)</f>
        <v>léger</v>
      </c>
    </row>
    <row r="20" spans="1:6" x14ac:dyDescent="0.25">
      <c r="A20" s="2">
        <f t="shared" si="0"/>
        <v>1150.9999999999977</v>
      </c>
      <c r="B20" t="s">
        <v>1</v>
      </c>
      <c r="C20">
        <v>1</v>
      </c>
      <c r="D20" s="3">
        <v>0.34665509259259258</v>
      </c>
      <c r="E20">
        <v>3</v>
      </c>
      <c r="F20" t="str">
        <f>VLOOKUP(E20,TypesColis!$A$2:$B$4,2,FALSE)</f>
        <v>léger</v>
      </c>
    </row>
    <row r="21" spans="1:6" x14ac:dyDescent="0.25">
      <c r="A21" s="2">
        <f t="shared" si="0"/>
        <v>2077.9999999999986</v>
      </c>
      <c r="B21" t="s">
        <v>1</v>
      </c>
      <c r="C21">
        <v>1</v>
      </c>
      <c r="D21" s="3">
        <v>0.35738425925925926</v>
      </c>
      <c r="E21">
        <v>3</v>
      </c>
      <c r="F21" t="str">
        <f>VLOOKUP(E21,TypesColis!$A$2:$B$4,2,FALSE)</f>
        <v>léger</v>
      </c>
    </row>
    <row r="22" spans="1:6" x14ac:dyDescent="0.25">
      <c r="A22" s="2">
        <f t="shared" si="0"/>
        <v>4596.0000000000018</v>
      </c>
      <c r="B22" t="s">
        <v>1</v>
      </c>
      <c r="C22">
        <v>1</v>
      </c>
      <c r="D22" s="3">
        <v>0.3865277777777778</v>
      </c>
      <c r="E22">
        <v>2</v>
      </c>
      <c r="F22" t="str">
        <f>VLOOKUP(E22,TypesColis!$A$2:$B$4,2,FALSE)</f>
        <v>moyen</v>
      </c>
    </row>
    <row r="23" spans="1:6" x14ac:dyDescent="0.25">
      <c r="A23" s="2">
        <f t="shared" si="0"/>
        <v>4607.0000000000009</v>
      </c>
      <c r="B23" t="s">
        <v>1</v>
      </c>
      <c r="C23">
        <v>1</v>
      </c>
      <c r="D23" s="3">
        <v>0.38665509259259262</v>
      </c>
      <c r="E23">
        <v>1</v>
      </c>
      <c r="F23" t="str">
        <f>VLOOKUP(E23,TypesColis!$A$2:$B$4,2,FALSE)</f>
        <v>lourd</v>
      </c>
    </row>
    <row r="24" spans="1:6" x14ac:dyDescent="0.25">
      <c r="A24" s="2">
        <f t="shared" si="0"/>
        <v>4609.9999999999982</v>
      </c>
      <c r="B24" t="s">
        <v>1</v>
      </c>
      <c r="C24">
        <v>1</v>
      </c>
      <c r="D24" s="3">
        <v>0.38668981481481479</v>
      </c>
      <c r="E24">
        <v>3</v>
      </c>
      <c r="F24" t="str">
        <f>VLOOKUP(E24,TypesColis!$A$2:$B$4,2,FALSE)</f>
        <v>léger</v>
      </c>
    </row>
    <row r="25" spans="1:6" x14ac:dyDescent="0.25">
      <c r="A25" s="2">
        <f t="shared" si="0"/>
        <v>8783.9999999999982</v>
      </c>
      <c r="B25" t="s">
        <v>1</v>
      </c>
      <c r="C25">
        <v>1</v>
      </c>
      <c r="D25" s="3">
        <v>0.435</v>
      </c>
      <c r="E25">
        <v>2</v>
      </c>
      <c r="F25" t="str">
        <f>VLOOKUP(E25,TypesColis!$A$2:$B$4,2,FALSE)</f>
        <v>moyen</v>
      </c>
    </row>
    <row r="26" spans="1:6" x14ac:dyDescent="0.25">
      <c r="A26" s="2">
        <f t="shared" si="0"/>
        <v>8790</v>
      </c>
      <c r="B26" t="s">
        <v>1</v>
      </c>
      <c r="C26">
        <v>1</v>
      </c>
      <c r="D26" s="3">
        <v>0.43506944444444445</v>
      </c>
      <c r="E26">
        <v>1</v>
      </c>
      <c r="F26" t="str">
        <f>VLOOKUP(E26,TypesColis!$A$2:$B$4,2,FALSE)</f>
        <v>lourd</v>
      </c>
    </row>
    <row r="27" spans="1:6" x14ac:dyDescent="0.25">
      <c r="A27" s="2">
        <f t="shared" si="0"/>
        <v>13845</v>
      </c>
      <c r="B27" t="s">
        <v>1</v>
      </c>
      <c r="C27">
        <v>1</v>
      </c>
      <c r="D27" s="3">
        <v>0.49357638888888888</v>
      </c>
      <c r="E27">
        <v>3</v>
      </c>
      <c r="F27" t="str">
        <f>VLOOKUP(E27,TypesColis!$A$2:$B$4,2,FALSE)</f>
        <v>léger</v>
      </c>
    </row>
    <row r="28" spans="1:6" x14ac:dyDescent="0.25">
      <c r="A28" s="2">
        <f t="shared" si="0"/>
        <v>13922.999999999998</v>
      </c>
      <c r="B28" t="s">
        <v>1</v>
      </c>
      <c r="C28">
        <v>1</v>
      </c>
      <c r="D28" s="3">
        <v>0.49447916666666664</v>
      </c>
      <c r="E28">
        <v>3</v>
      </c>
      <c r="F28" t="str">
        <f>VLOOKUP(E28,TypesColis!$A$2:$B$4,2,FALSE)</f>
        <v>léger</v>
      </c>
    </row>
    <row r="29" spans="1:6" x14ac:dyDescent="0.25">
      <c r="A29" s="2">
        <f t="shared" si="0"/>
        <v>21845.000000000004</v>
      </c>
      <c r="B29" t="s">
        <v>1</v>
      </c>
      <c r="C29">
        <v>1</v>
      </c>
      <c r="D29" s="3">
        <v>0.58616898148148155</v>
      </c>
      <c r="E29">
        <v>2</v>
      </c>
      <c r="F29" t="str">
        <f>VLOOKUP(E29,TypesColis!$A$2:$B$4,2,FALSE)</f>
        <v>moyen</v>
      </c>
    </row>
    <row r="30" spans="1:6" x14ac:dyDescent="0.25">
      <c r="A30" s="2">
        <f t="shared" si="0"/>
        <v>21976</v>
      </c>
      <c r="B30" t="s">
        <v>1</v>
      </c>
      <c r="C30">
        <v>1</v>
      </c>
      <c r="D30" s="3">
        <v>0.5876851851851852</v>
      </c>
      <c r="E30">
        <v>2</v>
      </c>
      <c r="F30" t="str">
        <f>VLOOKUP(E30,TypesColis!$A$2:$B$4,2,FALSE)</f>
        <v>moyen</v>
      </c>
    </row>
    <row r="31" spans="1:6" x14ac:dyDescent="0.25">
      <c r="A31" s="2">
        <f t="shared" si="0"/>
        <v>22342</v>
      </c>
      <c r="B31" t="s">
        <v>1</v>
      </c>
      <c r="C31">
        <v>1</v>
      </c>
      <c r="D31" s="3">
        <v>0.59192129629629631</v>
      </c>
      <c r="E31">
        <v>1</v>
      </c>
      <c r="F31" t="str">
        <f>VLOOKUP(E31,TypesColis!$A$2:$B$4,2,FALSE)</f>
        <v>lourd</v>
      </c>
    </row>
    <row r="32" spans="1:6" x14ac:dyDescent="0.25">
      <c r="A32" s="2">
        <f t="shared" si="0"/>
        <v>22654.000000000004</v>
      </c>
      <c r="B32" t="s">
        <v>1</v>
      </c>
      <c r="C32">
        <v>1</v>
      </c>
      <c r="D32" s="3">
        <v>0.59553240740740743</v>
      </c>
      <c r="E32">
        <v>3</v>
      </c>
      <c r="F32" t="str">
        <f>VLOOKUP(E32,TypesColis!$A$2:$B$4,2,FALSE)</f>
        <v>léger</v>
      </c>
    </row>
    <row r="33" spans="1:6" x14ac:dyDescent="0.25">
      <c r="A33" s="2">
        <f t="shared" si="0"/>
        <v>22791.000000000004</v>
      </c>
      <c r="B33" t="s">
        <v>1</v>
      </c>
      <c r="C33">
        <v>1</v>
      </c>
      <c r="D33" s="3">
        <v>0.59711805555555564</v>
      </c>
      <c r="E33">
        <v>1</v>
      </c>
      <c r="F33" t="str">
        <f>VLOOKUP(E33,TypesColis!$A$2:$B$4,2,FALSE)</f>
        <v>lourd</v>
      </c>
    </row>
    <row r="34" spans="1:6" x14ac:dyDescent="0.25">
      <c r="A34" s="2">
        <f t="shared" si="0"/>
        <v>28764</v>
      </c>
      <c r="B34" t="s">
        <v>1</v>
      </c>
      <c r="C34">
        <v>1</v>
      </c>
      <c r="D34" s="3">
        <v>0.66625000000000001</v>
      </c>
      <c r="E34">
        <v>3</v>
      </c>
      <c r="F34" t="str">
        <f>VLOOKUP(E34,TypesColis!$A$2:$B$4,2,FALSE)</f>
        <v>léger</v>
      </c>
    </row>
    <row r="35" spans="1:6" x14ac:dyDescent="0.25">
      <c r="A35" s="2">
        <f t="shared" si="0"/>
        <v>28800.999999999989</v>
      </c>
      <c r="B35" t="s">
        <v>1</v>
      </c>
      <c r="C35">
        <v>1</v>
      </c>
      <c r="D35" s="3">
        <v>0.66667824074074067</v>
      </c>
      <c r="E35">
        <v>1</v>
      </c>
      <c r="F35" t="str">
        <f>VLOOKUP(E35,TypesColis!$A$2:$B$4,2,FALSE)</f>
        <v>lourd</v>
      </c>
    </row>
    <row r="36" spans="1:6" x14ac:dyDescent="0.25">
      <c r="A36" s="2">
        <f t="shared" si="0"/>
        <v>28808</v>
      </c>
      <c r="B36" t="s">
        <v>1</v>
      </c>
      <c r="C36">
        <v>1</v>
      </c>
      <c r="D36" s="3">
        <v>0.66675925925925927</v>
      </c>
      <c r="E36">
        <v>2</v>
      </c>
      <c r="F36" t="str">
        <f>VLOOKUP(E36,TypesColis!$A$2:$B$4,2,FALSE)</f>
        <v>moyen</v>
      </c>
    </row>
    <row r="37" spans="1:6" x14ac:dyDescent="0.25">
      <c r="A37" s="2">
        <f t="shared" si="0"/>
        <v>30247.000000000007</v>
      </c>
      <c r="B37" t="s">
        <v>1</v>
      </c>
      <c r="C37">
        <v>1</v>
      </c>
      <c r="D37" s="3">
        <v>0.68341435185185195</v>
      </c>
      <c r="E37">
        <v>1</v>
      </c>
      <c r="F37" t="str">
        <f>VLOOKUP(E37,TypesColis!$A$2:$B$4,2,FALSE)</f>
        <v>lourd</v>
      </c>
    </row>
    <row r="38" spans="1:6" x14ac:dyDescent="0.25">
      <c r="A38" s="2">
        <f t="shared" si="0"/>
        <v>30269.000000000004</v>
      </c>
      <c r="B38" t="s">
        <v>1</v>
      </c>
      <c r="C38">
        <v>1</v>
      </c>
      <c r="D38" s="3">
        <v>0.68366898148148147</v>
      </c>
      <c r="E38">
        <v>2</v>
      </c>
      <c r="F38" t="str">
        <f>VLOOKUP(E38,TypesColis!$A$2:$B$4,2,FALSE)</f>
        <v>moyen</v>
      </c>
    </row>
    <row r="39" spans="1:6" x14ac:dyDescent="0.25">
      <c r="A39" s="2">
        <f t="shared" si="0"/>
        <v>31569</v>
      </c>
      <c r="B39" t="s">
        <v>1</v>
      </c>
      <c r="C39">
        <v>1</v>
      </c>
      <c r="D39" s="3">
        <v>0.69871527777777775</v>
      </c>
      <c r="E39">
        <v>2</v>
      </c>
      <c r="F39" t="str">
        <f>VLOOKUP(E39,TypesColis!$A$2:$B$4,2,FALSE)</f>
        <v>moyen</v>
      </c>
    </row>
    <row r="40" spans="1:6" x14ac:dyDescent="0.25">
      <c r="A40" s="2">
        <f t="shared" si="0"/>
        <v>31573</v>
      </c>
      <c r="B40" t="s">
        <v>1</v>
      </c>
      <c r="C40">
        <v>1</v>
      </c>
      <c r="D40" s="3">
        <v>0.69876157407407413</v>
      </c>
      <c r="E40">
        <v>1</v>
      </c>
      <c r="F40" t="str">
        <f>VLOOKUP(E40,TypesColis!$A$2:$B$4,2,FALSE)</f>
        <v>lourd</v>
      </c>
    </row>
    <row r="41" spans="1:6" x14ac:dyDescent="0.25">
      <c r="A41" s="2">
        <f t="shared" si="0"/>
        <v>32370</v>
      </c>
      <c r="B41" t="s">
        <v>1</v>
      </c>
      <c r="C41">
        <v>1</v>
      </c>
      <c r="D41" s="3">
        <v>0.70798611111111109</v>
      </c>
      <c r="E41">
        <v>1</v>
      </c>
      <c r="F41" t="str">
        <f>VLOOKUP(E41,TypesColis!$A$2:$B$4,2,FALSE)</f>
        <v>lourd</v>
      </c>
    </row>
  </sheetData>
  <conditionalFormatting sqref="F8">
    <cfRule type="colorScale" priority="26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9">
    <cfRule type="colorScale" priority="25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0">
    <cfRule type="colorScale" priority="24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1">
    <cfRule type="colorScale" priority="22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2">
    <cfRule type="colorScale" priority="21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3">
    <cfRule type="colorScale" priority="20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4">
    <cfRule type="colorScale" priority="19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5">
    <cfRule type="colorScale" priority="18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16:F19">
    <cfRule type="colorScale" priority="17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20">
    <cfRule type="colorScale" priority="4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21:F39">
    <cfRule type="colorScale" priority="3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40">
    <cfRule type="colorScale" priority="2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conditionalFormatting sqref="F41">
    <cfRule type="colorScale" priority="1">
      <colorScale>
        <cfvo type="num" val="1"/>
        <cfvo type="num" val="2"/>
        <cfvo type="num" val="3"/>
        <color rgb="FFFF0000"/>
        <color rgb="FF92D050"/>
        <color theme="4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zoomScaleNormal="100" workbookViewId="0"/>
  </sheetViews>
  <sheetFormatPr baseColWidth="10" defaultRowHeight="15" x14ac:dyDescent="0.25"/>
  <cols>
    <col min="1" max="1" width="14" style="1" bestFit="1" customWidth="1"/>
    <col min="2" max="2" width="9.5703125" bestFit="1" customWidth="1"/>
    <col min="3" max="3" width="43.85546875" bestFit="1" customWidth="1"/>
  </cols>
  <sheetData>
    <row r="1" spans="1:3" s="1" customFormat="1" x14ac:dyDescent="0.25">
      <c r="B1" s="1" t="s">
        <v>12</v>
      </c>
      <c r="C1" s="1" t="s">
        <v>13</v>
      </c>
    </row>
    <row r="2" spans="1:3" x14ac:dyDescent="0.25">
      <c r="A2" s="1" t="s">
        <v>10</v>
      </c>
      <c r="B2" s="2">
        <v>5</v>
      </c>
      <c r="C2" t="s">
        <v>8</v>
      </c>
    </row>
    <row r="3" spans="1:3" x14ac:dyDescent="0.25">
      <c r="A3" s="1" t="s">
        <v>11</v>
      </c>
      <c r="B3" s="2">
        <v>8</v>
      </c>
      <c r="C3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F0B4-F22A-41E5-A221-794DB619A1DF}">
  <dimension ref="A1:B4"/>
  <sheetViews>
    <sheetView workbookViewId="0"/>
  </sheetViews>
  <sheetFormatPr baseColWidth="10" defaultRowHeight="15" x14ac:dyDescent="0.25"/>
  <sheetData>
    <row r="1" spans="1:2" x14ac:dyDescent="0.25">
      <c r="A1" s="1" t="s">
        <v>2</v>
      </c>
      <c r="B1" s="1" t="s">
        <v>7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ProduitsFinis</vt:lpstr>
      <vt:lpstr>Operations</vt:lpstr>
      <vt:lpstr>TypesColis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cp:lastModifiedBy>Stéphane JAUBERT</cp:lastModifiedBy>
  <dcterms:created xsi:type="dcterms:W3CDTF">2014-03-19T18:26:35Z</dcterms:created>
  <dcterms:modified xsi:type="dcterms:W3CDTF">2024-03-20T18:46:11Z</dcterms:modified>
</cp:coreProperties>
</file>